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Cümle" sheetId="2" state="visible" r:id="rId2"/>
    <sheet xmlns:r="http://schemas.openxmlformats.org/officeDocument/2006/relationships" name="WOOP" sheetId="3" state="visible" r:id="rId3"/>
    <sheet xmlns:r="http://schemas.openxmlformats.org/officeDocument/2006/relationships" name="Takip" sheetId="4" state="visible" r:id="rId4"/>
    <sheet xmlns:r="http://schemas.openxmlformats.org/officeDocument/2006/relationships" name="Araba" sheetId="5" state="visible" r:id="rId5"/>
    <sheet xmlns:r="http://schemas.openxmlformats.org/officeDocument/2006/relationships" name="Kaynaklar" sheetId="6" state="visible" r:id="rId6"/>
  </sheets>
  <definedNames>
    <definedName name="_xlnm.Print_Titles" localSheetId="0">'Nasıl kullanılır'!$1:$5</definedName>
    <definedName name="_xlnm._FilterDatabase" localSheetId="3" hidden="1">'Takip'!$A$5:$L$12</definedName>
    <definedName name="_xlnm.Print_Titles" localSheetId="3">'Takip'!$1:$5</definedName>
  </definedNames>
  <calcPr calcId="124519" fullCalcOnLoad="1"/>
</workbook>
</file>

<file path=xl/styles.xml><?xml version="1.0" encoding="utf-8"?>
<styleSheet xmlns="http://schemas.openxmlformats.org/spreadsheetml/2006/main">
  <numFmts count="1">
    <numFmt numFmtId="164" formatCode="0&quot;%&quot;"/>
  </numFmts>
  <fonts count="19">
    <font>
      <name val="Calibri"/>
      <family val="2"/>
      <color theme="1"/>
      <sz val="11"/>
      <scheme val="minor"/>
    </font>
    <font>
      <name val="Calibri"/>
      <b val="1"/>
      <color rgb="002A163A"/>
      <sz val="22"/>
    </font>
    <font>
      <name val="Calibri"/>
      <color rgb="006E6076"/>
      <sz val="12"/>
    </font>
    <font>
      <name val="Calibri"/>
      <b val="1"/>
      <color rgb="00FFFFFF"/>
      <sz val="11"/>
    </font>
    <font>
      <name val="Calibri"/>
      <b val="1"/>
      <color rgb="00FFFFFF"/>
      <sz val="14"/>
    </font>
    <font>
      <name val="Calibri"/>
      <color rgb="0020182A"/>
      <sz val="12"/>
    </font>
    <font>
      <name val="Calibri"/>
      <b val="1"/>
      <color rgb="002A163A"/>
      <sz val="13"/>
    </font>
    <font>
      <name val="Calibri"/>
      <color rgb="006E6076"/>
      <sz val="11"/>
    </font>
    <font>
      <name val="Calibri"/>
      <b val="1"/>
      <color rgb="002A163A"/>
      <sz val="20"/>
    </font>
    <font>
      <name val="Calibri"/>
      <b val="1"/>
      <color rgb="00C45476"/>
      <sz val="12"/>
    </font>
    <font>
      <name val="Calibri"/>
      <i val="1"/>
      <color rgb="006E6076"/>
      <sz val="11"/>
    </font>
    <font>
      <name val="Calibri"/>
      <b val="1"/>
      <color rgb="00FFFFFF"/>
      <sz val="18"/>
    </font>
    <font>
      <name val="Calibri"/>
      <b val="1"/>
      <color rgb="002A163A"/>
      <sz val="14"/>
    </font>
    <font>
      <name val="Calibri"/>
      <i val="1"/>
      <color rgb="006E6076"/>
      <sz val="10"/>
    </font>
    <font>
      <name val="Calibri"/>
      <b val="1"/>
      <color rgb="002A163A"/>
      <sz val="12"/>
    </font>
    <font>
      <name val="Calibri"/>
      <b val="1"/>
      <color rgb="00FFFFFF"/>
      <sz val="12"/>
    </font>
    <font>
      <name val="Calibri"/>
      <b val="1"/>
      <color rgb="002A163A"/>
      <sz val="16"/>
    </font>
    <font>
      <name val="Calibri"/>
      <b val="1"/>
      <color rgb="006E6076"/>
      <sz val="11"/>
    </font>
    <font>
      <name val="Calibri"/>
      <color rgb="0020182A"/>
      <sz val="11"/>
    </font>
  </fonts>
  <fills count="10">
    <fill>
      <patternFill/>
    </fill>
    <fill>
      <patternFill patternType="gray125"/>
    </fill>
    <fill>
      <patternFill patternType="solid">
        <fgColor rgb="002A163A"/>
      </patternFill>
    </fill>
    <fill>
      <patternFill patternType="solid">
        <fgColor rgb="00C45476"/>
      </patternFill>
    </fill>
    <fill>
      <patternFill patternType="solid">
        <fgColor rgb="00FBF6EE"/>
      </patternFill>
    </fill>
    <fill>
      <patternFill patternType="solid">
        <fgColor rgb="00EDE4F5"/>
      </patternFill>
    </fill>
    <fill>
      <patternFill patternType="solid">
        <fgColor rgb="00FFF3B0"/>
      </patternFill>
    </fill>
    <fill>
      <patternFill patternType="solid">
        <fgColor rgb="00C99A4A"/>
      </patternFill>
    </fill>
    <fill>
      <patternFill patternType="solid">
        <fgColor rgb="00E8F4EC"/>
      </patternFill>
    </fill>
    <fill>
      <patternFill patternType="solid">
        <fgColor rgb="002E8060"/>
      </patternFill>
    </fill>
  </fills>
  <borders count="6">
    <border>
      <left/>
      <right/>
      <top/>
      <bottom/>
      <diagonal/>
    </border>
    <border>
      <left style="thin">
        <color rgb="00D8CCE0"/>
      </left>
      <right style="thin">
        <color rgb="00D8CCE0"/>
      </right>
      <top style="thin">
        <color rgb="00D8CCE0"/>
      </top>
      <bottom style="thin">
        <color rgb="00D8CCE0"/>
      </bottom>
    </border>
    <border>
      <left/>
      <right/>
      <top style="thin">
        <color rgb="00D8CCE0"/>
      </top>
      <bottom/>
      <diagonal/>
    </border>
    <border>
      <left/>
      <right style="thin">
        <color rgb="00D8CCE0"/>
      </right>
      <top style="thin">
        <color rgb="00D8CCE0"/>
      </top>
      <bottom/>
      <diagonal/>
    </border>
    <border>
      <left/>
      <right/>
      <top style="thin">
        <color rgb="00D8CCE0"/>
      </top>
      <bottom style="thin">
        <color rgb="00D8CCE0"/>
      </bottom>
      <diagonal/>
    </border>
    <border>
      <left/>
      <right style="thin">
        <color rgb="00D8CCE0"/>
      </right>
      <top style="thin">
        <color rgb="00D8CCE0"/>
      </top>
      <bottom style="thin">
        <color rgb="00D8CCE0"/>
      </bottom>
      <diagonal/>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3" borderId="1" applyAlignment="1" pivotButton="0" quotePrefix="0" xfId="0">
      <alignment horizontal="center" vertical="center" wrapText="1"/>
    </xf>
    <xf numFmtId="0" fontId="5" fillId="4" borderId="1" applyAlignment="1" pivotButton="0" quotePrefix="0" xfId="0">
      <alignment horizontal="left" vertical="center" wrapText="1"/>
    </xf>
    <xf numFmtId="0" fontId="0" fillId="0" borderId="1" pivotButton="0" quotePrefix="0" xfId="0"/>
    <xf numFmtId="0" fontId="5" fillId="5" borderId="1" applyAlignment="1" pivotButton="0" quotePrefix="0" xfId="0">
      <alignment horizontal="left" vertical="center" wrapText="1"/>
    </xf>
    <xf numFmtId="0" fontId="6" fillId="6" borderId="0" applyAlignment="1" pivotButton="0" quotePrefix="0" xfId="0">
      <alignment horizontal="left" vertical="center" wrapText="1"/>
    </xf>
    <xf numFmtId="0" fontId="7" fillId="0" borderId="0" applyAlignment="1" pivotButton="0" quotePrefix="0" xfId="0">
      <alignment horizontal="left" vertical="center" wrapText="1"/>
    </xf>
    <xf numFmtId="0" fontId="8" fillId="0" borderId="0" pivotButton="0" quotePrefix="0" xfId="0"/>
    <xf numFmtId="0" fontId="9" fillId="0" borderId="0" pivotButton="0" quotePrefix="0" xfId="0"/>
    <xf numFmtId="0" fontId="10" fillId="6" borderId="1" applyAlignment="1" pivotButton="0" quotePrefix="0" xfId="0">
      <alignment horizontal="left" vertical="center" wrapText="1"/>
    </xf>
    <xf numFmtId="0" fontId="0" fillId="6" borderId="1" pivotButton="0" quotePrefix="0" xfId="0"/>
    <xf numFmtId="0" fontId="0" fillId="6" borderId="1" applyAlignment="1" pivotButton="0" quotePrefix="0" xfId="0">
      <alignment horizontal="left" vertical="center" wrapText="1"/>
    </xf>
    <xf numFmtId="0" fontId="0" fillId="0" borderId="1" applyAlignment="1" pivotButton="0" quotePrefix="0" xfId="0">
      <alignment horizontal="left" vertical="center" wrapText="1"/>
    </xf>
    <xf numFmtId="0" fontId="6" fillId="4" borderId="0" pivotButton="0" quotePrefix="0" xfId="0"/>
    <xf numFmtId="0" fontId="11" fillId="3" borderId="1" applyAlignment="1" pivotButton="0" quotePrefix="0" xfId="0">
      <alignment horizontal="center" vertical="center" wrapText="1"/>
    </xf>
    <xf numFmtId="0" fontId="12" fillId="5" borderId="1" pivotButton="0" quotePrefix="0" xfId="0"/>
    <xf numFmtId="0" fontId="0" fillId="6" borderId="1" applyAlignment="1" pivotButton="0" quotePrefix="0" xfId="0">
      <alignment horizontal="left" vertical="top" wrapText="1"/>
    </xf>
    <xf numFmtId="0" fontId="13" fillId="0" borderId="0" pivotButton="0" quotePrefix="0" xfId="0"/>
    <xf numFmtId="0" fontId="11" fillId="7" borderId="1" applyAlignment="1" pivotButton="0" quotePrefix="0" xfId="0">
      <alignment horizontal="center" vertical="center" wrapText="1"/>
    </xf>
    <xf numFmtId="0" fontId="5" fillId="8" borderId="0" applyAlignment="1" pivotButton="0" quotePrefix="0" xfId="0">
      <alignment horizontal="left" vertical="center" wrapText="1"/>
    </xf>
    <xf numFmtId="0" fontId="9" fillId="0" borderId="0" applyAlignment="1" pivotButton="0" quotePrefix="0" xfId="0">
      <alignment horizontal="left" vertical="center" wrapText="1"/>
    </xf>
    <xf numFmtId="0" fontId="14" fillId="5" borderId="1" pivotButton="0" quotePrefix="0" xfId="0"/>
    <xf numFmtId="0" fontId="0" fillId="6" borderId="1" applyAlignment="1" pivotButton="0" quotePrefix="0" xfId="0">
      <alignment horizontal="center" vertical="center" wrapText="1"/>
    </xf>
    <xf numFmtId="164" fontId="12" fillId="0" borderId="1" applyAlignment="1" pivotButton="0" quotePrefix="0" xfId="0">
      <alignment horizontal="center" vertical="center" wrapText="1"/>
    </xf>
    <xf numFmtId="0" fontId="15" fillId="2" borderId="0" pivotButton="0" quotePrefix="0" xfId="0"/>
    <xf numFmtId="164" fontId="16" fillId="7" borderId="0" applyAlignment="1" pivotButton="0" quotePrefix="0" xfId="0">
      <alignment horizontal="center" vertical="center" wrapText="1"/>
    </xf>
    <xf numFmtId="0" fontId="14" fillId="4" borderId="0" pivotButton="0" quotePrefix="0" xfId="0"/>
    <xf numFmtId="0" fontId="17" fillId="0" borderId="0" pivotButton="0" quotePrefix="0" xfId="0"/>
    <xf numFmtId="0" fontId="3" fillId="2" borderId="0" applyAlignment="1" pivotButton="0" quotePrefix="0" xfId="0">
      <alignment horizontal="center" vertical="center" wrapText="1"/>
    </xf>
    <xf numFmtId="0" fontId="12" fillId="5" borderId="1" applyAlignment="1" pivotButton="0" quotePrefix="0" xfId="0">
      <alignment horizontal="center" vertical="center" wrapText="1"/>
    </xf>
    <xf numFmtId="0" fontId="14" fillId="5" borderId="1" applyAlignment="1" pivotButton="0" quotePrefix="0" xfId="0">
      <alignment horizontal="left" vertical="center" wrapText="1"/>
    </xf>
    <xf numFmtId="0" fontId="5" fillId="6" borderId="1" applyAlignment="1" pivotButton="0" quotePrefix="0" xfId="0">
      <alignment horizontal="left" vertical="center" wrapText="1"/>
    </xf>
    <xf numFmtId="0" fontId="7" fillId="0" borderId="1" applyAlignment="1" pivotButton="0" quotePrefix="0" xfId="0">
      <alignment horizontal="left" vertical="center" wrapText="1"/>
    </xf>
    <xf numFmtId="0" fontId="15" fillId="3" borderId="1" applyAlignment="1" pivotButton="0" quotePrefix="0" xfId="0">
      <alignment horizontal="center" vertical="center" wrapText="1"/>
    </xf>
    <xf numFmtId="0" fontId="5" fillId="0" borderId="1" pivotButton="0" quotePrefix="0" xfId="0"/>
    <xf numFmtId="0" fontId="3" fillId="9" borderId="1" applyAlignment="1" pivotButton="0" quotePrefix="0" xfId="0">
      <alignment horizontal="left" vertical="center" wrapText="1"/>
    </xf>
    <xf numFmtId="0" fontId="18" fillId="4" borderId="1" applyAlignment="1" pivotButton="0" quotePrefix="0" xfId="0">
      <alignment horizontal="left" vertical="center" wrapText="1"/>
    </xf>
    <xf numFmtId="0" fontId="7" fillId="4" borderId="1" applyAlignment="1" pivotButton="0" quotePrefix="0" xfId="0">
      <alignment horizontal="left" vertical="center" wrapText="1"/>
    </xf>
    <xf numFmtId="0" fontId="18" fillId="5" borderId="1" applyAlignment="1" pivotButton="0" quotePrefix="0" xfId="0">
      <alignment horizontal="left" vertical="center" wrapText="1"/>
    </xf>
    <xf numFmtId="0" fontId="7" fillId="5" borderId="1" applyAlignment="1" pivotButton="0" quotePrefix="0" xfId="0">
      <alignment horizontal="left" vertical="center" wrapText="1"/>
    </xf>
    <xf numFmtId="0" fontId="3" fillId="7" borderId="1" applyAlignment="1" pivotButton="0" quotePrefix="0" xfId="0">
      <alignment horizontal="left" vertical="center" wrapText="1"/>
    </xf>
    <xf numFmtId="0" fontId="3" fillId="3"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Katman başına Evet (7 gün)</a:t>
            </a:r>
          </a:p>
        </rich>
      </tx>
    </title>
    <plotArea>
      <barChart>
        <barDir val="col"/>
        <grouping val="clustered"/>
        <ser>
          <idx val="0"/>
          <order val="0"/>
          <tx>
            <strRef>
              <f>'Takip'!B17</f>
            </strRef>
          </tx>
          <spPr>
            <a:ln xmlns:a="http://schemas.openxmlformats.org/drawingml/2006/main">
              <a:prstDash val="solid"/>
            </a:ln>
          </spPr>
          <cat>
            <numRef>
              <f>'Takip'!$B$17:$F$17</f>
            </numRef>
          </cat>
          <val>
            <numRef>
              <f>'Takip'!$C$17:$F$17</f>
            </numRef>
          </val>
        </ser>
        <ser>
          <idx val="1"/>
          <order val="1"/>
          <tx>
            <strRef>
              <f>'Takip'!B18</f>
            </strRef>
          </tx>
          <spPr>
            <a:ln xmlns:a="http://schemas.openxmlformats.org/drawingml/2006/main">
              <a:prstDash val="solid"/>
            </a:ln>
          </spPr>
          <cat>
            <numRef>
              <f>'Takip'!$B$17:$F$17</f>
            </numRef>
          </cat>
          <val>
            <numRef>
              <f>'Takip'!$C$18:$F$18</f>
            </numRef>
          </val>
        </ser>
        <gapWidth val="150"/>
        <axId val="10"/>
        <axId val="100"/>
      </barChart>
      <catAx>
        <axId val="10"/>
        <scaling>
          <orientation val="minMax"/>
        </scaling>
        <axPos val="l"/>
        <majorTickMark val="none"/>
        <minorTickMark val="none"/>
        <crossAx val="100"/>
        <lblOffset val="100"/>
      </catAx>
      <valAx>
        <axId val="100"/>
        <scaling>
          <orientation val="minMax"/>
          <max val="7"/>
          <min val="0"/>
        </scaling>
        <axPos val="l"/>
        <majorGridlines/>
        <title>
          <tx>
            <rich>
              <a:bodyPr xmlns:a="http://schemas.openxmlformats.org/drawingml/2006/main"/>
              <a:p xmlns:a="http://schemas.openxmlformats.org/drawingml/2006/main">
                <a:pPr>
                  <a:defRPr/>
                </a:pPr>
                <a:r>
                  <a:t>gün</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19</row>
      <rowOff>0</rowOff>
    </from>
    <ext cx="54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C45476"/>
    <outlinePr summaryBelow="1" summaryRight="1"/>
    <pageSetUpPr fitToPage="1"/>
  </sheetPr>
  <dimension ref="A2:G1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22" customWidth="1" min="3" max="3"/>
    <col width="18" customWidth="1" min="4" max="4"/>
    <col width="18" customWidth="1" min="5" max="5"/>
    <col width="18" customWidth="1" min="6" max="6"/>
    <col width="28" customWidth="1" min="7" max="7"/>
  </cols>
  <sheetData>
    <row r="2" ht="28" customHeight="1">
      <c r="B2" s="1" t="inlineStr">
        <is>
          <t>Kendi arabam — 7 günlük manifest takibi</t>
        </is>
      </c>
    </row>
    <row r="3">
      <c r="B3" s="2" t="inlineStr">
        <is>
          <t>Sarı hücrelere yaz. 7 günün tek isteği: kendi arabam. Aynı cümle, her gün 1 araba adımı.</t>
        </is>
      </c>
    </row>
    <row r="5">
      <c r="A5" s="3" t="inlineStr"/>
      <c r="B5" s="3" t="inlineStr">
        <is>
          <t>Adım</t>
        </is>
      </c>
      <c r="C5" s="3" t="inlineStr">
        <is>
          <t>Ne yapacaksın</t>
        </is>
      </c>
      <c r="D5" s="4" t="n"/>
      <c r="E5" s="4" t="n"/>
      <c r="F5" s="4" t="n"/>
      <c r="G5" s="5" t="n"/>
    </row>
    <row r="6" ht="36" customHeight="1">
      <c r="B6" s="6" t="inlineStr">
        <is>
          <t>1</t>
        </is>
      </c>
      <c r="C6" s="7" t="inlineStr">
        <is>
          <t>Cümle sayfasındaki araba cümlesini kilitle. Süzgeç 5/5 olsun.</t>
        </is>
      </c>
      <c r="D6" s="8" t="n"/>
      <c r="E6" s="8" t="n"/>
      <c r="F6" s="8" t="n"/>
      <c r="G6" s="8" t="n"/>
    </row>
    <row r="7" ht="36" customHeight="1">
      <c r="B7" s="6" t="inlineStr">
        <is>
          <t>2</t>
        </is>
      </c>
      <c r="C7" s="9" t="inlineStr">
        <is>
          <t>WOOP’ta ‘param yetmez’ engelini ve 2 dakikalık planı yaz.</t>
        </is>
      </c>
      <c r="D7" s="8" t="n"/>
      <c r="E7" s="8" t="n"/>
      <c r="F7" s="8" t="n"/>
      <c r="G7" s="8" t="n"/>
    </row>
    <row r="8" ht="36" customHeight="1">
      <c r="B8" s="6" t="inlineStr">
        <is>
          <t>3</t>
        </is>
      </c>
      <c r="C8" s="7" t="inlineStr">
        <is>
          <t>Araba sayfasında bütçe, 2. el/yeni ve 3 modeli doldur.</t>
        </is>
      </c>
      <c r="D8" s="8" t="n"/>
      <c r="E8" s="8" t="n"/>
      <c r="F8" s="8" t="n"/>
      <c r="G8" s="8" t="n"/>
    </row>
    <row r="9" ht="36" customHeight="1">
      <c r="B9" s="6" t="inlineStr">
        <is>
          <t>4</t>
        </is>
      </c>
      <c r="C9" s="9" t="inlineStr">
        <is>
          <t>Her gün Takip’te 369 + SATS + 1 araba adımını işaretle.</t>
        </is>
      </c>
      <c r="D9" s="8" t="n"/>
      <c r="E9" s="8" t="n"/>
      <c r="F9" s="8" t="n"/>
      <c r="G9" s="8" t="n"/>
    </row>
    <row r="10" ht="36" customHeight="1">
      <c r="B10" s="6" t="inlineStr">
        <is>
          <t>5</t>
        </is>
      </c>
      <c r="C10" s="7" t="inlineStr">
        <is>
          <t>7. gün 3 adayı 1–2’ye indir; 21 güne bakış + biriktirme kilidi.</t>
        </is>
      </c>
      <c r="D10" s="8" t="n"/>
      <c r="E10" s="8" t="n"/>
      <c r="F10" s="8" t="n"/>
      <c r="G10" s="8" t="n"/>
    </row>
    <row r="12" ht="28" customHeight="1">
      <c r="B12" s="10" t="inlineStr">
        <is>
          <t>Hız formülü: kendi arabam + 369 + gece direksiyon SATS + her gün 1 araba adımı.</t>
        </is>
      </c>
    </row>
    <row r="14">
      <c r="B14" s="11" t="inlineStr">
        <is>
          <t>Dürüst not: Bu tablo bir sihir garantisi değildir. Dikkatini, hissini ve 10 dakikalık davranışını aynı yöne kilitler. Kaynak omurga: Neville Goddard — Feeling is the Secret (SATS); Gabriele Oettingen — WOOP (woopmylife.org); elle yazılan 369 tekrarı bir odak ritmi olarak kullanılır, Tesla formülü değildir.</t>
        </is>
      </c>
    </row>
    <row r="15"/>
    <row r="16"/>
  </sheetData>
  <mergeCells count="10">
    <mergeCell ref="B3:G3"/>
    <mergeCell ref="B2:G2"/>
    <mergeCell ref="B14:G16"/>
    <mergeCell ref="C7:G7"/>
    <mergeCell ref="C6:G6"/>
    <mergeCell ref="C10:G10"/>
    <mergeCell ref="C5:G5"/>
    <mergeCell ref="B12:G12"/>
    <mergeCell ref="C8:G8"/>
    <mergeCell ref="C9:G9"/>
  </mergeCells>
  <pageMargins left="0.75" right="0.75" top="1" bottom="1" header="0.5" footer="0.5"/>
  <pageSetup orientation="landscape" fitToHeight="1" fitToWidth="1"/>
</worksheet>
</file>

<file path=xl/worksheets/sheet2.xml><?xml version="1.0" encoding="utf-8"?>
<worksheet xmlns="http://schemas.openxmlformats.org/spreadsheetml/2006/main">
  <sheetPr>
    <tabColor rgb="00C99A4A"/>
    <outlinePr summaryBelow="1" summaryRight="1"/>
    <pageSetUpPr/>
  </sheetPr>
  <dimension ref="A2:F2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52" customWidth="1" min="2" max="2"/>
    <col width="16" customWidth="1" min="3" max="3"/>
    <col width="22" customWidth="1" min="4" max="4"/>
    <col width="18" customWidth="1" min="5" max="5"/>
    <col width="18" customWidth="1" min="6" max="6"/>
  </cols>
  <sheetData>
    <row r="2">
      <c r="B2" s="12" t="inlineStr">
        <is>
          <t>369 — kendi arabam</t>
        </is>
      </c>
    </row>
    <row r="3">
      <c r="B3" s="2" t="inlineStr">
        <is>
          <t>Sarı hücre senin. Şimdiki zaman, minnettarlık, duygu, 25 kelimeyi geçme.</t>
        </is>
      </c>
    </row>
    <row r="5">
      <c r="B5" s="13" t="inlineStr">
        <is>
          <t>Tek isteğim (ham hali)</t>
        </is>
      </c>
    </row>
    <row r="6" ht="48" customHeight="1">
      <c r="B6" s="14" t="inlineStr">
        <is>
          <t>Kendi arabam</t>
        </is>
      </c>
      <c r="C6" s="15" t="n"/>
      <c r="D6" s="15" t="n"/>
      <c r="E6" s="15" t="n"/>
      <c r="F6" s="15" t="n"/>
    </row>
    <row r="7">
      <c r="B7" s="13" t="inlineStr">
        <is>
          <t>369 cümlem (kilit)</t>
        </is>
      </c>
    </row>
    <row r="8" ht="48" customHeight="1">
      <c r="B8" s="14" t="inlineStr">
        <is>
          <t>Çok minnettarım, kendi arabamla yola çıkıyorum ve özgür hissediyorum.</t>
        </is>
      </c>
      <c r="C8" s="15" t="n"/>
      <c r="D8" s="15" t="n"/>
      <c r="E8" s="15" t="n"/>
      <c r="F8" s="15" t="n"/>
    </row>
    <row r="9">
      <c r="B9" s="13" t="inlineStr">
        <is>
          <t>SATS sahnesi (5–10 sn, olduktan SONRA)</t>
        </is>
      </c>
    </row>
    <row r="10" ht="48" customHeight="1">
      <c r="B10" s="14" t="inlineStr">
        <is>
          <t>Evin önünde kendi arabam park. Anahtarı çeviriyorum, kemer klik, geldik.</t>
        </is>
      </c>
      <c r="C10" s="15" t="n"/>
      <c r="D10" s="15" t="n"/>
      <c r="E10" s="15" t="n"/>
      <c r="F10" s="15" t="n"/>
    </row>
    <row r="11">
      <c r="B11" s="13" t="inlineStr">
        <is>
          <t>Bugün atabileceğim en küçük adım</t>
        </is>
      </c>
    </row>
    <row r="12" ht="48" customHeight="1">
      <c r="B12" s="14" t="inlineStr">
        <is>
          <t>Bugün bütçe alt–üst ve 3 model adayını yazıyorum.</t>
        </is>
      </c>
      <c r="C12" s="15" t="n"/>
      <c r="D12" s="15" t="n"/>
      <c r="E12" s="15" t="n"/>
      <c r="F12" s="15" t="n"/>
    </row>
    <row r="14">
      <c r="A14" s="3" t="inlineStr"/>
      <c r="B14" s="3" t="inlineStr">
        <is>
          <t>Süzgeç</t>
        </is>
      </c>
      <c r="C14" s="3" t="inlineStr">
        <is>
          <t>Evet / Hayır</t>
        </is>
      </c>
      <c r="D14" s="3" t="inlineStr">
        <is>
          <t>Not</t>
        </is>
      </c>
      <c r="E14" s="3" t="inlineStr"/>
      <c r="F14" s="3" t="inlineStr"/>
    </row>
    <row r="15" ht="28" customHeight="1">
      <c r="B15" s="9" t="inlineStr">
        <is>
          <t>90 günde peşinat / kredi / 2. el mümkün mü?</t>
        </is>
      </c>
      <c r="C15" s="16" t="inlineStr">
        <is>
          <t>Evet</t>
        </is>
      </c>
      <c r="D15" s="16" t="n"/>
      <c r="E15" s="17" t="n"/>
      <c r="F15" s="17" t="n"/>
    </row>
    <row r="16" ht="28" customHeight="1">
      <c r="B16" s="9" t="inlineStr">
        <is>
          <t>Direksiyonda hayal edince vücut yumuşuyor mu?</t>
        </is>
      </c>
      <c r="C16" s="16" t="inlineStr">
        <is>
          <t>Evet</t>
        </is>
      </c>
      <c r="D16" s="16" t="n"/>
      <c r="E16" s="17" t="n"/>
      <c r="F16" s="17" t="n"/>
    </row>
    <row r="17" ht="28" customHeight="1">
      <c r="B17" s="9" t="inlineStr">
        <is>
          <t>Bugün 1 araba adımı atabiliyor musun?</t>
        </is>
      </c>
      <c r="C17" s="16" t="inlineStr">
        <is>
          <t>Evet</t>
        </is>
      </c>
      <c r="D17" s="16" t="n"/>
      <c r="E17" s="17" t="n"/>
      <c r="F17" s="17" t="n"/>
    </row>
    <row r="18" ht="28" customHeight="1">
      <c r="B18" s="9" t="inlineStr">
        <is>
          <t>Başkasının sana almasını dayatmıyor musun?</t>
        </is>
      </c>
      <c r="C18" s="16" t="inlineStr">
        <is>
          <t>Evet</t>
        </is>
      </c>
      <c r="D18" s="16" t="n"/>
      <c r="E18" s="17" t="n"/>
      <c r="F18" s="17" t="n"/>
    </row>
    <row r="19" ht="28" customHeight="1">
      <c r="B19" s="9" t="inlineStr">
        <is>
          <t>Ölçülebilir mi? (bütçe aralığı, 2. el / yeni)</t>
        </is>
      </c>
      <c r="C19" s="16" t="inlineStr">
        <is>
          <t>Evet</t>
        </is>
      </c>
      <c r="D19" s="16" t="n"/>
      <c r="E19" s="17" t="n"/>
      <c r="F19" s="17" t="n"/>
    </row>
    <row r="21">
      <c r="B21" s="18">
        <f>IF(COUNTIF(C15:C19,"Evet")=5,"Süzgeç tamam — 7 güne kilit at.","Süzgeç eksik — cümleyi küçült veya somutlaştır.")</f>
        <v/>
      </c>
    </row>
  </sheetData>
  <mergeCells count="12">
    <mergeCell ref="B21:F21"/>
    <mergeCell ref="B12:F12"/>
    <mergeCell ref="D19:F19"/>
    <mergeCell ref="B6:F6"/>
    <mergeCell ref="B2:F2"/>
    <mergeCell ref="B10:F10"/>
    <mergeCell ref="B3:F3"/>
    <mergeCell ref="D18:F18"/>
    <mergeCell ref="D17:F17"/>
    <mergeCell ref="B8:F8"/>
    <mergeCell ref="D15:F15"/>
    <mergeCell ref="D16:F16"/>
  </mergeCells>
  <dataValidations count="1">
    <dataValidation sqref="C15 C16 C17 C18 C19" showDropDown="0" showInputMessage="0" showErrorMessage="0" allowBlank="1" errorTitle="Geçersiz" error="Evet veya Hayır seç" promptTitle="Süzgeç" prompt="Evet / Hayır" type="list">
      <formula1>"Evet,Hayır"</formula1>
    </dataValidation>
  </dataValidations>
  <pageMargins left="0.75" right="0.75" top="1" bottom="1" header="0.5" footer="0.5"/>
</worksheet>
</file>

<file path=xl/worksheets/sheet3.xml><?xml version="1.0" encoding="utf-8"?>
<worksheet xmlns="http://schemas.openxmlformats.org/spreadsheetml/2006/main">
  <sheetPr>
    <tabColor rgb="007A5CA8"/>
    <outlinePr summaryBelow="1" summaryRight="1"/>
    <pageSetUpPr/>
  </sheetPr>
  <dimension ref="B2:E26"/>
  <sheetViews>
    <sheetView showGridLines="0" workbookViewId="0">
      <selection activeCell="A1" sqref="A1"/>
    </sheetView>
  </sheetViews>
  <sheetFormatPr baseColWidth="8" defaultRowHeight="15"/>
  <cols>
    <col width="3" customWidth="1" min="1" max="1"/>
    <col width="10" customWidth="1" min="2" max="2"/>
    <col width="28" customWidth="1" min="3" max="3"/>
    <col width="28" customWidth="1" min="4" max="4"/>
    <col width="36" customWidth="1" min="5" max="5"/>
  </cols>
  <sheetData>
    <row r="2">
      <c r="B2" s="12" t="inlineStr">
        <is>
          <t>WOOP — istek, sonuç, iç engel, eğer-o zaman</t>
        </is>
      </c>
    </row>
    <row r="3">
      <c r="B3" s="2" t="inlineStr">
        <is>
          <t>Gabriele Oettingen. Tek başına olumlu hayal eylemi azaltabilir. Engel + plan hız kazandırır.</t>
        </is>
      </c>
    </row>
    <row r="5">
      <c r="B5" s="19" t="inlineStr">
        <is>
          <t>W</t>
        </is>
      </c>
      <c r="C5" s="20" t="inlineStr">
        <is>
          <t>Wish / İstek</t>
        </is>
      </c>
      <c r="D5" s="8" t="n"/>
      <c r="E5" s="8" t="n"/>
    </row>
    <row r="6" ht="22" customHeight="1">
      <c r="B6" s="21">
        <f>Cümle!B8</f>
        <v/>
      </c>
      <c r="C6" s="15" t="n"/>
      <c r="D6" s="15" t="n"/>
      <c r="E6" s="15" t="n"/>
    </row>
    <row r="7" ht="28" customHeight="1">
      <c r="B7" s="15" t="n"/>
      <c r="C7" s="15" t="n"/>
      <c r="D7" s="15" t="n"/>
      <c r="E7" s="15" t="n"/>
    </row>
    <row r="8">
      <c r="B8" s="22" t="inlineStr">
        <is>
          <t>Tek dilek, 369 cümlesiyle aynı.</t>
        </is>
      </c>
    </row>
    <row r="10">
      <c r="B10" s="19" t="inlineStr">
        <is>
          <t>O</t>
        </is>
      </c>
      <c r="C10" s="20" t="inlineStr">
        <is>
          <t>Outcome / Sonuç</t>
        </is>
      </c>
      <c r="D10" s="8" t="n"/>
      <c r="E10" s="8" t="n"/>
    </row>
    <row r="11" ht="22" customHeight="1">
      <c r="B11" s="21" t="inlineStr">
        <is>
          <t>Kapıyı açıp koltuğa oturuyorum, kemer klik, ‘geldik’; omuzlar düşük.</t>
        </is>
      </c>
      <c r="C11" s="15" t="n"/>
      <c r="D11" s="15" t="n"/>
      <c r="E11" s="15" t="n"/>
    </row>
    <row r="12" ht="28" customHeight="1">
      <c r="B12" s="15" t="n"/>
      <c r="C12" s="15" t="n"/>
      <c r="D12" s="15" t="n"/>
      <c r="E12" s="15" t="n"/>
    </row>
    <row r="13">
      <c r="B13" s="22" t="inlineStr">
        <is>
          <t>Olduğunda en güzel 30 saniye. Göğüste ne açılıyor?</t>
        </is>
      </c>
    </row>
    <row r="15">
      <c r="B15" s="19" t="inlineStr">
        <is>
          <t>O</t>
        </is>
      </c>
      <c r="C15" s="20" t="inlineStr">
        <is>
          <t>Obstacle / İç engel</t>
        </is>
      </c>
      <c r="D15" s="8" t="n"/>
      <c r="E15" s="8" t="n"/>
    </row>
    <row r="16" ht="22" customHeight="1">
      <c r="B16" s="21" t="inlineStr">
        <is>
          <t>Öğleden sonra ‘nasıl olsa araba alamam’ deyip ilan kaydırmak.</t>
        </is>
      </c>
      <c r="C16" s="15" t="n"/>
      <c r="D16" s="15" t="n"/>
      <c r="E16" s="15" t="n"/>
    </row>
    <row r="17" ht="28" customHeight="1">
      <c r="B17" s="15" t="n"/>
      <c r="C17" s="15" t="n"/>
      <c r="D17" s="15" t="n"/>
      <c r="E17" s="15" t="n"/>
    </row>
    <row r="18">
      <c r="B18" s="22" t="inlineStr">
        <is>
          <t>Erteleme, utanç, hak etmiyorum, gece telefon… Dış dünya değil.</t>
        </is>
      </c>
    </row>
    <row r="20">
      <c r="B20" s="23" t="inlineStr">
        <is>
          <t>P</t>
        </is>
      </c>
      <c r="C20" s="20" t="inlineStr">
        <is>
          <t>Plan / Eğer-o zaman</t>
        </is>
      </c>
      <c r="D20" s="8" t="n"/>
      <c r="E20" s="8" t="n"/>
    </row>
    <row r="21" ht="22" customHeight="1">
      <c r="B21" s="21" t="inlineStr">
        <is>
          <t>Eğer ‘alamam’ dersem, telefonu bırakır 1 satıcıya mesaj atar veya küçük transferi yaparım.</t>
        </is>
      </c>
      <c r="C21" s="15" t="n"/>
      <c r="D21" s="15" t="n"/>
      <c r="E21" s="15" t="n"/>
    </row>
    <row r="22" ht="28" customHeight="1">
      <c r="B22" s="15" t="n"/>
      <c r="C22" s="15" t="n"/>
      <c r="D22" s="15" t="n"/>
      <c r="E22" s="15" t="n"/>
    </row>
    <row r="23">
      <c r="B23" s="22" t="inlineStr">
        <is>
          <t>Eğer [engel belirirse], o zaman [2 dakikalık davranış].</t>
        </is>
      </c>
    </row>
    <row r="25">
      <c r="B25" s="24" t="inlineStr">
        <is>
          <t>Eğer öğleden sonra “nasıl olsa araba alamam” diye kaydırırsam, o zaman telefonu bırakır, bütçe satırını doldurur veya 1 satıcıya mesaj atarım.</t>
        </is>
      </c>
    </row>
    <row r="26"/>
  </sheetData>
  <mergeCells count="15">
    <mergeCell ref="B23:E23"/>
    <mergeCell ref="B18:E18"/>
    <mergeCell ref="B8:E8"/>
    <mergeCell ref="C5:E5"/>
    <mergeCell ref="B13:E13"/>
    <mergeCell ref="B16:E17"/>
    <mergeCell ref="B3:E3"/>
    <mergeCell ref="B2:E2"/>
    <mergeCell ref="B11:E12"/>
    <mergeCell ref="B21:E22"/>
    <mergeCell ref="B25:E26"/>
    <mergeCell ref="C20:E20"/>
    <mergeCell ref="C15:E15"/>
    <mergeCell ref="B6:E7"/>
    <mergeCell ref="C10:E10"/>
  </mergeCells>
  <pageMargins left="0.75" right="0.75" top="1" bottom="1" header="0.5" footer="0.5"/>
</worksheet>
</file>

<file path=xl/worksheets/sheet4.xml><?xml version="1.0" encoding="utf-8"?>
<worksheet xmlns="http://schemas.openxmlformats.org/spreadsheetml/2006/main">
  <sheetPr>
    <tabColor rgb="002E8060"/>
    <outlinePr summaryBelow="1" summaryRight="1"/>
    <pageSetUpPr fitToPage="1"/>
  </sheetPr>
  <dimension ref="A2:L1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4" customWidth="1" min="3" max="3"/>
    <col width="13" customWidth="1" min="4" max="4"/>
    <col width="13" customWidth="1" min="5" max="5"/>
    <col width="13" customWidth="1" min="6" max="6"/>
    <col width="12" customWidth="1" min="7" max="7"/>
    <col width="36" customWidth="1" min="8" max="8"/>
    <col width="14" customWidth="1" min="9" max="9"/>
    <col width="12" customWidth="1" min="10" max="10"/>
    <col width="12" customWidth="1" min="11" max="11"/>
    <col width="32" customWidth="1" min="12" max="12"/>
  </cols>
  <sheetData>
    <row r="2">
      <c r="B2" s="12" t="inlineStr">
        <is>
          <t>7 günlük araba ritmi — sarı hücreleri doldur</t>
        </is>
      </c>
    </row>
    <row r="3">
      <c r="B3" s="25">
        <f> "Kilit cümle: " &amp; IF(Cümle!B8="","(Cümle sayfasına yaz)",Cümle!B8)</f>
        <v/>
      </c>
    </row>
    <row r="5">
      <c r="A5" s="3" t="inlineStr">
        <is>
          <t>Gün</t>
        </is>
      </c>
      <c r="B5" s="3" t="inlineStr">
        <is>
          <t>Tema</t>
        </is>
      </c>
      <c r="C5" s="3" t="inlineStr">
        <is>
          <t>Tarih</t>
        </is>
      </c>
      <c r="D5" s="3" t="inlineStr">
        <is>
          <t>Sabah ×3</t>
        </is>
      </c>
      <c r="E5" s="3" t="inlineStr">
        <is>
          <t>Öğlen ×6</t>
        </is>
      </c>
      <c r="F5" s="3" t="inlineStr">
        <is>
          <t>Gece ×9</t>
        </is>
      </c>
      <c r="G5" s="3" t="inlineStr">
        <is>
          <t>SATS</t>
        </is>
      </c>
      <c r="H5" s="3" t="inlineStr">
        <is>
          <t>Somut araba adımı (ne yaptım?)</t>
        </is>
      </c>
      <c r="I5" s="3" t="inlineStr">
        <is>
          <t>Adım oldu mu?</t>
        </is>
      </c>
      <c r="J5" s="3" t="inlineStr">
        <is>
          <t>His 1–10</t>
        </is>
      </c>
      <c r="K5" s="3" t="inlineStr">
        <is>
          <t>Gün skoru</t>
        </is>
      </c>
      <c r="L5" s="3" t="inlineStr">
        <is>
          <t>Not / şüpheyi bırak</t>
        </is>
      </c>
    </row>
    <row r="6" ht="42" customHeight="1">
      <c r="A6" s="6" t="n">
        <v>1</v>
      </c>
      <c r="B6" s="26" t="inlineStr">
        <is>
          <t>Netleş</t>
        </is>
      </c>
      <c r="C6" s="27" t="inlineStr">
        <is>
          <t>21.09.2026</t>
        </is>
      </c>
      <c r="D6" s="27" t="inlineStr">
        <is>
          <t>Evet</t>
        </is>
      </c>
      <c r="E6" s="27" t="inlineStr">
        <is>
          <t>Evet</t>
        </is>
      </c>
      <c r="F6" s="27" t="inlineStr">
        <is>
          <t>Evet</t>
        </is>
      </c>
      <c r="G6" s="27" t="inlineStr">
        <is>
          <t>Evet</t>
        </is>
      </c>
      <c r="H6" s="16" t="inlineStr">
        <is>
          <t>Bütçe aralığını ve 3 model adayını yazdım.</t>
        </is>
      </c>
      <c r="I6" s="27" t="inlineStr">
        <is>
          <t>Evet</t>
        </is>
      </c>
      <c r="J6" s="27" t="n">
        <v>8</v>
      </c>
      <c r="K6" s="28">
        <f>IF(COUNTA(D6:G6,I6)=0,"—",INT(20*(COUNTIF(D6,"Evet")+COUNTIF(E6,"Evet")+COUNTIF(F6,"Evet")+COUNTIF(G6,"Evet")+COUNTIF(I6,"Evet"))))</f>
        <v/>
      </c>
      <c r="L6" s="16" t="inlineStr">
        <is>
          <t>Şüphe geldi, yazıp kapattım. Anahtar sahnesine döndüm.</t>
        </is>
      </c>
    </row>
    <row r="7" ht="42" customHeight="1">
      <c r="A7" s="6" t="n">
        <v>2</v>
      </c>
      <c r="B7" s="26" t="inlineStr">
        <is>
          <t>Ritim</t>
        </is>
      </c>
      <c r="C7" s="27" t="n"/>
      <c r="D7" s="27" t="n"/>
      <c r="E7" s="27" t="n"/>
      <c r="F7" s="27" t="n"/>
      <c r="G7" s="27" t="n"/>
      <c r="H7" s="16" t="n"/>
      <c r="I7" s="27" t="n"/>
      <c r="J7" s="27" t="n"/>
      <c r="K7" s="28">
        <f>IF(COUNTA(D7:G7,I7)=0,"—",INT(20*(COUNTIF(D7,"Evet")+COUNTIF(E7,"Evet")+COUNTIF(F7,"Evet")+COUNTIF(G7,"Evet")+COUNTIF(I7,"Evet"))))</f>
        <v/>
      </c>
      <c r="L7" s="16" t="n"/>
    </row>
    <row r="8" ht="42" customHeight="1">
      <c r="A8" s="6" t="n">
        <v>3</v>
      </c>
      <c r="B8" s="26" t="inlineStr">
        <is>
          <t>Hikâye</t>
        </is>
      </c>
      <c r="C8" s="27" t="n"/>
      <c r="D8" s="27" t="n"/>
      <c r="E8" s="27" t="n"/>
      <c r="F8" s="27" t="n"/>
      <c r="G8" s="27" t="n"/>
      <c r="H8" s="16" t="n"/>
      <c r="I8" s="27" t="n"/>
      <c r="J8" s="27" t="n"/>
      <c r="K8" s="28">
        <f>IF(COUNTA(D8:G8,I8)=0,"—",INT(20*(COUNTIF(D8,"Evet")+COUNTIF(E8,"Evet")+COUNTIF(F8,"Evet")+COUNTIF(G8,"Evet")+COUNTIF(I8,"Evet"))))</f>
        <v/>
      </c>
      <c r="L8" s="16" t="n"/>
    </row>
    <row r="9" ht="42" customHeight="1">
      <c r="A9" s="6" t="n">
        <v>4</v>
      </c>
      <c r="B9" s="26" t="inlineStr">
        <is>
          <t>Engel</t>
        </is>
      </c>
      <c r="C9" s="27" t="n"/>
      <c r="D9" s="27" t="n"/>
      <c r="E9" s="27" t="n"/>
      <c r="F9" s="27" t="n"/>
      <c r="G9" s="27" t="n"/>
      <c r="H9" s="16" t="n"/>
      <c r="I9" s="27" t="n"/>
      <c r="J9" s="27" t="n"/>
      <c r="K9" s="28">
        <f>IF(COUNTA(D9:G9,I9)=0,"—",INT(20*(COUNTIF(D9,"Evet")+COUNTIF(E9,"Evet")+COUNTIF(F9,"Evet")+COUNTIF(G9,"Evet")+COUNTIF(I9,"Evet"))))</f>
        <v/>
      </c>
      <c r="L9" s="16" t="n"/>
    </row>
    <row r="10" ht="42" customHeight="1">
      <c r="A10" s="6" t="n">
        <v>5</v>
      </c>
      <c r="B10" s="26" t="inlineStr">
        <is>
          <t>Kimlik</t>
        </is>
      </c>
      <c r="C10" s="27" t="n"/>
      <c r="D10" s="27" t="n"/>
      <c r="E10" s="27" t="n"/>
      <c r="F10" s="27" t="n"/>
      <c r="G10" s="27" t="n"/>
      <c r="H10" s="16" t="n"/>
      <c r="I10" s="27" t="n"/>
      <c r="J10" s="27" t="n"/>
      <c r="K10" s="28">
        <f>IF(COUNTA(D10:G10,I10)=0,"—",INT(20*(COUNTIF(D10,"Evet")+COUNTIF(E10,"Evet")+COUNTIF(F10,"Evet")+COUNTIF(G10,"Evet")+COUNTIF(I10,"Evet"))))</f>
        <v/>
      </c>
      <c r="L10" s="16" t="n"/>
    </row>
    <row r="11" ht="42" customHeight="1">
      <c r="A11" s="6" t="n">
        <v>6</v>
      </c>
      <c r="B11" s="26" t="inlineStr">
        <is>
          <t>Kanıt</t>
        </is>
      </c>
      <c r="C11" s="27" t="n"/>
      <c r="D11" s="27" t="n"/>
      <c r="E11" s="27" t="n"/>
      <c r="F11" s="27" t="n"/>
      <c r="G11" s="27" t="n"/>
      <c r="H11" s="16" t="n"/>
      <c r="I11" s="27" t="n"/>
      <c r="J11" s="27" t="n"/>
      <c r="K11" s="28">
        <f>IF(COUNTA(D11:G11,I11)=0,"—",INT(20*(COUNTIF(D11,"Evet")+COUNTIF(E11,"Evet")+COUNTIF(F11,"Evet")+COUNTIF(G11,"Evet")+COUNTIF(I11,"Evet"))))</f>
        <v/>
      </c>
      <c r="L11" s="16" t="n"/>
    </row>
    <row r="12" ht="42" customHeight="1">
      <c r="A12" s="6" t="n">
        <v>7</v>
      </c>
      <c r="B12" s="26" t="inlineStr">
        <is>
          <t>Mühürle</t>
        </is>
      </c>
      <c r="C12" s="27" t="n"/>
      <c r="D12" s="27" t="n"/>
      <c r="E12" s="27" t="n"/>
      <c r="F12" s="27" t="n"/>
      <c r="G12" s="27" t="n"/>
      <c r="H12" s="16" t="n"/>
      <c r="I12" s="27" t="n"/>
      <c r="J12" s="27" t="n"/>
      <c r="K12" s="28">
        <f>IF(COUNTA(D12:G12,I12)=0,"—",INT(20*(COUNTIF(D12,"Evet")+COUNTIF(E12,"Evet")+COUNTIF(F12,"Evet")+COUNTIF(G12,"Evet")+COUNTIF(I12,"Evet"))))</f>
        <v/>
      </c>
      <c r="L12" s="16" t="n"/>
    </row>
    <row r="14">
      <c r="B14" s="29" t="inlineStr">
        <is>
          <t>7 gün ortalama skor</t>
        </is>
      </c>
      <c r="D14" s="30">
        <f>IF(COUNT(K6:K12)=0,"—",INT(AVERAGE(K6:K12)))</f>
        <v/>
      </c>
      <c r="F14" s="31">
        <f>IF(D14="—","Henüz gün işaretlenmedi.",IF(D14&gt;=80,"Ritim oturmuş. 21 güne uzat, yeni teknik ekleme.","Eksik katmanı tamamla: yazış, SATS veya somut adım."))</f>
        <v/>
      </c>
    </row>
    <row r="16">
      <c r="B16" s="32" t="inlineStr">
        <is>
          <t>Evet sayısı (yazış + SATS + adım)</t>
        </is>
      </c>
    </row>
    <row r="17">
      <c r="B17" s="33" t="inlineStr">
        <is>
          <t>Sabah</t>
        </is>
      </c>
      <c r="C17" s="33" t="inlineStr">
        <is>
          <t>Öğlen</t>
        </is>
      </c>
      <c r="D17" s="33" t="inlineStr">
        <is>
          <t>Gece</t>
        </is>
      </c>
      <c r="E17" s="33" t="inlineStr">
        <is>
          <t>SATS</t>
        </is>
      </c>
      <c r="F17" s="33" t="inlineStr">
        <is>
          <t>Adım</t>
        </is>
      </c>
    </row>
    <row r="18">
      <c r="B18" s="34">
        <f>COUNTIF(D6:D12,"Evet")</f>
        <v/>
      </c>
      <c r="C18" s="34">
        <f>COUNTIF(E6:E12,"Evet")</f>
        <v/>
      </c>
      <c r="D18" s="34">
        <f>COUNTIF(F6:F12,"Evet")</f>
        <v/>
      </c>
      <c r="E18" s="34">
        <f>COUNTIF(G6:G12,"Evet")</f>
        <v/>
      </c>
      <c r="F18" s="34">
        <f>COUNTIF(I6:I12,"Evet")</f>
        <v/>
      </c>
    </row>
  </sheetData>
  <autoFilter ref="A5:L12"/>
  <mergeCells count="6">
    <mergeCell ref="F14:L14"/>
    <mergeCell ref="B16:L16"/>
    <mergeCell ref="B3:L3"/>
    <mergeCell ref="B2:L2"/>
    <mergeCell ref="D14:E14"/>
    <mergeCell ref="B14:C14"/>
  </mergeCells>
  <conditionalFormatting sqref="K6:K12">
    <cfRule type="colorScale" priority="1">
      <colorScale>
        <cfvo type="num" val="0"/>
        <cfvo type="num" val="60"/>
        <cfvo type="num" val="100"/>
        <color rgb="00F8E8EE"/>
        <color rgb="00FFF3B0"/>
        <color rgb="008FCB9B"/>
      </colorScale>
    </cfRule>
  </conditionalFormatting>
  <dataValidations count="2">
    <dataValidation sqref="D6 D7 D8 D9 D10 D11 D12 E6 E7 E8 E9 E10 E11 E12 F6 F7 F8 F9 F10 F11 F12 G6 G7 G8 G9 G10 G11 G12 I6 I7 I8 I9 I10 I11 I12" showDropDown="0" showInputMessage="0" showErrorMessage="0" allowBlank="1" type="list">
      <formula1>"Evet,Hayır"</formula1>
    </dataValidation>
    <dataValidation sqref="J6 J7 J8 J9 J10 J11 J12" showDropDown="0" showInputMessage="0" showErrorMessage="0" allowBlank="1" error="1 ile 10 arası yaz" type="whole" operator="between">
      <formula1>1</formula1>
      <formula2>10</formula2>
    </dataValidation>
  </dataValidations>
  <pageMargins left="0.75" right="0.75" top="1" bottom="1" header="0.5" footer="0.5"/>
  <pageSetup orientation="landscape" paperSize="9" fitToHeight="1" fitToWidth="1"/>
  <drawing xmlns:r="http://schemas.openxmlformats.org/officeDocument/2006/relationships" r:id="rId1"/>
</worksheet>
</file>

<file path=xl/worksheets/sheet5.xml><?xml version="1.0" encoding="utf-8"?>
<worksheet xmlns="http://schemas.openxmlformats.org/spreadsheetml/2006/main">
  <sheetPr>
    <tabColor rgb="00C45476"/>
    <outlinePr summaryBelow="1" summaryRight="1"/>
    <pageSetUpPr/>
  </sheetPr>
  <dimension ref="A2:F2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52" customWidth="1" min="3" max="3"/>
    <col width="16" customWidth="1" min="4" max="4"/>
    <col width="28" customWidth="1" min="5" max="5"/>
    <col width="22" customWidth="1" min="6" max="6"/>
  </cols>
  <sheetData>
    <row r="2">
      <c r="B2" s="12" t="inlineStr">
        <is>
          <t>Kendi arabam — gerçek dünya alanları</t>
        </is>
      </c>
    </row>
    <row r="3">
      <c r="B3" s="2" t="inlineStr">
        <is>
          <t>Sarıya yaz. 3 modelden fazlası yok. Her gün Takip’teki adım buradan seçilir.</t>
        </is>
      </c>
    </row>
    <row r="5">
      <c r="A5" s="3" t="inlineStr"/>
      <c r="B5" s="3" t="inlineStr">
        <is>
          <t>Alan</t>
        </is>
      </c>
      <c r="C5" s="3" t="inlineStr">
        <is>
          <t>Senin cevabın</t>
        </is>
      </c>
      <c r="D5" s="3" t="inlineStr"/>
      <c r="E5" s="3" t="inlineStr">
        <is>
          <t>İpucu</t>
        </is>
      </c>
      <c r="F5" s="3" t="inlineStr"/>
    </row>
    <row r="6" ht="32" customHeight="1">
      <c r="B6" s="35" t="inlineStr">
        <is>
          <t>Yeni / 2. el</t>
        </is>
      </c>
      <c r="C6" s="36" t="inlineStr">
        <is>
          <t>2. el</t>
        </is>
      </c>
      <c r="D6" s="17" t="n"/>
      <c r="E6" s="37" t="inlineStr">
        <is>
          <t>İnanç eşiği zorlanıyorsa 2. el ile başla.</t>
        </is>
      </c>
      <c r="F6" s="17" t="n"/>
    </row>
    <row r="7" ht="32" customHeight="1">
      <c r="B7" s="35" t="inlineStr">
        <is>
          <t>Bütçe alt (TL)</t>
        </is>
      </c>
      <c r="C7" s="36" t="inlineStr"/>
      <c r="D7" s="17" t="n"/>
      <c r="E7" s="37" t="inlineStr">
        <is>
          <t>Rahat verebileceğin taban. Sıfır yazma.</t>
        </is>
      </c>
      <c r="F7" s="17" t="n"/>
    </row>
    <row r="8" ht="32" customHeight="1">
      <c r="B8" s="35" t="inlineStr">
        <is>
          <t>Bütçe üst (TL)</t>
        </is>
      </c>
      <c r="C8" s="36" t="inlineStr"/>
      <c r="D8" s="17" t="n"/>
      <c r="E8" s="37" t="inlineStr">
        <is>
          <t>Zorlama tavan. Üstünü 7 gün hayal etme.</t>
        </is>
      </c>
      <c r="F8" s="17" t="n"/>
    </row>
    <row r="9" ht="32" customHeight="1">
      <c r="B9" s="35" t="inlineStr">
        <is>
          <t>Peşinat hedefi (TL)</t>
        </is>
      </c>
      <c r="C9" s="36" t="inlineStr"/>
      <c r="D9" s="17" t="n"/>
      <c r="E9" s="37" t="inlineStr">
        <is>
          <t>Bu hafta ayırabileceğin ilk tutar bile sayılır.</t>
        </is>
      </c>
      <c r="F9" s="17" t="n"/>
    </row>
    <row r="10" ht="32" customHeight="1">
      <c r="B10" s="35" t="inlineStr">
        <is>
          <t>Aylık biriktirme (TL)</t>
        </is>
      </c>
      <c r="C10" s="36" t="inlineStr"/>
      <c r="D10" s="17" t="n"/>
      <c r="E10" s="37" t="inlineStr">
        <is>
          <t>Küçük ve tekrarlanabilir olsun.</t>
        </is>
      </c>
      <c r="F10" s="17" t="n"/>
    </row>
    <row r="11" ht="32" customHeight="1">
      <c r="B11" s="35" t="inlineStr">
        <is>
          <t>Ehliyet</t>
        </is>
      </c>
      <c r="C11" s="36" t="inlineStr">
        <is>
          <t>Var / Yok / Yenileme</t>
        </is>
      </c>
      <c r="D11" s="17" t="n"/>
      <c r="E11" s="37" t="inlineStr">
        <is>
          <t>Yoksa SATS durmaz; ehliyet adımı da 7 güne girer.</t>
        </is>
      </c>
      <c r="F11" s="17" t="n"/>
    </row>
    <row r="12" ht="32" customHeight="1">
      <c r="B12" s="35" t="inlineStr">
        <is>
          <t>Aday 1</t>
        </is>
      </c>
      <c r="C12" s="36" t="inlineStr"/>
      <c r="D12" s="17" t="n"/>
      <c r="E12" s="37" t="inlineStr">
        <is>
          <t>Tek cümle: marka + vites + yakıt.</t>
        </is>
      </c>
      <c r="F12" s="17" t="n"/>
    </row>
    <row r="13" ht="32" customHeight="1">
      <c r="B13" s="35" t="inlineStr">
        <is>
          <t>Aday 2</t>
        </is>
      </c>
      <c r="C13" s="36" t="inlineStr"/>
      <c r="D13" s="17" t="n"/>
      <c r="E13" s="37" t="inlineStr"/>
      <c r="F13" s="17" t="n"/>
    </row>
    <row r="14" ht="32" customHeight="1">
      <c r="B14" s="35" t="inlineStr">
        <is>
          <t>Aday 3</t>
        </is>
      </c>
      <c r="C14" s="36" t="inlineStr"/>
      <c r="D14" s="17" t="n"/>
      <c r="E14" s="37" t="inlineStr">
        <is>
          <t>4. aday yok. Beğenirsen birini çıkar.</t>
        </is>
      </c>
      <c r="F14" s="17" t="n"/>
    </row>
    <row r="15" ht="32" customHeight="1">
      <c r="B15" s="35" t="inlineStr">
        <is>
          <t>Trafik + kasko kaba (aylık)</t>
        </is>
      </c>
      <c r="C15" s="36" t="inlineStr"/>
      <c r="D15" s="17" t="n"/>
      <c r="E15" s="37" t="inlineStr">
        <is>
          <t>Araba fiyatının yanında aylık gerçek maliyet.</t>
        </is>
      </c>
      <c r="F15" s="17" t="n"/>
    </row>
    <row r="17">
      <c r="A17" s="3" t="inlineStr"/>
      <c r="B17" s="3" t="inlineStr">
        <is>
          <t>Gün</t>
        </is>
      </c>
      <c r="C17" s="3" t="inlineStr">
        <is>
          <t>Hazır adım (bittiysen Evet)</t>
        </is>
      </c>
      <c r="D17" s="3" t="inlineStr">
        <is>
          <t>Evet / Hayır</t>
        </is>
      </c>
      <c r="E17" s="3" t="inlineStr">
        <is>
          <t>Not</t>
        </is>
      </c>
      <c r="F17" s="3" t="inlineStr"/>
    </row>
    <row r="18" ht="28" customHeight="1">
      <c r="B18" s="38" t="n">
        <v>1</v>
      </c>
      <c r="C18" s="39" t="inlineStr">
        <is>
          <t>Bütçe alt–üst + 2. el/yeni + 3 model yazıldı</t>
        </is>
      </c>
      <c r="D18" s="15" t="inlineStr">
        <is>
          <t>Evet</t>
        </is>
      </c>
      <c r="E18" s="15" t="inlineStr">
        <is>
          <t>Bütçe aralığı yazıldı, 3 aday seçildi.</t>
        </is>
      </c>
      <c r="F18" s="8" t="n"/>
    </row>
    <row r="19" ht="28" customHeight="1">
      <c r="B19" s="38" t="n">
        <v>2</v>
      </c>
      <c r="C19" s="39" t="inlineStr">
        <is>
          <t>Ehliyet kontrol + kasko/trafik kaba fiyat + biriktirme yeri</t>
        </is>
      </c>
      <c r="D19" s="15" t="n"/>
      <c r="E19" s="15" t="n"/>
      <c r="F19" s="8" t="n"/>
    </row>
    <row r="20" ht="28" customHeight="1">
      <c r="B20" s="38" t="n">
        <v>3</v>
      </c>
      <c r="C20" s="39" t="inlineStr">
        <is>
          <t>5 ilan kaydedildi, 2 satıcıya mesaj</t>
        </is>
      </c>
      <c r="D20" s="15" t="n"/>
      <c r="E20" s="15" t="n"/>
      <c r="F20" s="8" t="n"/>
    </row>
    <row r="21" ht="28" customHeight="1">
      <c r="B21" s="38" t="n">
        <v>4</v>
      </c>
      <c r="C21" s="39" t="inlineStr">
        <is>
          <t>İlk küçük transfer yapıldı</t>
        </is>
      </c>
      <c r="D21" s="15" t="n"/>
      <c r="E21" s="15" t="n"/>
      <c r="F21" s="8" t="n"/>
    </row>
    <row r="22" ht="28" customHeight="1">
      <c r="B22" s="38" t="n">
        <v>5</v>
      </c>
      <c r="C22" s="39" t="inlineStr">
        <is>
          <t>Galeride / park yerinde ‘sürücü’ günü</t>
        </is>
      </c>
      <c r="D22" s="15" t="n"/>
      <c r="E22" s="15" t="n"/>
      <c r="F22" s="8" t="n"/>
    </row>
    <row r="23" ht="28" customHeight="1">
      <c r="B23" s="38" t="n">
        <v>6</v>
      </c>
      <c r="C23" s="39" t="inlineStr">
        <is>
          <t>1 fiyat veya ekspertiz soruldu</t>
        </is>
      </c>
      <c r="D23" s="15" t="n"/>
      <c r="E23" s="15" t="n"/>
      <c r="F23" s="8" t="n"/>
    </row>
    <row r="24" ht="28" customHeight="1">
      <c r="B24" s="38" t="n">
        <v>7</v>
      </c>
      <c r="C24" s="39" t="inlineStr">
        <is>
          <t>Adaylar 1–2’ye indi, 21 günlük kilit yazıldı</t>
        </is>
      </c>
      <c r="D24" s="15" t="n"/>
      <c r="E24" s="15" t="n"/>
      <c r="F24" s="8" t="n"/>
    </row>
    <row r="26">
      <c r="B26" s="18">
        <f>IF(COUNTIF(D18:D24,"Evet")=7,"7 araba adımı tamam. 21 güne uzat.","Kalan adım: "&amp;(7-COUNTIF(D18:D24,"Evet"))&amp;" — teknik ekleme, eksik günü bitir.")</f>
        <v/>
      </c>
    </row>
  </sheetData>
  <mergeCells count="30">
    <mergeCell ref="E12:F12"/>
    <mergeCell ref="C6:D6"/>
    <mergeCell ref="C15:D15"/>
    <mergeCell ref="E24:F24"/>
    <mergeCell ref="B3:F3"/>
    <mergeCell ref="C14:D14"/>
    <mergeCell ref="E23:F23"/>
    <mergeCell ref="E14:F14"/>
    <mergeCell ref="E8:F8"/>
    <mergeCell ref="E20:F20"/>
    <mergeCell ref="C10:D10"/>
    <mergeCell ref="B2:F2"/>
    <mergeCell ref="E10:F10"/>
    <mergeCell ref="E19:F19"/>
    <mergeCell ref="E13:F13"/>
    <mergeCell ref="C9:D9"/>
    <mergeCell ref="E9:F9"/>
    <mergeCell ref="C12:D12"/>
    <mergeCell ref="E6:F6"/>
    <mergeCell ref="E15:F15"/>
    <mergeCell ref="C11:D11"/>
    <mergeCell ref="E11:F11"/>
    <mergeCell ref="C8:D8"/>
    <mergeCell ref="C7:D7"/>
    <mergeCell ref="E7:F7"/>
    <mergeCell ref="E22:F22"/>
    <mergeCell ref="C13:D13"/>
    <mergeCell ref="E18:F18"/>
    <mergeCell ref="B26:F26"/>
    <mergeCell ref="E21:F21"/>
  </mergeCells>
  <dataValidations count="2">
    <dataValidation sqref="C6" showDropDown="0" showInputMessage="0" showErrorMessage="0" allowBlank="1" type="list">
      <formula1>"2. el,Yeni,Kararsız"</formula1>
    </dataValidation>
    <dataValidation sqref="D18 D19 D20 D21 D22 D23 D24" showDropDown="0" showInputMessage="0" showErrorMessage="0" allowBlank="1" type="list">
      <formula1>"Evet,Hayır"</formula1>
    </dataValidation>
  </dataValidations>
  <pageMargins left="0.75" right="0.75" top="1" bottom="1" header="0.5" footer="0.5"/>
</worksheet>
</file>

<file path=xl/worksheets/sheet6.xml><?xml version="1.0" encoding="utf-8"?>
<worksheet xmlns="http://schemas.openxmlformats.org/spreadsheetml/2006/main">
  <sheetPr>
    <tabColor rgb="00C99A4A"/>
    <outlinePr summaryBelow="1" summaryRight="1"/>
    <pageSetUpPr/>
  </sheetPr>
  <dimension ref="A2:E1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48" customWidth="1" min="3" max="3"/>
    <col width="42" customWidth="1" min="4" max="4"/>
    <col width="36" customWidth="1" min="5" max="5"/>
  </cols>
  <sheetData>
    <row r="2">
      <c r="B2" s="12" t="inlineStr">
        <is>
          <t>Nereleri araştır, nerede takılma</t>
        </is>
      </c>
    </row>
    <row r="4">
      <c r="A4" s="3" t="inlineStr"/>
      <c r="B4" s="3" t="inlineStr">
        <is>
          <t>Öncelik</t>
        </is>
      </c>
      <c r="C4" s="3" t="inlineStr">
        <is>
          <t>Kaynak</t>
        </is>
      </c>
      <c r="D4" s="3" t="inlineStr">
        <is>
          <t>Ne için</t>
        </is>
      </c>
      <c r="E4" s="3" t="inlineStr">
        <is>
          <t>Not</t>
        </is>
      </c>
    </row>
    <row r="5" ht="32" customHeight="1">
      <c r="B5" s="40" t="inlineStr">
        <is>
          <t>Bu hafta</t>
        </is>
      </c>
      <c r="C5" s="41" t="inlineStr">
        <is>
          <t>Neville Goddard — Feeling is the Secret</t>
        </is>
      </c>
      <c r="D5" s="41" t="inlineStr">
        <is>
          <t>SATS, uykunun eşiği, his</t>
        </is>
      </c>
      <c r="E5" s="42" t="inlineStr">
        <is>
          <t>Kısa. Önce bunu bitir.</t>
        </is>
      </c>
    </row>
    <row r="6" ht="32" customHeight="1">
      <c r="B6" s="40" t="inlineStr">
        <is>
          <t>Bu hafta</t>
        </is>
      </c>
      <c r="C6" s="43" t="inlineStr">
        <is>
          <t>Neville Goddard — The Power of Awareness</t>
        </is>
      </c>
      <c r="D6" s="43" t="inlineStr">
        <is>
          <t>Kimlik / varsayım / sonda yaşamak</t>
        </is>
      </c>
      <c r="E6" s="44" t="inlineStr">
        <is>
          <t>Cümleyi kimlik haline getirir.</t>
        </is>
      </c>
    </row>
    <row r="7" ht="32" customHeight="1">
      <c r="B7" s="40" t="inlineStr">
        <is>
          <t>Bu hafta</t>
        </is>
      </c>
      <c r="C7" s="41" t="inlineStr">
        <is>
          <t>woopmylife.org</t>
        </is>
      </c>
      <c r="D7" s="41" t="inlineStr">
        <is>
          <t>Wish-Outcome-Obstacle-Plan</t>
        </is>
      </c>
      <c r="E7" s="42" t="inlineStr">
        <is>
          <t>5 dakikalık resmi araç.</t>
        </is>
      </c>
    </row>
    <row r="8" ht="32" customHeight="1">
      <c r="B8" s="40" t="inlineStr">
        <is>
          <t>Bu hafta</t>
        </is>
      </c>
      <c r="C8" s="43" t="inlineStr">
        <is>
          <t>Gollwitzer — implementation intentions</t>
        </is>
      </c>
      <c r="D8" s="43" t="inlineStr">
        <is>
          <t>Eğer-o zaman planlarının etkisi</t>
        </is>
      </c>
      <c r="E8" s="44" t="inlineStr">
        <is>
          <t>d ≈ 0.65; niyeti eyleme bağlar.</t>
        </is>
      </c>
    </row>
    <row r="9" ht="32" customHeight="1">
      <c r="B9" s="45" t="inlineStr">
        <is>
          <t>Sonra</t>
        </is>
      </c>
      <c r="C9" s="41" t="inlineStr">
        <is>
          <t>Gabriele Oettingen — Rethinking Positive Thinking</t>
        </is>
      </c>
      <c r="D9" s="41" t="inlineStr">
        <is>
          <t>Neden sadece hayal yetmez</t>
        </is>
      </c>
      <c r="E9" s="42" t="inlineStr">
        <is>
          <t>WOOP’un kitabı.</t>
        </is>
      </c>
    </row>
    <row r="10" ht="32" customHeight="1">
      <c r="B10" s="45" t="inlineStr">
        <is>
          <t>Sonra</t>
        </is>
      </c>
      <c r="C10" s="43" t="inlineStr">
        <is>
          <t>Neville — The Law and the Promise</t>
        </is>
      </c>
      <c r="D10" s="43" t="inlineStr">
        <is>
          <t>Uygulama hikâyeleri</t>
        </is>
      </c>
      <c r="E10" s="44" t="inlineStr">
        <is>
          <t>Teknik oturduktan sonra.</t>
        </is>
      </c>
    </row>
    <row r="11" ht="32" customHeight="1">
      <c r="B11" s="45" t="inlineStr">
        <is>
          <t>Sonra</t>
        </is>
      </c>
      <c r="C11" s="41" t="inlineStr">
        <is>
          <t>James Clear — Atomic Habits</t>
        </is>
      </c>
      <c r="D11" s="41" t="inlineStr">
        <is>
          <t>Küçük günlük adım</t>
        </is>
      </c>
      <c r="E11" s="42" t="inlineStr">
        <is>
          <t>WOOP’un davranış yüzü.</t>
        </is>
      </c>
    </row>
    <row r="12" ht="32" customHeight="1">
      <c r="B12" s="40" t="inlineStr">
        <is>
          <t>Bu hafta</t>
        </is>
      </c>
      <c r="C12" s="43" t="inlineStr">
        <is>
          <t>Sahibinden / yetkili galeri</t>
        </is>
      </c>
      <c r="D12" s="43" t="inlineStr">
        <is>
          <t>3 aday, gerçek fiyat</t>
        </is>
      </c>
      <c r="E12" s="44" t="inlineStr">
        <is>
          <t>Saatlerce bakma; 2 mesaj at.</t>
        </is>
      </c>
    </row>
    <row r="13" ht="32" customHeight="1">
      <c r="B13" s="40" t="inlineStr">
        <is>
          <t>Bu hafta</t>
        </is>
      </c>
      <c r="C13" s="41" t="inlineStr">
        <is>
          <t>Trafik sigortası + kasko teklifi</t>
        </is>
      </c>
      <c r="D13" s="41" t="inlineStr">
        <is>
          <t>Aylık gerçek maliyet</t>
        </is>
      </c>
      <c r="E13" s="42" t="inlineStr">
        <is>
          <t>Araba fiyatının yanında bunu da yaz.</t>
        </is>
      </c>
    </row>
    <row r="14" ht="32" customHeight="1">
      <c r="B14" s="46" t="inlineStr">
        <is>
          <t>Uzak dur</t>
        </is>
      </c>
      <c r="C14" s="43" t="inlineStr">
        <is>
          <t>“Evren bugün araba yollar” reelleri</t>
        </is>
      </c>
      <c r="D14" s="43" t="inlineStr">
        <is>
          <t>Dağıtır</t>
        </is>
      </c>
      <c r="E14" s="44" t="inlineStr">
        <is>
          <t>7 gün protokolü bozar.</t>
        </is>
      </c>
    </row>
    <row r="15" ht="32" customHeight="1">
      <c r="B15" s="46" t="inlineStr">
        <is>
          <t>Uzak dur</t>
        </is>
      </c>
      <c r="C15" s="41" t="inlineStr">
        <is>
          <t>10 modeli aynı anda hayal</t>
        </is>
      </c>
      <c r="D15" s="41" t="inlineStr">
        <is>
          <t>Odak kaçması</t>
        </is>
      </c>
      <c r="E15" s="42" t="inlineStr">
        <is>
          <t>En fazla 3 aday.</t>
        </is>
      </c>
    </row>
    <row r="16" ht="32" customHeight="1">
      <c r="B16" s="46" t="inlineStr">
        <is>
          <t>Uzak dur</t>
        </is>
      </c>
      <c r="C16" s="43" t="inlineStr">
        <is>
          <t>Birinin sana almasını beklemek</t>
        </is>
      </c>
      <c r="D16" s="43" t="inlineStr">
        <is>
          <t>Pasiflik</t>
        </is>
      </c>
      <c r="E16" s="44" t="inlineStr">
        <is>
          <t>Biriktir / kredi / 2. el senin adımın.</t>
        </is>
      </c>
    </row>
  </sheetData>
  <mergeCells count="1">
    <mergeCell ref="B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2026-09-21T13:10:46Z</dcterms:created>
  <dcterms:modified xmlns:dcterms="http://purl.org/dc/terms/" xmlns:xsi="http://www.w3.org/2001/XMLSchema-instance" xsi:type="dcterms:W3CDTF">2026-09-21T13:10:46Z</dcterms:modified>
</cp:coreProperties>
</file>
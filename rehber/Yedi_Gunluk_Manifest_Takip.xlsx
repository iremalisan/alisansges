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ıl kullanılır" sheetId="1" state="visible" r:id="rId1"/>
    <sheet xmlns:r="http://schemas.openxmlformats.org/officeDocument/2006/relationships" name="Cümle" sheetId="2" state="visible" r:id="rId2"/>
    <sheet xmlns:r="http://schemas.openxmlformats.org/officeDocument/2006/relationships" name="WOOP" sheetId="3" state="visible" r:id="rId3"/>
    <sheet xmlns:r="http://schemas.openxmlformats.org/officeDocument/2006/relationships" name="Takip" sheetId="4" state="visible" r:id="rId4"/>
    <sheet xmlns:r="http://schemas.openxmlformats.org/officeDocument/2006/relationships" name="Kaynaklar" sheetId="5" state="visible" r:id="rId5"/>
  </sheets>
  <definedNames>
    <definedName name="_xlnm.Print_Titles" localSheetId="0">'Nasıl kullanılır'!$1:$5</definedName>
    <definedName name="_xlnm._FilterDatabase" localSheetId="3" hidden="1">'Takip'!$A$5:$L$12</definedName>
    <definedName name="_xlnm.Print_Titles" localSheetId="3">'Takip'!$1:$5</definedName>
  </definedNames>
  <calcPr calcId="124519" fullCalcOnLoad="1"/>
</workbook>
</file>

<file path=xl/styles.xml><?xml version="1.0" encoding="utf-8"?>
<styleSheet xmlns="http://schemas.openxmlformats.org/spreadsheetml/2006/main">
  <numFmts count="1">
    <numFmt numFmtId="164" formatCode="0&quot;%&quot;"/>
  </numFmts>
  <fonts count="19">
    <font>
      <name val="Calibri"/>
      <family val="2"/>
      <color theme="1"/>
      <sz val="11"/>
      <scheme val="minor"/>
    </font>
    <font>
      <name val="Calibri"/>
      <b val="1"/>
      <color rgb="002A163A"/>
      <sz val="22"/>
    </font>
    <font>
      <name val="Calibri"/>
      <color rgb="006E6076"/>
      <sz val="12"/>
    </font>
    <font>
      <name val="Calibri"/>
      <b val="1"/>
      <color rgb="00FFFFFF"/>
      <sz val="11"/>
    </font>
    <font>
      <name val="Calibri"/>
      <b val="1"/>
      <color rgb="00FFFFFF"/>
      <sz val="14"/>
    </font>
    <font>
      <name val="Calibri"/>
      <color rgb="0020182A"/>
      <sz val="12"/>
    </font>
    <font>
      <name val="Calibri"/>
      <b val="1"/>
      <color rgb="002A163A"/>
      <sz val="13"/>
    </font>
    <font>
      <name val="Calibri"/>
      <color rgb="006E6076"/>
      <sz val="11"/>
    </font>
    <font>
      <name val="Calibri"/>
      <b val="1"/>
      <color rgb="002A163A"/>
      <sz val="20"/>
    </font>
    <font>
      <name val="Calibri"/>
      <b val="1"/>
      <color rgb="00C45476"/>
      <sz val="12"/>
    </font>
    <font>
      <name val="Calibri"/>
      <i val="1"/>
      <color rgb="006E6076"/>
      <sz val="11"/>
    </font>
    <font>
      <name val="Calibri"/>
      <b val="1"/>
      <color rgb="00FFFFFF"/>
      <sz val="18"/>
    </font>
    <font>
      <name val="Calibri"/>
      <b val="1"/>
      <color rgb="002A163A"/>
      <sz val="14"/>
    </font>
    <font>
      <name val="Calibri"/>
      <i val="1"/>
      <color rgb="006E6076"/>
      <sz val="10"/>
    </font>
    <font>
      <name val="Calibri"/>
      <b val="1"/>
      <color rgb="002A163A"/>
      <sz val="12"/>
    </font>
    <font>
      <name val="Calibri"/>
      <b val="1"/>
      <color rgb="00FFFFFF"/>
      <sz val="12"/>
    </font>
    <font>
      <name val="Calibri"/>
      <b val="1"/>
      <color rgb="002A163A"/>
      <sz val="16"/>
    </font>
    <font>
      <name val="Calibri"/>
      <b val="1"/>
      <color rgb="006E6076"/>
      <sz val="11"/>
    </font>
    <font>
      <name val="Calibri"/>
      <color rgb="0020182A"/>
      <sz val="11"/>
    </font>
  </fonts>
  <fills count="10">
    <fill>
      <patternFill/>
    </fill>
    <fill>
      <patternFill patternType="gray125"/>
    </fill>
    <fill>
      <patternFill patternType="solid">
        <fgColor rgb="002A163A"/>
      </patternFill>
    </fill>
    <fill>
      <patternFill patternType="solid">
        <fgColor rgb="00C45476"/>
      </patternFill>
    </fill>
    <fill>
      <patternFill patternType="solid">
        <fgColor rgb="00FBF6EE"/>
      </patternFill>
    </fill>
    <fill>
      <patternFill patternType="solid">
        <fgColor rgb="00EDE4F5"/>
      </patternFill>
    </fill>
    <fill>
      <patternFill patternType="solid">
        <fgColor rgb="00FFF3B0"/>
      </patternFill>
    </fill>
    <fill>
      <patternFill patternType="solid">
        <fgColor rgb="00C99A4A"/>
      </patternFill>
    </fill>
    <fill>
      <patternFill patternType="solid">
        <fgColor rgb="00E8F4EC"/>
      </patternFill>
    </fill>
    <fill>
      <patternFill patternType="solid">
        <fgColor rgb="002E8060"/>
      </patternFill>
    </fill>
  </fills>
  <borders count="6">
    <border>
      <left/>
      <right/>
      <top/>
      <bottom/>
      <diagonal/>
    </border>
    <border>
      <left style="thin">
        <color rgb="00D8CCE0"/>
      </left>
      <right style="thin">
        <color rgb="00D8CCE0"/>
      </right>
      <top style="thin">
        <color rgb="00D8CCE0"/>
      </top>
      <bottom style="thin">
        <color rgb="00D8CCE0"/>
      </bottom>
    </border>
    <border>
      <left/>
      <right/>
      <top style="thin">
        <color rgb="00D8CCE0"/>
      </top>
      <bottom/>
      <diagonal/>
    </border>
    <border>
      <left/>
      <right style="thin">
        <color rgb="00D8CCE0"/>
      </right>
      <top style="thin">
        <color rgb="00D8CCE0"/>
      </top>
      <bottom/>
      <diagonal/>
    </border>
    <border>
      <left/>
      <right/>
      <top style="thin">
        <color rgb="00D8CCE0"/>
      </top>
      <bottom style="thin">
        <color rgb="00D8CCE0"/>
      </bottom>
      <diagonal/>
    </border>
    <border>
      <left/>
      <right style="thin">
        <color rgb="00D8CCE0"/>
      </right>
      <top style="thin">
        <color rgb="00D8CCE0"/>
      </top>
      <bottom style="thin">
        <color rgb="00D8CCE0"/>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0" fillId="0" borderId="1" pivotButton="0" quotePrefix="0" xfId="0"/>
    <xf numFmtId="0" fontId="5" fillId="5" borderId="1" applyAlignment="1" pivotButton="0" quotePrefix="0" xfId="0">
      <alignment horizontal="left" vertical="center" wrapText="1"/>
    </xf>
    <xf numFmtId="0" fontId="6" fillId="6"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pivotButton="0" quotePrefix="0" xfId="0"/>
    <xf numFmtId="0" fontId="9" fillId="0" borderId="0" pivotButton="0" quotePrefix="0" xfId="0"/>
    <xf numFmtId="0" fontId="10" fillId="6" borderId="1" applyAlignment="1" pivotButton="0" quotePrefix="0" xfId="0">
      <alignment horizontal="left" vertical="center" wrapText="1"/>
    </xf>
    <xf numFmtId="0" fontId="0" fillId="6" borderId="1" pivotButton="0" quotePrefix="0" xfId="0"/>
    <xf numFmtId="0" fontId="0" fillId="6" borderId="1" applyAlignment="1" pivotButton="0" quotePrefix="0" xfId="0">
      <alignment horizontal="left" vertical="center" wrapText="1"/>
    </xf>
    <xf numFmtId="0" fontId="0" fillId="0" borderId="1" applyAlignment="1" pivotButton="0" quotePrefix="0" xfId="0">
      <alignment horizontal="left" vertical="center" wrapText="1"/>
    </xf>
    <xf numFmtId="0" fontId="6" fillId="4" borderId="0" pivotButton="0" quotePrefix="0" xfId="0"/>
    <xf numFmtId="0" fontId="11" fillId="3" borderId="1" applyAlignment="1" pivotButton="0" quotePrefix="0" xfId="0">
      <alignment horizontal="center" vertical="center" wrapText="1"/>
    </xf>
    <xf numFmtId="0" fontId="12" fillId="5" borderId="1" pivotButton="0" quotePrefix="0" xfId="0"/>
    <xf numFmtId="0" fontId="0" fillId="6" borderId="1" applyAlignment="1" pivotButton="0" quotePrefix="0" xfId="0">
      <alignment horizontal="left" vertical="top" wrapText="1"/>
    </xf>
    <xf numFmtId="0" fontId="13" fillId="0" borderId="0" pivotButton="0" quotePrefix="0" xfId="0"/>
    <xf numFmtId="0" fontId="11" fillId="7" borderId="1" applyAlignment="1" pivotButton="0" quotePrefix="0" xfId="0">
      <alignment horizontal="center" vertical="center" wrapText="1"/>
    </xf>
    <xf numFmtId="0" fontId="5" fillId="8" borderId="0" applyAlignment="1" pivotButton="0" quotePrefix="0" xfId="0">
      <alignment horizontal="left" vertical="center" wrapText="1"/>
    </xf>
    <xf numFmtId="0" fontId="9" fillId="0" borderId="0" applyAlignment="1" pivotButton="0" quotePrefix="0" xfId="0">
      <alignment horizontal="left" vertical="center" wrapText="1"/>
    </xf>
    <xf numFmtId="0" fontId="14" fillId="5" borderId="1" pivotButton="0" quotePrefix="0" xfId="0"/>
    <xf numFmtId="0" fontId="0" fillId="6" borderId="1" applyAlignment="1" pivotButton="0" quotePrefix="0" xfId="0">
      <alignment horizontal="center" vertical="center" wrapText="1"/>
    </xf>
    <xf numFmtId="164" fontId="12" fillId="0" borderId="1" applyAlignment="1" pivotButton="0" quotePrefix="0" xfId="0">
      <alignment horizontal="center" vertical="center" wrapText="1"/>
    </xf>
    <xf numFmtId="0" fontId="15" fillId="2" borderId="0" pivotButton="0" quotePrefix="0" xfId="0"/>
    <xf numFmtId="164" fontId="16" fillId="7" borderId="0" applyAlignment="1" pivotButton="0" quotePrefix="0" xfId="0">
      <alignment horizontal="center" vertical="center" wrapText="1"/>
    </xf>
    <xf numFmtId="0" fontId="14" fillId="4" borderId="0" pivotButton="0" quotePrefix="0" xfId="0"/>
    <xf numFmtId="0" fontId="17" fillId="0" borderId="0" pivotButton="0" quotePrefix="0" xfId="0"/>
    <xf numFmtId="0" fontId="3" fillId="2" borderId="0" applyAlignment="1" pivotButton="0" quotePrefix="0" xfId="0">
      <alignment horizontal="center" vertical="center" wrapText="1"/>
    </xf>
    <xf numFmtId="0" fontId="12" fillId="5" borderId="1" applyAlignment="1" pivotButton="0" quotePrefix="0" xfId="0">
      <alignment horizontal="center" vertical="center" wrapText="1"/>
    </xf>
    <xf numFmtId="0" fontId="3" fillId="9" borderId="1" applyAlignment="1" pivotButton="0" quotePrefix="0" xfId="0">
      <alignment horizontal="left" vertical="center" wrapText="1"/>
    </xf>
    <xf numFmtId="0" fontId="18" fillId="4" borderId="1" applyAlignment="1" pivotButton="0" quotePrefix="0" xfId="0">
      <alignment horizontal="left" vertical="center" wrapText="1"/>
    </xf>
    <xf numFmtId="0" fontId="7" fillId="4" borderId="1" applyAlignment="1" pivotButton="0" quotePrefix="0" xfId="0">
      <alignment horizontal="left" vertical="center" wrapText="1"/>
    </xf>
    <xf numFmtId="0" fontId="18" fillId="5" borderId="1" applyAlignment="1" pivotButton="0" quotePrefix="0" xfId="0">
      <alignment horizontal="left" vertical="center" wrapText="1"/>
    </xf>
    <xf numFmtId="0" fontId="7"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Katman başına Evet (7 gün)</a:t>
            </a:r>
          </a:p>
        </rich>
      </tx>
    </title>
    <plotArea>
      <barChart>
        <barDir val="col"/>
        <grouping val="clustered"/>
        <ser>
          <idx val="0"/>
          <order val="0"/>
          <tx>
            <strRef>
              <f>'Takip'!B17</f>
            </strRef>
          </tx>
          <spPr>
            <a:ln xmlns:a="http://schemas.openxmlformats.org/drawingml/2006/main">
              <a:prstDash val="solid"/>
            </a:ln>
          </spPr>
          <cat>
            <numRef>
              <f>'Takip'!$B$17:$F$17</f>
            </numRef>
          </cat>
          <val>
            <numRef>
              <f>'Takip'!$C$17:$F$17</f>
            </numRef>
          </val>
        </ser>
        <ser>
          <idx val="1"/>
          <order val="1"/>
          <tx>
            <strRef>
              <f>'Takip'!B18</f>
            </strRef>
          </tx>
          <spPr>
            <a:ln xmlns:a="http://schemas.openxmlformats.org/drawingml/2006/main">
              <a:prstDash val="solid"/>
            </a:ln>
          </spPr>
          <cat>
            <numRef>
              <f>'Takip'!$B$17:$F$17</f>
            </numRef>
          </cat>
          <val>
            <numRef>
              <f>'Takip'!$C$18:$F$18</f>
            </numRef>
          </val>
        </ser>
        <gapWidth val="150"/>
        <axId val="10"/>
        <axId val="100"/>
      </barChart>
      <catAx>
        <axId val="10"/>
        <scaling>
          <orientation val="minMax"/>
        </scaling>
        <axPos val="l"/>
        <majorTickMark val="none"/>
        <minorTickMark val="none"/>
        <crossAx val="100"/>
        <lblOffset val="100"/>
      </catAx>
      <valAx>
        <axId val="100"/>
        <scaling>
          <orientation val="minMax"/>
          <max val="7"/>
          <min val="0"/>
        </scaling>
        <axPos val="l"/>
        <majorGridlines/>
        <title>
          <tx>
            <rich>
              <a:bodyPr xmlns:a="http://schemas.openxmlformats.org/drawingml/2006/main"/>
              <a:p xmlns:a="http://schemas.openxmlformats.org/drawingml/2006/main">
                <a:pPr>
                  <a:defRPr/>
                </a:pPr>
                <a:r>
                  <a:t>gün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19</row>
      <rowOff>0</rowOff>
    </from>
    <ext cx="54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C45476"/>
    <outlinePr summaryBelow="1" summaryRight="1"/>
    <pageSetUpPr fitToPage="1"/>
  </sheetPr>
  <dimension ref="A2:G1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2" customWidth="1" min="3" max="3"/>
    <col width="18" customWidth="1" min="4" max="4"/>
    <col width="18" customWidth="1" min="5" max="5"/>
    <col width="18" customWidth="1" min="6" max="6"/>
    <col width="28" customWidth="1" min="7" max="7"/>
  </cols>
  <sheetData>
    <row r="2" ht="28" customHeight="1">
      <c r="B2" s="1" t="inlineStr">
        <is>
          <t>7 günde hızlı manifest — takip tablosu</t>
        </is>
      </c>
    </row>
    <row r="3">
      <c r="B3" s="2" t="inlineStr">
        <is>
          <t>Sarı hücrelere yaz. Diğer sütunlar otomatik dolar. 7 gün aynı istek, aynı cümle.</t>
        </is>
      </c>
    </row>
    <row r="5">
      <c r="A5" s="3" t="inlineStr"/>
      <c r="B5" s="3" t="inlineStr">
        <is>
          <t>Adım</t>
        </is>
      </c>
      <c r="C5" s="3" t="inlineStr">
        <is>
          <t>Ne yapacaksın</t>
        </is>
      </c>
      <c r="D5" s="4" t="n"/>
      <c r="E5" s="4" t="n"/>
      <c r="F5" s="4" t="n"/>
      <c r="G5" s="5" t="n"/>
    </row>
    <row r="6" ht="36" customHeight="1">
      <c r="B6" s="6" t="inlineStr">
        <is>
          <t>1</t>
        </is>
      </c>
      <c r="C6" s="7" t="inlineStr">
        <is>
          <t>Cümle sayfasına 369 cümleni yaz. Süzgeç 5/5 olana kadar küçült veya somutlaştır.</t>
        </is>
      </c>
      <c r="D6" s="8" t="n"/>
      <c r="E6" s="8" t="n"/>
      <c r="F6" s="8" t="n"/>
      <c r="G6" s="8" t="n"/>
    </row>
    <row r="7" ht="36" customHeight="1">
      <c r="B7" s="6" t="inlineStr">
        <is>
          <t>2</t>
        </is>
      </c>
      <c r="C7" s="9" t="inlineStr">
        <is>
          <t>WOOP sayfasında iç engeli ve eğer-o zaman planını doldur.</t>
        </is>
      </c>
      <c r="D7" s="8" t="n"/>
      <c r="E7" s="8" t="n"/>
      <c r="F7" s="8" t="n"/>
      <c r="G7" s="8" t="n"/>
    </row>
    <row r="8" ht="36" customHeight="1">
      <c r="B8" s="6" t="inlineStr">
        <is>
          <t>3</t>
        </is>
      </c>
      <c r="C8" s="7" t="inlineStr">
        <is>
          <t>Her gün Takip sayfasında Evet/Hayır işaretle, somut adımı bir cümleyle yaz, his notunu 1–10 ver.</t>
        </is>
      </c>
      <c r="D8" s="8" t="n"/>
      <c r="E8" s="8" t="n"/>
      <c r="F8" s="8" t="n"/>
      <c r="G8" s="8" t="n"/>
    </row>
    <row r="9" ht="36" customHeight="1">
      <c r="B9" s="6" t="inlineStr">
        <is>
          <t>4</t>
        </is>
      </c>
      <c r="C9" s="9" t="inlineStr">
        <is>
          <t>Skor %80 altındaysa teknik ekleme; eksik katmanı (yazış / SATS / adım) tamamla.</t>
        </is>
      </c>
      <c r="D9" s="8" t="n"/>
      <c r="E9" s="8" t="n"/>
      <c r="F9" s="8" t="n"/>
      <c r="G9" s="8" t="n"/>
    </row>
    <row r="10" ht="36" customHeight="1">
      <c r="B10" s="6" t="inlineStr">
        <is>
          <t>5</t>
        </is>
      </c>
      <c r="C10" s="7" t="inlineStr">
        <is>
          <t>7. gün özet satırını oku. Cümleyi gerekirse %10 netleştir, 21 güne uzat.</t>
        </is>
      </c>
      <c r="D10" s="8" t="n"/>
      <c r="E10" s="8" t="n"/>
      <c r="F10" s="8" t="n"/>
      <c r="G10" s="8" t="n"/>
    </row>
    <row r="12" ht="28" customHeight="1">
      <c r="B12" s="10" t="inlineStr">
        <is>
          <t>Hız formülü: tek istek + 369 (3-6-9) + gece SATS + her gün 1 somut adım (WOOP).</t>
        </is>
      </c>
    </row>
    <row r="14">
      <c r="B14" s="11" t="inlineStr">
        <is>
          <t>Dürüst not: Bu tablo bir sihir garantisi değildir. Dikkatini, hissini ve 10 dakikalık davranışını aynı yöne kilitler. Kaynak omurga: Neville Goddard — Feeling is the Secret (SATS); Gabriele Oettingen — WOOP (woopmylife.org); elle yazılan 369 tekrarı bir odak ritmi olarak kullanılır, Tesla formülü değildir.</t>
        </is>
      </c>
    </row>
    <row r="15"/>
    <row r="16"/>
  </sheetData>
  <mergeCells count="10">
    <mergeCell ref="B3:G3"/>
    <mergeCell ref="B2:G2"/>
    <mergeCell ref="B14:G16"/>
    <mergeCell ref="C7:G7"/>
    <mergeCell ref="C6:G6"/>
    <mergeCell ref="C10:G10"/>
    <mergeCell ref="C5:G5"/>
    <mergeCell ref="B12:G12"/>
    <mergeCell ref="C8:G8"/>
    <mergeCell ref="C9:G9"/>
  </mergeCells>
  <pageMargins left="0.75" right="0.75" top="1" bottom="1" header="0.5" footer="0.5"/>
  <pageSetup orientation="landscape" fitToHeight="1" fitToWidth="1"/>
</worksheet>
</file>

<file path=xl/worksheets/sheet2.xml><?xml version="1.0" encoding="utf-8"?>
<worksheet xmlns="http://schemas.openxmlformats.org/spreadsheetml/2006/main">
  <sheetPr>
    <tabColor rgb="00C99A4A"/>
    <outlinePr summaryBelow="1" summaryRight="1"/>
    <pageSetUpPr/>
  </sheetPr>
  <dimension ref="A2:F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52" customWidth="1" min="2" max="2"/>
    <col width="16" customWidth="1" min="3" max="3"/>
    <col width="22" customWidth="1" min="4" max="4"/>
    <col width="18" customWidth="1" min="5" max="5"/>
    <col width="18" customWidth="1" min="6" max="6"/>
  </cols>
  <sheetData>
    <row r="2">
      <c r="B2" s="12" t="inlineStr">
        <is>
          <t>369 cümlesi</t>
        </is>
      </c>
    </row>
    <row r="3">
      <c r="B3" s="2" t="inlineStr">
        <is>
          <t>Sarı hücre senin. Şimdiki zaman, minnettarlık, duygu, 25 kelimeyi geçme.</t>
        </is>
      </c>
    </row>
    <row r="5">
      <c r="B5" s="13" t="inlineStr">
        <is>
          <t>Tek isteğim (ham hali)</t>
        </is>
      </c>
    </row>
    <row r="6" ht="48" customHeight="1">
      <c r="B6" s="14" t="inlineStr">
        <is>
          <t>Bu ay nakit akışım rahatlasın</t>
        </is>
      </c>
      <c r="C6" s="15" t="n"/>
      <c r="D6" s="15" t="n"/>
      <c r="E6" s="15" t="n"/>
      <c r="F6" s="15" t="n"/>
    </row>
    <row r="7">
      <c r="B7" s="13" t="inlineStr">
        <is>
          <t>369 cümlem (kilit)</t>
        </is>
      </c>
    </row>
    <row r="8" ht="48" customHeight="1">
      <c r="B8" s="14" t="inlineStr">
        <is>
          <t>Çok minnettarım, bu ay faturalarım rahat ödeniyor ve kendimi güvende hissediyorum.</t>
        </is>
      </c>
      <c r="C8" s="15" t="n"/>
      <c r="D8" s="15" t="n"/>
      <c r="E8" s="15" t="n"/>
      <c r="F8" s="15" t="n"/>
    </row>
    <row r="9">
      <c r="B9" s="13" t="inlineStr">
        <is>
          <t>SATS sahnesi (5–10 sn, olduktan SONRA)</t>
        </is>
      </c>
    </row>
    <row r="10" ht="48" customHeight="1">
      <c r="B10" s="14" t="inlineStr">
        <is>
          <t>Mutfakta kahvemi içerken bakiyeyi görüp omuzlarımın düştüğünü hissediyorum.</t>
        </is>
      </c>
      <c r="C10" s="15" t="n"/>
      <c r="D10" s="15" t="n"/>
      <c r="E10" s="15" t="n"/>
      <c r="F10" s="15" t="n"/>
    </row>
    <row r="11">
      <c r="B11" s="13" t="inlineStr">
        <is>
          <t>Bugün atabileceğim en küçük adım</t>
        </is>
      </c>
    </row>
    <row r="12" ht="48" customHeight="1">
      <c r="B12" s="14" t="inlineStr">
        <is>
          <t>Bugün bir teklif maili gönderiyorum.</t>
        </is>
      </c>
      <c r="C12" s="15" t="n"/>
      <c r="D12" s="15" t="n"/>
      <c r="E12" s="15" t="n"/>
      <c r="F12" s="15" t="n"/>
    </row>
    <row r="14">
      <c r="A14" s="3" t="inlineStr"/>
      <c r="B14" s="3" t="inlineStr">
        <is>
          <t>Süzgeç</t>
        </is>
      </c>
      <c r="C14" s="3" t="inlineStr">
        <is>
          <t>Evet / Hayır</t>
        </is>
      </c>
      <c r="D14" s="3" t="inlineStr">
        <is>
          <t>Not</t>
        </is>
      </c>
      <c r="E14" s="3" t="inlineStr"/>
      <c r="F14" s="3" t="inlineStr"/>
    </row>
    <row r="15" ht="28" customHeight="1">
      <c r="B15" s="9" t="inlineStr">
        <is>
          <t>90 gün içinde mümkün mü?</t>
        </is>
      </c>
      <c r="C15" s="16" t="inlineStr">
        <is>
          <t>Evet</t>
        </is>
      </c>
      <c r="D15" s="16" t="n"/>
      <c r="E15" s="17" t="n"/>
      <c r="F15" s="17" t="n"/>
    </row>
    <row r="16" ht="28" customHeight="1">
      <c r="B16" s="9" t="inlineStr">
        <is>
          <t>Hayal edince vücutta yumuşama var mı?</t>
        </is>
      </c>
      <c r="C16" s="16" t="inlineStr">
        <is>
          <t>Evet</t>
        </is>
      </c>
      <c r="D16" s="16" t="n"/>
      <c r="E16" s="17" t="n"/>
      <c r="F16" s="17" t="n"/>
    </row>
    <row r="17" ht="28" customHeight="1">
      <c r="B17" s="9" t="inlineStr">
        <is>
          <t>Atabileceğin en az bir adım var mı?</t>
        </is>
      </c>
      <c r="C17" s="16" t="inlineStr">
        <is>
          <t>Evet</t>
        </is>
      </c>
      <c r="D17" s="16" t="n"/>
      <c r="E17" s="17" t="n"/>
      <c r="F17" s="17" t="n"/>
    </row>
    <row r="18" ht="28" customHeight="1">
      <c r="B18" s="9" t="inlineStr">
        <is>
          <t>Başkasının iradesini zorlamıyor mu?</t>
        </is>
      </c>
      <c r="C18" s="16" t="inlineStr">
        <is>
          <t>Evet</t>
        </is>
      </c>
      <c r="D18" s="16" t="n"/>
      <c r="E18" s="17" t="n"/>
      <c r="F18" s="17" t="n"/>
    </row>
    <row r="19" ht="28" customHeight="1">
      <c r="B19" s="9" t="inlineStr">
        <is>
          <t>Ölçülebilir mi? (tarih, tutar, olay)</t>
        </is>
      </c>
      <c r="C19" s="16" t="inlineStr">
        <is>
          <t>Evet</t>
        </is>
      </c>
      <c r="D19" s="16" t="n"/>
      <c r="E19" s="17" t="n"/>
      <c r="F19" s="17" t="n"/>
    </row>
    <row r="21">
      <c r="B21" s="18">
        <f>IF(COUNTIF(C15:C19,"Evet")=5,"Süzgeç tamam — 7 güne kilit at.","Süzgeç eksik — cümleyi küçült veya somutlaştır.")</f>
        <v/>
      </c>
    </row>
  </sheetData>
  <mergeCells count="12">
    <mergeCell ref="B21:F21"/>
    <mergeCell ref="B12:F12"/>
    <mergeCell ref="D19:F19"/>
    <mergeCell ref="B6:F6"/>
    <mergeCell ref="B2:F2"/>
    <mergeCell ref="B10:F10"/>
    <mergeCell ref="B3:F3"/>
    <mergeCell ref="D18:F18"/>
    <mergeCell ref="D17:F17"/>
    <mergeCell ref="B8:F8"/>
    <mergeCell ref="D15:F15"/>
    <mergeCell ref="D16:F16"/>
  </mergeCells>
  <dataValidations count="1">
    <dataValidation sqref="C15 C16 C17 C18 C19" showDropDown="0" showInputMessage="0" showErrorMessage="0" allowBlank="1" errorTitle="Geçersiz" error="Evet veya Hayır seç" promptTitle="Süzgeç" prompt="Evet / Hayır" type="list">
      <formula1>"Evet,Hayır"</formula1>
    </dataValidation>
  </dataValidations>
  <pageMargins left="0.75" right="0.75" top="1" bottom="1" header="0.5" footer="0.5"/>
</worksheet>
</file>

<file path=xl/worksheets/sheet3.xml><?xml version="1.0" encoding="utf-8"?>
<worksheet xmlns="http://schemas.openxmlformats.org/spreadsheetml/2006/main">
  <sheetPr>
    <tabColor rgb="007A5CA8"/>
    <outlinePr summaryBelow="1" summaryRight="1"/>
    <pageSetUpPr/>
  </sheetPr>
  <dimension ref="B2:E26"/>
  <sheetViews>
    <sheetView showGridLines="0" workbookViewId="0">
      <selection activeCell="A1" sqref="A1"/>
    </sheetView>
  </sheetViews>
  <sheetFormatPr baseColWidth="8" defaultRowHeight="15"/>
  <cols>
    <col width="3" customWidth="1" min="1" max="1"/>
    <col width="10" customWidth="1" min="2" max="2"/>
    <col width="28" customWidth="1" min="3" max="3"/>
    <col width="28" customWidth="1" min="4" max="4"/>
    <col width="36" customWidth="1" min="5" max="5"/>
  </cols>
  <sheetData>
    <row r="2">
      <c r="B2" s="12" t="inlineStr">
        <is>
          <t>WOOP — istek, sonuç, iç engel, eğer-o zaman</t>
        </is>
      </c>
    </row>
    <row r="3">
      <c r="B3" s="2" t="inlineStr">
        <is>
          <t>Gabriele Oettingen. Tek başına olumlu hayal eylemi azaltabilir. Engel + plan hız kazandırır.</t>
        </is>
      </c>
    </row>
    <row r="5">
      <c r="B5" s="19" t="inlineStr">
        <is>
          <t>W</t>
        </is>
      </c>
      <c r="C5" s="20" t="inlineStr">
        <is>
          <t>Wish / İstek</t>
        </is>
      </c>
      <c r="D5" s="8" t="n"/>
      <c r="E5" s="8" t="n"/>
    </row>
    <row r="6" ht="22" customHeight="1">
      <c r="B6" s="21">
        <f>Cümle!B8</f>
        <v/>
      </c>
      <c r="C6" s="15" t="n"/>
      <c r="D6" s="15" t="n"/>
      <c r="E6" s="15" t="n"/>
    </row>
    <row r="7" ht="28" customHeight="1">
      <c r="B7" s="15" t="n"/>
      <c r="C7" s="15" t="n"/>
      <c r="D7" s="15" t="n"/>
      <c r="E7" s="15" t="n"/>
    </row>
    <row r="8">
      <c r="B8" s="22" t="inlineStr">
        <is>
          <t>Tek dilek, 369 cümlesiyle aynı.</t>
        </is>
      </c>
    </row>
    <row r="10">
      <c r="B10" s="19" t="inlineStr">
        <is>
          <t>O</t>
        </is>
      </c>
      <c r="C10" s="20" t="inlineStr">
        <is>
          <t>Outcome / Sonuç</t>
        </is>
      </c>
      <c r="D10" s="8" t="n"/>
      <c r="E10" s="8" t="n"/>
    </row>
    <row r="11" ht="22" customHeight="1">
      <c r="B11" s="21" t="inlineStr">
        <is>
          <t>Faturalar ödenmiş, omuzlar düşük, nefes rahat; ‘artık böyle’ hissi.</t>
        </is>
      </c>
      <c r="C11" s="15" t="n"/>
      <c r="D11" s="15" t="n"/>
      <c r="E11" s="15" t="n"/>
    </row>
    <row r="12" ht="28" customHeight="1">
      <c r="B12" s="15" t="n"/>
      <c r="C12" s="15" t="n"/>
      <c r="D12" s="15" t="n"/>
      <c r="E12" s="15" t="n"/>
    </row>
    <row r="13">
      <c r="B13" s="22" t="inlineStr">
        <is>
          <t>Olduğunda en güzel 30 saniye. Göğüste ne açılıyor?</t>
        </is>
      </c>
    </row>
    <row r="15">
      <c r="B15" s="19" t="inlineStr">
        <is>
          <t>O</t>
        </is>
      </c>
      <c r="C15" s="20" t="inlineStr">
        <is>
          <t>Obstacle / İç engel</t>
        </is>
      </c>
      <c r="D15" s="8" t="n"/>
      <c r="E15" s="8" t="n"/>
    </row>
    <row r="16" ht="22" customHeight="1">
      <c r="B16" s="21" t="inlineStr">
        <is>
          <t>Öğleden sonra ‘nasıl olsa olmaz’ deyip telefonu kaydırmak.</t>
        </is>
      </c>
      <c r="C16" s="15" t="n"/>
      <c r="D16" s="15" t="n"/>
      <c r="E16" s="15" t="n"/>
    </row>
    <row r="17" ht="28" customHeight="1">
      <c r="B17" s="15" t="n"/>
      <c r="C17" s="15" t="n"/>
      <c r="D17" s="15" t="n"/>
      <c r="E17" s="15" t="n"/>
    </row>
    <row r="18">
      <c r="B18" s="22" t="inlineStr">
        <is>
          <t>Erteleme, utanç, hak etmiyorum, gece telefon… Dış dünya değil.</t>
        </is>
      </c>
    </row>
    <row r="20">
      <c r="B20" s="23" t="inlineStr">
        <is>
          <t>P</t>
        </is>
      </c>
      <c r="C20" s="20" t="inlineStr">
        <is>
          <t>Plan / Eğer-o zaman</t>
        </is>
      </c>
      <c r="D20" s="8" t="n"/>
      <c r="E20" s="8" t="n"/>
    </row>
    <row r="21" ht="22" customHeight="1">
      <c r="B21" s="21" t="inlineStr">
        <is>
          <t>Eğer kaydırmaya başlarsam, telefonu başka odaya koyar 2 dakikalık maili hemen bitiririm.</t>
        </is>
      </c>
      <c r="C21" s="15" t="n"/>
      <c r="D21" s="15" t="n"/>
      <c r="E21" s="15" t="n"/>
    </row>
    <row r="22" ht="28" customHeight="1">
      <c r="B22" s="15" t="n"/>
      <c r="C22" s="15" t="n"/>
      <c r="D22" s="15" t="n"/>
      <c r="E22" s="15" t="n"/>
    </row>
    <row r="23">
      <c r="B23" s="22" t="inlineStr">
        <is>
          <t>Eğer [engel belirirse], o zaman [2 dakikalık davranış].</t>
        </is>
      </c>
    </row>
    <row r="25">
      <c r="B25" s="24" t="inlineStr">
        <is>
          <t>Hazır iskelet: Eğer öğleden sonra “nasıl olsa olmaz” diye kaydırırsam, o zaman telefonu başka odaya koyar 2 dakikalık adımı hemen bitiririm.</t>
        </is>
      </c>
    </row>
    <row r="26"/>
  </sheetData>
  <mergeCells count="15">
    <mergeCell ref="B23:E23"/>
    <mergeCell ref="B18:E18"/>
    <mergeCell ref="B8:E8"/>
    <mergeCell ref="C5:E5"/>
    <mergeCell ref="B13:E13"/>
    <mergeCell ref="B16:E17"/>
    <mergeCell ref="B3:E3"/>
    <mergeCell ref="B2:E2"/>
    <mergeCell ref="B11:E12"/>
    <mergeCell ref="B21:E22"/>
    <mergeCell ref="B25:E26"/>
    <mergeCell ref="C20:E20"/>
    <mergeCell ref="C15:E15"/>
    <mergeCell ref="B6:E7"/>
    <mergeCell ref="C10:E10"/>
  </mergeCells>
  <pageMargins left="0.75" right="0.75" top="1" bottom="1" header="0.5" footer="0.5"/>
</worksheet>
</file>

<file path=xl/worksheets/sheet4.xml><?xml version="1.0" encoding="utf-8"?>
<worksheet xmlns="http://schemas.openxmlformats.org/spreadsheetml/2006/main">
  <sheetPr>
    <tabColor rgb="002E8060"/>
    <outlinePr summaryBelow="1" summaryRight="1"/>
    <pageSetUpPr fitToPage="1"/>
  </sheetPr>
  <dimension ref="A2:L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3" customWidth="1" min="4" max="4"/>
    <col width="13" customWidth="1" min="5" max="5"/>
    <col width="13" customWidth="1" min="6" max="6"/>
    <col width="12" customWidth="1" min="7" max="7"/>
    <col width="36" customWidth="1" min="8" max="8"/>
    <col width="14" customWidth="1" min="9" max="9"/>
    <col width="12" customWidth="1" min="10" max="10"/>
    <col width="12" customWidth="1" min="11" max="11"/>
    <col width="32" customWidth="1" min="12" max="12"/>
  </cols>
  <sheetData>
    <row r="2">
      <c r="B2" s="12" t="inlineStr">
        <is>
          <t>7 günlük ritim — sarı hücreleri doldur</t>
        </is>
      </c>
    </row>
    <row r="3">
      <c r="B3" s="25">
        <f> "Kilit cümle: " &amp; IF(Cümle!B8="","(Cümle sayfasına yaz)",Cümle!B8)</f>
        <v/>
      </c>
    </row>
    <row r="5">
      <c r="A5" s="3" t="inlineStr">
        <is>
          <t>Gün</t>
        </is>
      </c>
      <c r="B5" s="3" t="inlineStr">
        <is>
          <t>Tema</t>
        </is>
      </c>
      <c r="C5" s="3" t="inlineStr">
        <is>
          <t>Tarih</t>
        </is>
      </c>
      <c r="D5" s="3" t="inlineStr">
        <is>
          <t>Sabah ×3</t>
        </is>
      </c>
      <c r="E5" s="3" t="inlineStr">
        <is>
          <t>Öğlen ×6</t>
        </is>
      </c>
      <c r="F5" s="3" t="inlineStr">
        <is>
          <t>Gece ×9</t>
        </is>
      </c>
      <c r="G5" s="3" t="inlineStr">
        <is>
          <t>SATS</t>
        </is>
      </c>
      <c r="H5" s="3" t="inlineStr">
        <is>
          <t>Somut adım (ne yaptım?)</t>
        </is>
      </c>
      <c r="I5" s="3" t="inlineStr">
        <is>
          <t>Adım oldu mu?</t>
        </is>
      </c>
      <c r="J5" s="3" t="inlineStr">
        <is>
          <t>His 1–10</t>
        </is>
      </c>
      <c r="K5" s="3" t="inlineStr">
        <is>
          <t>Gün skoru</t>
        </is>
      </c>
      <c r="L5" s="3" t="inlineStr">
        <is>
          <t>Not / şüpheyi bırak</t>
        </is>
      </c>
    </row>
    <row r="6" ht="42" customHeight="1">
      <c r="A6" s="6" t="n">
        <v>1</v>
      </c>
      <c r="B6" s="26" t="inlineStr">
        <is>
          <t>Netleş</t>
        </is>
      </c>
      <c r="C6" s="27" t="inlineStr">
        <is>
          <t>21.09.2026</t>
        </is>
      </c>
      <c r="D6" s="27" t="inlineStr">
        <is>
          <t>Evet</t>
        </is>
      </c>
      <c r="E6" s="27" t="inlineStr">
        <is>
          <t>Evet</t>
        </is>
      </c>
      <c r="F6" s="27" t="inlineStr">
        <is>
          <t>Evet</t>
        </is>
      </c>
      <c r="G6" s="27" t="inlineStr">
        <is>
          <t>Evet</t>
        </is>
      </c>
      <c r="H6" s="16" t="inlineStr">
        <is>
          <t>Teklif maili taslağını bitirdim.</t>
        </is>
      </c>
      <c r="I6" s="27" t="inlineStr">
        <is>
          <t>Evet</t>
        </is>
      </c>
      <c r="J6" s="27" t="n">
        <v>8</v>
      </c>
      <c r="K6" s="28">
        <f>IF(COUNTA(D6:G6,I6)=0,"—",INT(20*(COUNTIF(D6,"Evet")+COUNTIF(E6,"Evet")+COUNTIF(F6,"Evet")+COUNTIF(G6,"Evet")+COUNTIF(I6,"Evet"))))</f>
        <v/>
      </c>
      <c r="L6" s="16" t="inlineStr">
        <is>
          <t>Şüphe geldi, yazıp kapattım.</t>
        </is>
      </c>
    </row>
    <row r="7" ht="42" customHeight="1">
      <c r="A7" s="6" t="n">
        <v>2</v>
      </c>
      <c r="B7" s="26" t="inlineStr">
        <is>
          <t>Ritim</t>
        </is>
      </c>
      <c r="C7" s="27" t="n"/>
      <c r="D7" s="27" t="n"/>
      <c r="E7" s="27" t="n"/>
      <c r="F7" s="27" t="n"/>
      <c r="G7" s="27" t="n"/>
      <c r="H7" s="16" t="n"/>
      <c r="I7" s="27" t="n"/>
      <c r="J7" s="27" t="n"/>
      <c r="K7" s="28">
        <f>IF(COUNTA(D7:G7,I7)=0,"—",INT(20*(COUNTIF(D7,"Evet")+COUNTIF(E7,"Evet")+COUNTIF(F7,"Evet")+COUNTIF(G7,"Evet")+COUNTIF(I7,"Evet"))))</f>
        <v/>
      </c>
      <c r="L7" s="16" t="n"/>
    </row>
    <row r="8" ht="42" customHeight="1">
      <c r="A8" s="6" t="n">
        <v>3</v>
      </c>
      <c r="B8" s="26" t="inlineStr">
        <is>
          <t>Hikâye</t>
        </is>
      </c>
      <c r="C8" s="27" t="n"/>
      <c r="D8" s="27" t="n"/>
      <c r="E8" s="27" t="n"/>
      <c r="F8" s="27" t="n"/>
      <c r="G8" s="27" t="n"/>
      <c r="H8" s="16" t="n"/>
      <c r="I8" s="27" t="n"/>
      <c r="J8" s="27" t="n"/>
      <c r="K8" s="28">
        <f>IF(COUNTA(D8:G8,I8)=0,"—",INT(20*(COUNTIF(D8,"Evet")+COUNTIF(E8,"Evet")+COUNTIF(F8,"Evet")+COUNTIF(G8,"Evet")+COUNTIF(I8,"Evet"))))</f>
        <v/>
      </c>
      <c r="L8" s="16" t="n"/>
    </row>
    <row r="9" ht="42" customHeight="1">
      <c r="A9" s="6" t="n">
        <v>4</v>
      </c>
      <c r="B9" s="26" t="inlineStr">
        <is>
          <t>Engel</t>
        </is>
      </c>
      <c r="C9" s="27" t="n"/>
      <c r="D9" s="27" t="n"/>
      <c r="E9" s="27" t="n"/>
      <c r="F9" s="27" t="n"/>
      <c r="G9" s="27" t="n"/>
      <c r="H9" s="16" t="n"/>
      <c r="I9" s="27" t="n"/>
      <c r="J9" s="27" t="n"/>
      <c r="K9" s="28">
        <f>IF(COUNTA(D9:G9,I9)=0,"—",INT(20*(COUNTIF(D9,"Evet")+COUNTIF(E9,"Evet")+COUNTIF(F9,"Evet")+COUNTIF(G9,"Evet")+COUNTIF(I9,"Evet"))))</f>
        <v/>
      </c>
      <c r="L9" s="16" t="n"/>
    </row>
    <row r="10" ht="42" customHeight="1">
      <c r="A10" s="6" t="n">
        <v>5</v>
      </c>
      <c r="B10" s="26" t="inlineStr">
        <is>
          <t>Kimlik</t>
        </is>
      </c>
      <c r="C10" s="27" t="n"/>
      <c r="D10" s="27" t="n"/>
      <c r="E10" s="27" t="n"/>
      <c r="F10" s="27" t="n"/>
      <c r="G10" s="27" t="n"/>
      <c r="H10" s="16" t="n"/>
      <c r="I10" s="27" t="n"/>
      <c r="J10" s="27" t="n"/>
      <c r="K10" s="28">
        <f>IF(COUNTA(D10:G10,I10)=0,"—",INT(20*(COUNTIF(D10,"Evet")+COUNTIF(E10,"Evet")+COUNTIF(F10,"Evet")+COUNTIF(G10,"Evet")+COUNTIF(I10,"Evet"))))</f>
        <v/>
      </c>
      <c r="L10" s="16" t="n"/>
    </row>
    <row r="11" ht="42" customHeight="1">
      <c r="A11" s="6" t="n">
        <v>6</v>
      </c>
      <c r="B11" s="26" t="inlineStr">
        <is>
          <t>Kanıt</t>
        </is>
      </c>
      <c r="C11" s="27" t="n"/>
      <c r="D11" s="27" t="n"/>
      <c r="E11" s="27" t="n"/>
      <c r="F11" s="27" t="n"/>
      <c r="G11" s="27" t="n"/>
      <c r="H11" s="16" t="n"/>
      <c r="I11" s="27" t="n"/>
      <c r="J11" s="27" t="n"/>
      <c r="K11" s="28">
        <f>IF(COUNTA(D11:G11,I11)=0,"—",INT(20*(COUNTIF(D11,"Evet")+COUNTIF(E11,"Evet")+COUNTIF(F11,"Evet")+COUNTIF(G11,"Evet")+COUNTIF(I11,"Evet"))))</f>
        <v/>
      </c>
      <c r="L11" s="16" t="n"/>
    </row>
    <row r="12" ht="42" customHeight="1">
      <c r="A12" s="6" t="n">
        <v>7</v>
      </c>
      <c r="B12" s="26" t="inlineStr">
        <is>
          <t>Mühürle</t>
        </is>
      </c>
      <c r="C12" s="27" t="n"/>
      <c r="D12" s="27" t="n"/>
      <c r="E12" s="27" t="n"/>
      <c r="F12" s="27" t="n"/>
      <c r="G12" s="27" t="n"/>
      <c r="H12" s="16" t="n"/>
      <c r="I12" s="27" t="n"/>
      <c r="J12" s="27" t="n"/>
      <c r="K12" s="28">
        <f>IF(COUNTA(D12:G12,I12)=0,"—",INT(20*(COUNTIF(D12,"Evet")+COUNTIF(E12,"Evet")+COUNTIF(F12,"Evet")+COUNTIF(G12,"Evet")+COUNTIF(I12,"Evet"))))</f>
        <v/>
      </c>
      <c r="L12" s="16" t="n"/>
    </row>
    <row r="14">
      <c r="B14" s="29" t="inlineStr">
        <is>
          <t>7 gün ortalama skor</t>
        </is>
      </c>
      <c r="D14" s="30">
        <f>IF(COUNT(K6:K12)=0,"—",INT(AVERAGE(K6:K12)))</f>
        <v/>
      </c>
      <c r="F14" s="31">
        <f>IF(D14="—","Henüz gün işaretlenmedi.",IF(D14&gt;=80,"Ritim oturmuş. 21 güne uzat, yeni teknik ekleme.","Eksik katmanı tamamla: yazış, SATS veya somut adım."))</f>
        <v/>
      </c>
    </row>
    <row r="16">
      <c r="B16" s="32" t="inlineStr">
        <is>
          <t>Evet sayısı (yazış + SATS + adım)</t>
        </is>
      </c>
    </row>
    <row r="17">
      <c r="B17" s="33" t="inlineStr">
        <is>
          <t>Sabah</t>
        </is>
      </c>
      <c r="C17" s="33" t="inlineStr">
        <is>
          <t>Öğlen</t>
        </is>
      </c>
      <c r="D17" s="33" t="inlineStr">
        <is>
          <t>Gece</t>
        </is>
      </c>
      <c r="E17" s="33" t="inlineStr">
        <is>
          <t>SATS</t>
        </is>
      </c>
      <c r="F17" s="33" t="inlineStr">
        <is>
          <t>Adım</t>
        </is>
      </c>
    </row>
    <row r="18">
      <c r="B18" s="34">
        <f>COUNTIF(D6:D12,"Evet")</f>
        <v/>
      </c>
      <c r="C18" s="34">
        <f>COUNTIF(E6:E12,"Evet")</f>
        <v/>
      </c>
      <c r="D18" s="34">
        <f>COUNTIF(F6:F12,"Evet")</f>
        <v/>
      </c>
      <c r="E18" s="34">
        <f>COUNTIF(G6:G12,"Evet")</f>
        <v/>
      </c>
      <c r="F18" s="34">
        <f>COUNTIF(I6:I12,"Evet")</f>
        <v/>
      </c>
    </row>
  </sheetData>
  <autoFilter ref="A5:L12"/>
  <mergeCells count="6">
    <mergeCell ref="F14:L14"/>
    <mergeCell ref="B16:L16"/>
    <mergeCell ref="B3:L3"/>
    <mergeCell ref="B2:L2"/>
    <mergeCell ref="D14:E14"/>
    <mergeCell ref="B14:C14"/>
  </mergeCells>
  <conditionalFormatting sqref="K6:K12">
    <cfRule type="colorScale" priority="1">
      <colorScale>
        <cfvo type="num" val="0"/>
        <cfvo type="num" val="60"/>
        <cfvo type="num" val="100"/>
        <color rgb="00F8E8EE"/>
        <color rgb="00FFF3B0"/>
        <color rgb="008FCB9B"/>
      </colorScale>
    </cfRule>
  </conditionalFormatting>
  <dataValidations count="2">
    <dataValidation sqref="D6 D7 D8 D9 D10 D11 D12 E6 E7 E8 E9 E10 E11 E12 F6 F7 F8 F9 F10 F11 F12 G6 G7 G8 G9 G10 G11 G12 I6 I7 I8 I9 I10 I11 I12" showDropDown="0" showInputMessage="0" showErrorMessage="0" allowBlank="1" type="list">
      <formula1>"Evet,Hayır"</formula1>
    </dataValidation>
    <dataValidation sqref="J6 J7 J8 J9 J10 J11 J12" showDropDown="0" showInputMessage="0" showErrorMessage="0" allowBlank="1" error="1 ile 10 arası yaz" type="whole" operator="between">
      <formula1>1</formula1>
      <formula2>10</formula2>
    </dataValidation>
  </dataValidations>
  <pageMargins left="0.75" right="0.75" top="1" bottom="1" header="0.5" footer="0.5"/>
  <pageSetup orientation="landscape" paperSize="9" fitToHeight="1" fitToWidth="1"/>
  <drawing xmlns:r="http://schemas.openxmlformats.org/officeDocument/2006/relationships" r:id="rId1"/>
</worksheet>
</file>

<file path=xl/worksheets/sheet5.xml><?xml version="1.0" encoding="utf-8"?>
<worksheet xmlns="http://schemas.openxmlformats.org/spreadsheetml/2006/main">
  <sheetPr>
    <tabColor rgb="00C99A4A"/>
    <outlinePr summaryBelow="1" summaryRight="1"/>
    <pageSetUpPr/>
  </sheetPr>
  <dimension ref="A2:E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48" customWidth="1" min="3" max="3"/>
    <col width="42" customWidth="1" min="4" max="4"/>
    <col width="36" customWidth="1" min="5" max="5"/>
  </cols>
  <sheetData>
    <row r="2">
      <c r="B2" s="12" t="inlineStr">
        <is>
          <t>Nereleri araştır, nerede takılma</t>
        </is>
      </c>
    </row>
    <row r="4">
      <c r="A4" s="3" t="inlineStr"/>
      <c r="B4" s="3" t="inlineStr">
        <is>
          <t>Öncelik</t>
        </is>
      </c>
      <c r="C4" s="3" t="inlineStr">
        <is>
          <t>Kaynak</t>
        </is>
      </c>
      <c r="D4" s="3" t="inlineStr">
        <is>
          <t>Ne için</t>
        </is>
      </c>
      <c r="E4" s="3" t="inlineStr">
        <is>
          <t>Not</t>
        </is>
      </c>
    </row>
    <row r="5" ht="32" customHeight="1">
      <c r="B5" s="35" t="inlineStr">
        <is>
          <t>Bu hafta</t>
        </is>
      </c>
      <c r="C5" s="36" t="inlineStr">
        <is>
          <t>Neville Goddard — Feeling is the Secret</t>
        </is>
      </c>
      <c r="D5" s="36" t="inlineStr">
        <is>
          <t>SATS, uykunun eşiği, his</t>
        </is>
      </c>
      <c r="E5" s="37" t="inlineStr">
        <is>
          <t>Kısa. Önce bunu bitir.</t>
        </is>
      </c>
    </row>
    <row r="6" ht="32" customHeight="1">
      <c r="B6" s="35" t="inlineStr">
        <is>
          <t>Bu hafta</t>
        </is>
      </c>
      <c r="C6" s="38" t="inlineStr">
        <is>
          <t>Neville Goddard — The Power of Awareness</t>
        </is>
      </c>
      <c r="D6" s="38" t="inlineStr">
        <is>
          <t>Kimlik / varsayım / sonda yaşamak</t>
        </is>
      </c>
      <c r="E6" s="39" t="inlineStr">
        <is>
          <t>Cümleyi kimlik haline getirir.</t>
        </is>
      </c>
    </row>
    <row r="7" ht="32" customHeight="1">
      <c r="B7" s="35" t="inlineStr">
        <is>
          <t>Bu hafta</t>
        </is>
      </c>
      <c r="C7" s="36" t="inlineStr">
        <is>
          <t>woopmylife.org</t>
        </is>
      </c>
      <c r="D7" s="36" t="inlineStr">
        <is>
          <t>Wish-Outcome-Obstacle-Plan</t>
        </is>
      </c>
      <c r="E7" s="37" t="inlineStr">
        <is>
          <t>5 dakikalık resmi araç.</t>
        </is>
      </c>
    </row>
    <row r="8" ht="32" customHeight="1">
      <c r="B8" s="35" t="inlineStr">
        <is>
          <t>Bu hafta</t>
        </is>
      </c>
      <c r="C8" s="38" t="inlineStr">
        <is>
          <t>Gollwitzer — implementation intentions</t>
        </is>
      </c>
      <c r="D8" s="38" t="inlineStr">
        <is>
          <t>Eğer-o zaman planlarının etkisi</t>
        </is>
      </c>
      <c r="E8" s="39" t="inlineStr">
        <is>
          <t>d ≈ 0.65; niyeti eyleme bağlar.</t>
        </is>
      </c>
    </row>
    <row r="9" ht="32" customHeight="1">
      <c r="B9" s="40" t="inlineStr">
        <is>
          <t>Sonra</t>
        </is>
      </c>
      <c r="C9" s="36" t="inlineStr">
        <is>
          <t>Gabriele Oettingen — Rethinking Positive Thinking</t>
        </is>
      </c>
      <c r="D9" s="36" t="inlineStr">
        <is>
          <t>Neden sadece hayal yetmez</t>
        </is>
      </c>
      <c r="E9" s="37" t="inlineStr">
        <is>
          <t>WOOP’un kitabı.</t>
        </is>
      </c>
    </row>
    <row r="10" ht="32" customHeight="1">
      <c r="B10" s="40" t="inlineStr">
        <is>
          <t>Sonra</t>
        </is>
      </c>
      <c r="C10" s="38" t="inlineStr">
        <is>
          <t>Neville — The Law and the Promise</t>
        </is>
      </c>
      <c r="D10" s="38" t="inlineStr">
        <is>
          <t>Uygulama hikâyeleri</t>
        </is>
      </c>
      <c r="E10" s="39" t="inlineStr">
        <is>
          <t>Teknik oturduktan sonra.</t>
        </is>
      </c>
    </row>
    <row r="11" ht="32" customHeight="1">
      <c r="B11" s="40" t="inlineStr">
        <is>
          <t>Sonra</t>
        </is>
      </c>
      <c r="C11" s="36" t="inlineStr">
        <is>
          <t>James Clear — Atomic Habits</t>
        </is>
      </c>
      <c r="D11" s="36" t="inlineStr">
        <is>
          <t>Küçük günlük adım</t>
        </is>
      </c>
      <c r="E11" s="37" t="inlineStr">
        <is>
          <t>WOOP’un davranış yüzü.</t>
        </is>
      </c>
    </row>
    <row r="12" ht="32" customHeight="1">
      <c r="B12" s="41" t="inlineStr">
        <is>
          <t>Uzak dur</t>
        </is>
      </c>
      <c r="C12" s="38" t="inlineStr">
        <is>
          <t>Sonsuz koç reeli / anında zengin ol vaadi</t>
        </is>
      </c>
      <c r="D12" s="38" t="inlineStr">
        <is>
          <t>Dağıtır</t>
        </is>
      </c>
      <c r="E12" s="39" t="inlineStr">
        <is>
          <t>7 gün protokolü bozar.</t>
        </is>
      </c>
    </row>
    <row r="13" ht="32" customHeight="1">
      <c r="B13" s="41" t="inlineStr">
        <is>
          <t>Uzak dur</t>
        </is>
      </c>
      <c r="C13" s="36" t="inlineStr">
        <is>
          <t>Başkasının iradesini manipüle etme teknikleri</t>
        </is>
      </c>
      <c r="D13" s="36" t="inlineStr">
        <is>
          <t>Zararlı ve boşa</t>
        </is>
      </c>
      <c r="E13" s="37" t="inlineStr">
        <is>
          <t>Karşılıklı, serbest hali iste.</t>
        </is>
      </c>
    </row>
    <row r="14" ht="32" customHeight="1">
      <c r="B14" s="41" t="inlineStr">
        <is>
          <t>Uzak dur</t>
        </is>
      </c>
      <c r="C14" s="38" t="inlineStr">
        <is>
          <t>Aynı anda 10 yöntem</t>
        </is>
      </c>
      <c r="D14" s="38" t="inlineStr">
        <is>
          <t>Odak kaçması</t>
        </is>
      </c>
      <c r="E14" s="39" t="inlineStr">
        <is>
          <t>Tek protokol, 7 gün.</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2026-09-21T12:55:42Z</dcterms:created>
  <dcterms:modified xmlns:dcterms="http://purl.org/dc/terms/" xmlns:xsi="http://www.w3.org/2001/XMLSchema-instance" xsi:type="dcterms:W3CDTF">2026-09-21T12:55:42Z</dcterms:modified>
</cp:coreProperties>
</file>
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irma Kontrolü" sheetId="1" state="visible" r:id="rId1"/>
    <sheet name="Ek-2 NACE Listesi" sheetId="2" state="visible" r:id="rId2"/>
    <sheet name="Nasıl Kullanılır" sheetId="3" state="visible" r:id="rId3"/>
  </sheets>
  <definedNames>
    <definedName name="_xlnm._FilterDatabase" localSheetId="0" hidden="1">'Firma Kontrolü'!$A$9:$I$59</definedName>
    <definedName name="_xlnm.Print_Titles" localSheetId="0">'Firma Kontrolü'!$1:$9</definedName>
    <definedName name="_xlnm._FilterDatabase" localSheetId="1" hidden="1">'Ek-2 NACE Listesi'!$A$1:$E$149</definedName>
    <definedName name="_xlnm.Print_Titles" localSheetId="1">'Ek-2 NACE Listesi'!$1:$1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1B365D"/>
      <sz val="11"/>
    </font>
    <font>
      <name val="Calibri"/>
      <b val="1"/>
      <color rgb="00FFFFFF"/>
      <sz val="16"/>
    </font>
    <font>
      <name val="Calibri"/>
      <b val="1"/>
      <color rgb="001B365D"/>
      <sz val="12"/>
    </font>
    <font>
      <name val="Calibri"/>
      <b val="1"/>
      <color rgb="00FFFFFF"/>
      <sz val="20"/>
    </font>
    <font>
      <name val="Calibri"/>
      <i val="1"/>
      <color rgb="001B365D"/>
      <sz val="10"/>
    </font>
    <font>
      <name val="Calibri"/>
      <b val="1"/>
      <color rgb="001B365D"/>
      <sz val="10"/>
    </font>
    <font>
      <name val="Calibri"/>
      <b val="1"/>
      <color rgb="00FFFFFF"/>
      <sz val="10"/>
    </font>
    <font>
      <name val="Calibri"/>
      <color rgb="00334155"/>
      <sz val="10"/>
    </font>
    <font>
      <name val="Calibri"/>
      <b val="1"/>
      <color rgb="00C00000"/>
      <sz val="16"/>
    </font>
    <font>
      <name val="Calibri"/>
      <b val="1"/>
      <color rgb="00548235"/>
      <sz val="16"/>
    </font>
    <font>
      <name val="Calibri"/>
      <color rgb="001B365D"/>
      <sz val="11"/>
    </font>
  </fonts>
  <fills count="13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0F2340"/>
      </patternFill>
    </fill>
    <fill>
      <patternFill patternType="solid">
        <fgColor rgb="00EEF2F6"/>
      </patternFill>
    </fill>
  </fills>
  <borders count="5">
    <border>
      <left/>
      <right/>
      <top/>
      <bottom/>
      <diagonal/>
    </border>
    <border>
      <left style="thin">
        <color rgb="00B7C4D4"/>
      </left>
      <right style="thin">
        <color rgb="00B7C4D4"/>
      </right>
      <top style="thin">
        <color rgb="00B7C4D4"/>
      </top>
      <bottom style="thin">
        <color rgb="00B7C4D4"/>
      </bottom>
    </border>
    <border/>
    <border/>
    <border>
      <left style="thin">
        <color rgb="00B7C4D4"/>
      </left>
      <right style="thin">
        <color rgb="00B7C4D4"/>
      </right>
      <top style="thin">
        <color rgb="00B7C4D4"/>
      </top>
      <bottom style="medium">
        <color rgb="001B365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6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7" fillId="5" borderId="3" applyAlignment="1" pivotButton="0" quotePrefix="0" xfId="0">
      <alignment horizontal="left" vertical="center"/>
    </xf>
    <xf numFmtId="0" fontId="0" fillId="5" borderId="3" pivotButton="0" quotePrefix="0" xfId="0"/>
    <xf numFmtId="0" fontId="8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9" fillId="7" borderId="3" applyAlignment="1" pivotButton="0" quotePrefix="0" xfId="0">
      <alignment horizontal="center" vertical="center"/>
    </xf>
    <xf numFmtId="0" fontId="9" fillId="7" borderId="3" pivotButton="0" quotePrefix="0" xfId="0"/>
    <xf numFmtId="0" fontId="9" fillId="8" borderId="3" applyAlignment="1" pivotButton="0" quotePrefix="0" xfId="0">
      <alignment horizontal="center" vertical="center"/>
    </xf>
    <xf numFmtId="0" fontId="9" fillId="8" borderId="3" pivotButton="0" quotePrefix="0" xfId="0"/>
    <xf numFmtId="0" fontId="10" fillId="4" borderId="3" applyAlignment="1" pivotButton="0" quotePrefix="0" xfId="0">
      <alignment horizontal="left" vertical="center" wrapText="1"/>
    </xf>
    <xf numFmtId="0" fontId="0" fillId="4" borderId="3" pivotButton="0" quotePrefix="0" xfId="0"/>
    <xf numFmtId="0" fontId="9" fillId="2" borderId="3" applyAlignment="1" pivotButton="0" quotePrefix="0" xfId="0">
      <alignment horizontal="center" vertical="center"/>
    </xf>
    <xf numFmtId="0" fontId="9" fillId="2" borderId="3" pivotButton="0" quotePrefix="0" xfId="0"/>
    <xf numFmtId="0" fontId="0" fillId="7" borderId="3" pivotButton="0" quotePrefix="0" xfId="0"/>
    <xf numFmtId="0" fontId="0" fillId="8" borderId="3" pivotButton="0" quotePrefix="0" xfId="0"/>
    <xf numFmtId="0" fontId="5" fillId="3" borderId="3" applyAlignment="1" pivotButton="0" quotePrefix="0" xfId="0">
      <alignment horizontal="center" vertical="center"/>
    </xf>
    <xf numFmtId="0" fontId="0" fillId="3" borderId="3" pivotButton="0" quotePrefix="0" xfId="0"/>
    <xf numFmtId="0" fontId="11" fillId="9" borderId="3" applyAlignment="1" pivotButton="0" quotePrefix="0" xfId="0">
      <alignment horizontal="center" vertical="center"/>
    </xf>
    <xf numFmtId="0" fontId="0" fillId="9" borderId="3" pivotButton="0" quotePrefix="0" xfId="0"/>
    <xf numFmtId="0" fontId="12" fillId="10" borderId="3" applyAlignment="1" pivotButton="0" quotePrefix="0" xfId="0">
      <alignment horizontal="center" vertical="center"/>
    </xf>
    <xf numFmtId="0" fontId="0" fillId="10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11" borderId="4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49" fontId="13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9" fontId="2" fillId="3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49" fontId="2" fillId="1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FFFFFF"/>
        <sz val="11"/>
      </font>
      <fill>
        <patternFill patternType="solid">
          <fgColor rgb="00C00000"/>
        </patternFill>
      </fill>
    </dxf>
    <dxf>
      <font>
        <name val="Calibri"/>
        <b val="1"/>
        <color rgb="00FFFFFF"/>
        <sz val="11"/>
      </font>
      <fill>
        <patternFill patternType="solid">
          <fgColor rgb="00548235"/>
        </patternFill>
      </fill>
    </dxf>
    <dxf>
      <font>
        <name val="Calibri"/>
        <b val="1"/>
        <color rgb="00548235"/>
        <sz val="11"/>
      </font>
      <fill>
        <patternFill patternType="solid">
          <fgColor rgb="00D9EAD3"/>
        </patternFill>
      </fill>
    </dxf>
    <dxf>
      <font>
        <name val="Calibri"/>
        <b val="1"/>
        <color rgb="00C00000"/>
        <sz val="11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I59"/>
  <sheetViews>
    <sheetView showGridLines="0" tabSelected="1" zoomScale="11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52" customWidth="1" min="7" max="7"/>
    <col width="62" customWidth="1" min="8" max="8"/>
    <col width="16" customWidth="1" min="9" max="9"/>
  </cols>
  <sheetData>
    <row r="1" ht="28" customHeight="1">
      <c r="A1" s="1" t="inlineStr">
        <is>
          <t>SU VERİMLİLİĞİ YÖNETMELİĞİ  •  FİRMA KAPSAM KONTROLÜ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3" t="inlineStr">
        <is>
          <t>Kaynak: 27.12.2024 tarihli Su Verimliliği Yönetmeliği Ek-2 NACE listesi  |  Kural: NACE kodu listede + çalışan sayısı 50 ve üzeri  →  KAPSAMDA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2" customHeight="1">
      <c r="A4" s="5" t="inlineStr">
        <is>
          <t>Sarı hücrelere yazın: firma adı, NACE, çalışan sayısı</t>
        </is>
      </c>
      <c r="B4" s="6" t="n"/>
      <c r="C4" s="6" t="n"/>
      <c r="D4" s="7" t="inlineStr">
        <is>
          <t>KAPSAMDA  =  kırmızı</t>
        </is>
      </c>
      <c r="E4" s="8" t="n"/>
      <c r="F4" s="8" t="n"/>
      <c r="G4" s="9" t="inlineStr">
        <is>
          <t>KAPSAM DIŞI  =  yeşil</t>
        </is>
      </c>
      <c r="H4" s="10" t="n"/>
      <c r="I4" s="10" t="n"/>
    </row>
    <row r="5" ht="32" customHeight="1">
      <c r="A5" s="11" t="inlineStr">
        <is>
          <t>İlk üç satır örnektir; silebilir veya üzerine yazabilirsiniz. NACE kodunu 10.11, 10,11 veya 10.11.01 biçiminde yazabilirsiniz. 6 haneli kod girilirse ilk dört hane (10.11) kontrol edilir.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 ht="18" customHeight="1">
      <c r="A6" s="13" t="inlineStr">
        <is>
          <t>Özet</t>
        </is>
      </c>
      <c r="B6" s="14" t="n"/>
      <c r="C6" s="14" t="n"/>
      <c r="D6" s="7" t="inlineStr">
        <is>
          <t>KAPSAMDA firma sayısı</t>
        </is>
      </c>
      <c r="E6" s="15" t="n"/>
      <c r="F6" s="15" t="n"/>
      <c r="G6" s="9" t="inlineStr">
        <is>
          <t>KAPSAM DIŞI firma sayısı</t>
        </is>
      </c>
      <c r="H6" s="16" t="n"/>
      <c r="I6" s="16" t="n"/>
    </row>
    <row r="7" ht="28" customHeight="1">
      <c r="A7" s="17" t="inlineStr">
        <is>
          <t>Ek-2 listesindeki NACE kodu adedi: 148</t>
        </is>
      </c>
      <c r="B7" s="18" t="n"/>
      <c r="C7" s="18" t="n"/>
      <c r="D7" s="19">
        <f>COUNTIF(F10:F59,"KAPSAMDA")</f>
        <v/>
      </c>
      <c r="E7" s="20" t="n"/>
      <c r="F7" s="20" t="n"/>
      <c r="G7" s="21">
        <f>COUNTIF(F10:F59,"KAPSAM DIŞI")</f>
        <v/>
      </c>
      <c r="H7" s="22" t="n"/>
      <c r="I7" s="22" t="n"/>
    </row>
    <row r="8" ht="8" customHeight="1"/>
    <row r="9" ht="32" customHeight="1">
      <c r="A9" s="23" t="inlineStr">
        <is>
          <t>Firma Adı</t>
        </is>
      </c>
      <c r="B9" s="23" t="inlineStr">
        <is>
          <t>NACE Kodu</t>
        </is>
      </c>
      <c r="C9" s="23" t="inlineStr">
        <is>
          <t>Çalışan Sayısı</t>
        </is>
      </c>
      <c r="D9" s="24" t="inlineStr">
        <is>
          <t>NACE Listede mi?</t>
        </is>
      </c>
      <c r="E9" s="24" t="inlineStr">
        <is>
          <t>Çalışan ≥ 50 mi?</t>
        </is>
      </c>
      <c r="F9" s="24" t="inlineStr">
        <is>
          <t>Kapsam Durumu</t>
        </is>
      </c>
      <c r="G9" s="24" t="inlineStr">
        <is>
          <t>Gerekçe</t>
        </is>
      </c>
      <c r="H9" s="24" t="inlineStr">
        <is>
          <t>Ek-2 Faaliyet Açıklaması</t>
        </is>
      </c>
      <c r="I9" s="24" t="inlineStr">
        <is>
          <t>Normalize NACE</t>
        </is>
      </c>
    </row>
    <row r="10" ht="26" customHeight="1">
      <c r="A10" s="25" t="inlineStr">
        <is>
          <t>Örnek Gıda A.Ş.</t>
        </is>
      </c>
      <c r="B10" s="26" t="inlineStr">
        <is>
          <t>10.11</t>
        </is>
      </c>
      <c r="C10" s="27" t="n">
        <v>120</v>
      </c>
      <c r="D10" s="28">
        <f>IF(OR(B10="",I10="",I10="GEÇERSİZ"),"",IF(COUNTIF('Ek-2 NACE Listesi'!$B$2:$B$149,I10)&gt;0,"Evet","Hayır"))</f>
        <v/>
      </c>
      <c r="E10" s="28">
        <f>IF(C10="","",IF(AND(ISNUMBER(C10),C10&gt;=50),"Evet","Hayır"))</f>
        <v/>
      </c>
      <c r="F10" s="29">
        <f>IF(OR(B10="",C10=""),"",IF(AND(D10="Evet",E10="Evet"),"KAPSAMDA","KAPSAM DIŞI"))</f>
        <v/>
      </c>
      <c r="G10" s="30">
        <f>IF(OR(B10="",C10=""),"",IF(I10="GEÇERSİZ","NACE kodunu 4 haneli yazın (ör. 10.11)",IF(AND(D10="Evet",E10="Evet"),"NACE kodu Ek-2 listesinde ve çalışan sayısı 50 ve üzeri",IF(AND(D10="Evet",E10="Hayır"),"NACE kodu listede ancak çalışan sayısı 50'den az",IF(AND(D10="Hayır",E10="Evet"),"Çalışan sayısı yeterli ancak NACE kodu Ek-2 listesinde yok","NACE kodu Ek-2 listesinde yok ve çalışan sayısı 50'den az")))))</f>
        <v/>
      </c>
      <c r="H10" s="30">
        <f>IF(OR(B10="",I10="",I10="GEÇERSİZ"),"",IFERROR(VLOOKUP(I10,'Ek-2 NACE Listesi'!$B$2:$C$149,2,FALSE),"Listede bulunamadı"))</f>
        <v/>
      </c>
      <c r="I10" s="31">
        <f>IF(B10="","",IF(LEN(SUBSTITUTE(SUBSTITUTE(SUBSTITUTE(SUBSTITUTE(SUBSTITUTE(TRIM(B10),".",""),",",""),"-","")," ",""),";",""))&lt;4,"GEÇERSİZ",LEFT(SUBSTITUTE(SUBSTITUTE(SUBSTITUTE(SUBSTITUTE(SUBSTITUTE(TRIM(B10),".",""),",",""),"-","")," ",""),";",""),2)&amp;"."&amp;MID(SUBSTITUTE(SUBSTITUTE(SUBSTITUTE(SUBSTITUTE(SUBSTITUTE(TRIM(B10),".",""),",",""),"-","")," ",""),";",""),3,2)))</f>
        <v/>
      </c>
    </row>
    <row r="11" ht="26" customHeight="1">
      <c r="A11" s="25" t="inlineStr">
        <is>
          <t>Örnek Market Ltd.</t>
        </is>
      </c>
      <c r="B11" s="26" t="inlineStr">
        <is>
          <t>47.11</t>
        </is>
      </c>
      <c r="C11" s="27" t="n">
        <v>200</v>
      </c>
      <c r="D11" s="32">
        <f>IF(OR(B11="",I11="",I11="GEÇERSİZ"),"",IF(COUNTIF('Ek-2 NACE Listesi'!$B$2:$B$149,I11)&gt;0,"Evet","Hayır"))</f>
        <v/>
      </c>
      <c r="E11" s="32">
        <f>IF(C11="","",IF(AND(ISNUMBER(C11),C11&gt;=50),"Evet","Hayır"))</f>
        <v/>
      </c>
      <c r="F11" s="33">
        <f>IF(OR(B11="",C11=""),"",IF(AND(D11="Evet",E11="Evet"),"KAPSAMDA","KAPSAM DIŞI"))</f>
        <v/>
      </c>
      <c r="G11" s="34">
        <f>IF(OR(B11="",C11=""),"",IF(I11="GEÇERSİZ","NACE kodunu 4 haneli yazın (ör. 10.11)",IF(AND(D11="Evet",E11="Evet"),"NACE kodu Ek-2 listesinde ve çalışan sayısı 50 ve üzeri",IF(AND(D11="Evet",E11="Hayır"),"NACE kodu listede ancak çalışan sayısı 50'den az",IF(AND(D11="Hayır",E11="Evet"),"Çalışan sayısı yeterli ancak NACE kodu Ek-2 listesinde yok","NACE kodu Ek-2 listesinde yok ve çalışan sayısı 50'den az")))))</f>
        <v/>
      </c>
      <c r="H11" s="34">
        <f>IF(OR(B11="",I11="",I11="GEÇERSİZ"),"",IFERROR(VLOOKUP(I11,'Ek-2 NACE Listesi'!$B$2:$C$149,2,FALSE),"Listede bulunamadı"))</f>
        <v/>
      </c>
      <c r="I11" s="35">
        <f>IF(B11="","",IF(LEN(SUBSTITUTE(SUBSTITUTE(SUBSTITUTE(SUBSTITUTE(SUBSTITUTE(TRIM(B11),".",""),",",""),"-","")," ",""),";",""))&lt;4,"GEÇERSİZ",LEFT(SUBSTITUTE(SUBSTITUTE(SUBSTITUTE(SUBSTITUTE(SUBSTITUTE(TRIM(B11),".",""),",",""),"-","")," ",""),";",""),2)&amp;"."&amp;MID(SUBSTITUTE(SUBSTITUTE(SUBSTITUTE(SUBSTITUTE(SUBSTITUTE(TRIM(B11),".",""),",",""),"-","")," ",""),";",""),3,2)))</f>
        <v/>
      </c>
    </row>
    <row r="12" ht="26" customHeight="1">
      <c r="A12" s="25" t="inlineStr">
        <is>
          <t>Örnek Küçük Tesis</t>
        </is>
      </c>
      <c r="B12" s="26" t="inlineStr">
        <is>
          <t>10.11</t>
        </is>
      </c>
      <c r="C12" s="27" t="n">
        <v>30</v>
      </c>
      <c r="D12" s="28">
        <f>IF(OR(B12="",I12="",I12="GEÇERSİZ"),"",IF(COUNTIF('Ek-2 NACE Listesi'!$B$2:$B$149,I12)&gt;0,"Evet","Hayır"))</f>
        <v/>
      </c>
      <c r="E12" s="28">
        <f>IF(C12="","",IF(AND(ISNUMBER(C12),C12&gt;=50),"Evet","Hayır"))</f>
        <v/>
      </c>
      <c r="F12" s="29">
        <f>IF(OR(B12="",C12=""),"",IF(AND(D12="Evet",E12="Evet"),"KAPSAMDA","KAPSAM DIŞI"))</f>
        <v/>
      </c>
      <c r="G12" s="30">
        <f>IF(OR(B12="",C12=""),"",IF(I12="GEÇERSİZ","NACE kodunu 4 haneli yazın (ör. 10.11)",IF(AND(D12="Evet",E12="Evet"),"NACE kodu Ek-2 listesinde ve çalışan sayısı 50 ve üzeri",IF(AND(D12="Evet",E12="Hayır"),"NACE kodu listede ancak çalışan sayısı 50'den az",IF(AND(D12="Hayır",E12="Evet"),"Çalışan sayısı yeterli ancak NACE kodu Ek-2 listesinde yok","NACE kodu Ek-2 listesinde yok ve çalışan sayısı 50'den az")))))</f>
        <v/>
      </c>
      <c r="H12" s="30">
        <f>IF(OR(B12="",I12="",I12="GEÇERSİZ"),"",IFERROR(VLOOKUP(I12,'Ek-2 NACE Listesi'!$B$2:$C$149,2,FALSE),"Listede bulunamadı"))</f>
        <v/>
      </c>
      <c r="I12" s="31">
        <f>IF(B12="","",IF(LEN(SUBSTITUTE(SUBSTITUTE(SUBSTITUTE(SUBSTITUTE(SUBSTITUTE(TRIM(B12),".",""),",",""),"-","")," ",""),";",""))&lt;4,"GEÇERSİZ",LEFT(SUBSTITUTE(SUBSTITUTE(SUBSTITUTE(SUBSTITUTE(SUBSTITUTE(TRIM(B12),".",""),",",""),"-","")," ",""),";",""),2)&amp;"."&amp;MID(SUBSTITUTE(SUBSTITUTE(SUBSTITUTE(SUBSTITUTE(SUBSTITUTE(TRIM(B12),".",""),",",""),"-","")," ",""),";",""),3,2)))</f>
        <v/>
      </c>
    </row>
    <row r="13" ht="26" customHeight="1">
      <c r="A13" s="25" t="inlineStr"/>
      <c r="B13" s="26" t="inlineStr"/>
      <c r="C13" s="27" t="n"/>
      <c r="D13" s="32">
        <f>IF(OR(B13="",I13="",I13="GEÇERSİZ"),"",IF(COUNTIF('Ek-2 NACE Listesi'!$B$2:$B$149,I13)&gt;0,"Evet","Hayır"))</f>
        <v/>
      </c>
      <c r="E13" s="32">
        <f>IF(C13="","",IF(AND(ISNUMBER(C13),C13&gt;=50),"Evet","Hayır"))</f>
        <v/>
      </c>
      <c r="F13" s="33">
        <f>IF(OR(B13="",C13=""),"",IF(AND(D13="Evet",E13="Evet"),"KAPSAMDA","KAPSAM DIŞI"))</f>
        <v/>
      </c>
      <c r="G13" s="34">
        <f>IF(OR(B13="",C13=""),"",IF(I13="GEÇERSİZ","NACE kodunu 4 haneli yazın (ör. 10.11)",IF(AND(D13="Evet",E13="Evet"),"NACE kodu Ek-2 listesinde ve çalışan sayısı 50 ve üzeri",IF(AND(D13="Evet",E13="Hayır"),"NACE kodu listede ancak çalışan sayısı 50'den az",IF(AND(D13="Hayır",E13="Evet"),"Çalışan sayısı yeterli ancak NACE kodu Ek-2 listesinde yok","NACE kodu Ek-2 listesinde yok ve çalışan sayısı 50'den az")))))</f>
        <v/>
      </c>
      <c r="H13" s="34">
        <f>IF(OR(B13="",I13="",I13="GEÇERSİZ"),"",IFERROR(VLOOKUP(I13,'Ek-2 NACE Listesi'!$B$2:$C$149,2,FALSE),"Listede bulunamadı"))</f>
        <v/>
      </c>
      <c r="I13" s="35">
        <f>IF(B13="","",IF(LEN(SUBSTITUTE(SUBSTITUTE(SUBSTITUTE(SUBSTITUTE(SUBSTITUTE(TRIM(B13),".",""),",",""),"-","")," ",""),";",""))&lt;4,"GEÇERSİZ",LEFT(SUBSTITUTE(SUBSTITUTE(SUBSTITUTE(SUBSTITUTE(SUBSTITUTE(TRIM(B13),".",""),",",""),"-","")," ",""),";",""),2)&amp;"."&amp;MID(SUBSTITUTE(SUBSTITUTE(SUBSTITUTE(SUBSTITUTE(SUBSTITUTE(TRIM(B13),".",""),",",""),"-","")," ",""),";",""),3,2)))</f>
        <v/>
      </c>
    </row>
    <row r="14" ht="26" customHeight="1">
      <c r="A14" s="25" t="inlineStr"/>
      <c r="B14" s="26" t="inlineStr"/>
      <c r="C14" s="27" t="n"/>
      <c r="D14" s="28">
        <f>IF(OR(B14="",I14="",I14="GEÇERSİZ"),"",IF(COUNTIF('Ek-2 NACE Listesi'!$B$2:$B$149,I14)&gt;0,"Evet","Hayır"))</f>
        <v/>
      </c>
      <c r="E14" s="28">
        <f>IF(C14="","",IF(AND(ISNUMBER(C14),C14&gt;=50),"Evet","Hayır"))</f>
        <v/>
      </c>
      <c r="F14" s="29">
        <f>IF(OR(B14="",C14=""),"",IF(AND(D14="Evet",E14="Evet"),"KAPSAMDA","KAPSAM DIŞI"))</f>
        <v/>
      </c>
      <c r="G14" s="30">
        <f>IF(OR(B14="",C14=""),"",IF(I14="GEÇERSİZ","NACE kodunu 4 haneli yazın (ör. 10.11)",IF(AND(D14="Evet",E14="Evet"),"NACE kodu Ek-2 listesinde ve çalışan sayısı 50 ve üzeri",IF(AND(D14="Evet",E14="Hayır"),"NACE kodu listede ancak çalışan sayısı 50'den az",IF(AND(D14="Hayır",E14="Evet"),"Çalışan sayısı yeterli ancak NACE kodu Ek-2 listesinde yok","NACE kodu Ek-2 listesinde yok ve çalışan sayısı 50'den az")))))</f>
        <v/>
      </c>
      <c r="H14" s="30">
        <f>IF(OR(B14="",I14="",I14="GEÇERSİZ"),"",IFERROR(VLOOKUP(I14,'Ek-2 NACE Listesi'!$B$2:$C$149,2,FALSE),"Listede bulunamadı"))</f>
        <v/>
      </c>
      <c r="I14" s="31">
        <f>IF(B14="","",IF(LEN(SUBSTITUTE(SUBSTITUTE(SUBSTITUTE(SUBSTITUTE(SUBSTITUTE(TRIM(B14),".",""),",",""),"-","")," ",""),";",""))&lt;4,"GEÇERSİZ",LEFT(SUBSTITUTE(SUBSTITUTE(SUBSTITUTE(SUBSTITUTE(SUBSTITUTE(TRIM(B14),".",""),",",""),"-","")," ",""),";",""),2)&amp;"."&amp;MID(SUBSTITUTE(SUBSTITUTE(SUBSTITUTE(SUBSTITUTE(SUBSTITUTE(TRIM(B14),".",""),",",""),"-","")," ",""),";",""),3,2)))</f>
        <v/>
      </c>
    </row>
    <row r="15" ht="26" customHeight="1">
      <c r="A15" s="25" t="inlineStr"/>
      <c r="B15" s="26" t="inlineStr"/>
      <c r="C15" s="27" t="n"/>
      <c r="D15" s="32">
        <f>IF(OR(B15="",I15="",I15="GEÇERSİZ"),"",IF(COUNTIF('Ek-2 NACE Listesi'!$B$2:$B$149,I15)&gt;0,"Evet","Hayır"))</f>
        <v/>
      </c>
      <c r="E15" s="32">
        <f>IF(C15="","",IF(AND(ISNUMBER(C15),C15&gt;=50),"Evet","Hayır"))</f>
        <v/>
      </c>
      <c r="F15" s="33">
        <f>IF(OR(B15="",C15=""),"",IF(AND(D15="Evet",E15="Evet"),"KAPSAMDA","KAPSAM DIŞI"))</f>
        <v/>
      </c>
      <c r="G15" s="34">
        <f>IF(OR(B15="",C15=""),"",IF(I15="GEÇERSİZ","NACE kodunu 4 haneli yazın (ör. 10.11)",IF(AND(D15="Evet",E15="Evet"),"NACE kodu Ek-2 listesinde ve çalışan sayısı 50 ve üzeri",IF(AND(D15="Evet",E15="Hayır"),"NACE kodu listede ancak çalışan sayısı 50'den az",IF(AND(D15="Hayır",E15="Evet"),"Çalışan sayısı yeterli ancak NACE kodu Ek-2 listesinde yok","NACE kodu Ek-2 listesinde yok ve çalışan sayısı 50'den az")))))</f>
        <v/>
      </c>
      <c r="H15" s="34">
        <f>IF(OR(B15="",I15="",I15="GEÇERSİZ"),"",IFERROR(VLOOKUP(I15,'Ek-2 NACE Listesi'!$B$2:$C$149,2,FALSE),"Listede bulunamadı"))</f>
        <v/>
      </c>
      <c r="I15" s="35">
        <f>IF(B15="","",IF(LEN(SUBSTITUTE(SUBSTITUTE(SUBSTITUTE(SUBSTITUTE(SUBSTITUTE(TRIM(B15),".",""),",",""),"-","")," ",""),";",""))&lt;4,"GEÇERSİZ",LEFT(SUBSTITUTE(SUBSTITUTE(SUBSTITUTE(SUBSTITUTE(SUBSTITUTE(TRIM(B15),".",""),",",""),"-","")," ",""),";",""),2)&amp;"."&amp;MID(SUBSTITUTE(SUBSTITUTE(SUBSTITUTE(SUBSTITUTE(SUBSTITUTE(TRIM(B15),".",""),",",""),"-","")," ",""),";",""),3,2)))</f>
        <v/>
      </c>
    </row>
    <row r="16" ht="26" customHeight="1">
      <c r="A16" s="25" t="inlineStr"/>
      <c r="B16" s="26" t="inlineStr"/>
      <c r="C16" s="27" t="n"/>
      <c r="D16" s="28">
        <f>IF(OR(B16="",I16="",I16="GEÇERSİZ"),"",IF(COUNTIF('Ek-2 NACE Listesi'!$B$2:$B$149,I16)&gt;0,"Evet","Hayır"))</f>
        <v/>
      </c>
      <c r="E16" s="28">
        <f>IF(C16="","",IF(AND(ISNUMBER(C16),C16&gt;=50),"Evet","Hayır"))</f>
        <v/>
      </c>
      <c r="F16" s="29">
        <f>IF(OR(B16="",C16=""),"",IF(AND(D16="Evet",E16="Evet"),"KAPSAMDA","KAPSAM DIŞI"))</f>
        <v/>
      </c>
      <c r="G16" s="30">
        <f>IF(OR(B16="",C16=""),"",IF(I16="GEÇERSİZ","NACE kodunu 4 haneli yazın (ör. 10.11)",IF(AND(D16="Evet",E16="Evet"),"NACE kodu Ek-2 listesinde ve çalışan sayısı 50 ve üzeri",IF(AND(D16="Evet",E16="Hayır"),"NACE kodu listede ancak çalışan sayısı 50'den az",IF(AND(D16="Hayır",E16="Evet"),"Çalışan sayısı yeterli ancak NACE kodu Ek-2 listesinde yok","NACE kodu Ek-2 listesinde yok ve çalışan sayısı 50'den az")))))</f>
        <v/>
      </c>
      <c r="H16" s="30">
        <f>IF(OR(B16="",I16="",I16="GEÇERSİZ"),"",IFERROR(VLOOKUP(I16,'Ek-2 NACE Listesi'!$B$2:$C$149,2,FALSE),"Listede bulunamadı"))</f>
        <v/>
      </c>
      <c r="I16" s="31">
        <f>IF(B16="","",IF(LEN(SUBSTITUTE(SUBSTITUTE(SUBSTITUTE(SUBSTITUTE(SUBSTITUTE(TRIM(B16),".",""),",",""),"-","")," ",""),";",""))&lt;4,"GEÇERSİZ",LEFT(SUBSTITUTE(SUBSTITUTE(SUBSTITUTE(SUBSTITUTE(SUBSTITUTE(TRIM(B16),".",""),",",""),"-","")," ",""),";",""),2)&amp;"."&amp;MID(SUBSTITUTE(SUBSTITUTE(SUBSTITUTE(SUBSTITUTE(SUBSTITUTE(TRIM(B16),".",""),",",""),"-","")," ",""),";",""),3,2)))</f>
        <v/>
      </c>
    </row>
    <row r="17" ht="26" customHeight="1">
      <c r="A17" s="25" t="inlineStr"/>
      <c r="B17" s="26" t="inlineStr"/>
      <c r="C17" s="27" t="n"/>
      <c r="D17" s="32">
        <f>IF(OR(B17="",I17="",I17="GEÇERSİZ"),"",IF(COUNTIF('Ek-2 NACE Listesi'!$B$2:$B$149,I17)&gt;0,"Evet","Hayır"))</f>
        <v/>
      </c>
      <c r="E17" s="32">
        <f>IF(C17="","",IF(AND(ISNUMBER(C17),C17&gt;=50),"Evet","Hayır"))</f>
        <v/>
      </c>
      <c r="F17" s="33">
        <f>IF(OR(B17="",C17=""),"",IF(AND(D17="Evet",E17="Evet"),"KAPSAMDA","KAPSAM DIŞI"))</f>
        <v/>
      </c>
      <c r="G17" s="34">
        <f>IF(OR(B17="",C17=""),"",IF(I17="GEÇERSİZ","NACE kodunu 4 haneli yazın (ör. 10.11)",IF(AND(D17="Evet",E17="Evet"),"NACE kodu Ek-2 listesinde ve çalışan sayısı 50 ve üzeri",IF(AND(D17="Evet",E17="Hayır"),"NACE kodu listede ancak çalışan sayısı 50'den az",IF(AND(D17="Hayır",E17="Evet"),"Çalışan sayısı yeterli ancak NACE kodu Ek-2 listesinde yok","NACE kodu Ek-2 listesinde yok ve çalışan sayısı 50'den az")))))</f>
        <v/>
      </c>
      <c r="H17" s="34">
        <f>IF(OR(B17="",I17="",I17="GEÇERSİZ"),"",IFERROR(VLOOKUP(I17,'Ek-2 NACE Listesi'!$B$2:$C$149,2,FALSE),"Listede bulunamadı"))</f>
        <v/>
      </c>
      <c r="I17" s="35">
        <f>IF(B17="","",IF(LEN(SUBSTITUTE(SUBSTITUTE(SUBSTITUTE(SUBSTITUTE(SUBSTITUTE(TRIM(B17),".",""),",",""),"-","")," ",""),";",""))&lt;4,"GEÇERSİZ",LEFT(SUBSTITUTE(SUBSTITUTE(SUBSTITUTE(SUBSTITUTE(SUBSTITUTE(TRIM(B17),".",""),",",""),"-","")," ",""),";",""),2)&amp;"."&amp;MID(SUBSTITUTE(SUBSTITUTE(SUBSTITUTE(SUBSTITUTE(SUBSTITUTE(TRIM(B17),".",""),",",""),"-","")," ",""),";",""),3,2)))</f>
        <v/>
      </c>
    </row>
    <row r="18" ht="26" customHeight="1">
      <c r="A18" s="25" t="inlineStr"/>
      <c r="B18" s="26" t="inlineStr"/>
      <c r="C18" s="27" t="n"/>
      <c r="D18" s="28">
        <f>IF(OR(B18="",I18="",I18="GEÇERSİZ"),"",IF(COUNTIF('Ek-2 NACE Listesi'!$B$2:$B$149,I18)&gt;0,"Evet","Hayır"))</f>
        <v/>
      </c>
      <c r="E18" s="28">
        <f>IF(C18="","",IF(AND(ISNUMBER(C18),C18&gt;=50),"Evet","Hayır"))</f>
        <v/>
      </c>
      <c r="F18" s="29">
        <f>IF(OR(B18="",C18=""),"",IF(AND(D18="Evet",E18="Evet"),"KAPSAMDA","KAPSAM DIŞI"))</f>
        <v/>
      </c>
      <c r="G18" s="30">
        <f>IF(OR(B18="",C18=""),"",IF(I18="GEÇERSİZ","NACE kodunu 4 haneli yazın (ör. 10.11)",IF(AND(D18="Evet",E18="Evet"),"NACE kodu Ek-2 listesinde ve çalışan sayısı 50 ve üzeri",IF(AND(D18="Evet",E18="Hayır"),"NACE kodu listede ancak çalışan sayısı 50'den az",IF(AND(D18="Hayır",E18="Evet"),"Çalışan sayısı yeterli ancak NACE kodu Ek-2 listesinde yok","NACE kodu Ek-2 listesinde yok ve çalışan sayısı 50'den az")))))</f>
        <v/>
      </c>
      <c r="H18" s="30">
        <f>IF(OR(B18="",I18="",I18="GEÇERSİZ"),"",IFERROR(VLOOKUP(I18,'Ek-2 NACE Listesi'!$B$2:$C$149,2,FALSE),"Listede bulunamadı"))</f>
        <v/>
      </c>
      <c r="I18" s="31">
        <f>IF(B18="","",IF(LEN(SUBSTITUTE(SUBSTITUTE(SUBSTITUTE(SUBSTITUTE(SUBSTITUTE(TRIM(B18),".",""),",",""),"-","")," ",""),";",""))&lt;4,"GEÇERSİZ",LEFT(SUBSTITUTE(SUBSTITUTE(SUBSTITUTE(SUBSTITUTE(SUBSTITUTE(TRIM(B18),".",""),",",""),"-","")," ",""),";",""),2)&amp;"."&amp;MID(SUBSTITUTE(SUBSTITUTE(SUBSTITUTE(SUBSTITUTE(SUBSTITUTE(TRIM(B18),".",""),",",""),"-","")," ",""),";",""),3,2)))</f>
        <v/>
      </c>
    </row>
    <row r="19" ht="26" customHeight="1">
      <c r="A19" s="25" t="inlineStr"/>
      <c r="B19" s="26" t="inlineStr"/>
      <c r="C19" s="27" t="n"/>
      <c r="D19" s="32">
        <f>IF(OR(B19="",I19="",I19="GEÇERSİZ"),"",IF(COUNTIF('Ek-2 NACE Listesi'!$B$2:$B$149,I19)&gt;0,"Evet","Hayır"))</f>
        <v/>
      </c>
      <c r="E19" s="32">
        <f>IF(C19="","",IF(AND(ISNUMBER(C19),C19&gt;=50),"Evet","Hayır"))</f>
        <v/>
      </c>
      <c r="F19" s="33">
        <f>IF(OR(B19="",C19=""),"",IF(AND(D19="Evet",E19="Evet"),"KAPSAMDA","KAPSAM DIŞI"))</f>
        <v/>
      </c>
      <c r="G19" s="34">
        <f>IF(OR(B19="",C19=""),"",IF(I19="GEÇERSİZ","NACE kodunu 4 haneli yazın (ör. 10.11)",IF(AND(D19="Evet",E19="Evet"),"NACE kodu Ek-2 listesinde ve çalışan sayısı 50 ve üzeri",IF(AND(D19="Evet",E19="Hayır"),"NACE kodu listede ancak çalışan sayısı 50'den az",IF(AND(D19="Hayır",E19="Evet"),"Çalışan sayısı yeterli ancak NACE kodu Ek-2 listesinde yok","NACE kodu Ek-2 listesinde yok ve çalışan sayısı 50'den az")))))</f>
        <v/>
      </c>
      <c r="H19" s="34">
        <f>IF(OR(B19="",I19="",I19="GEÇERSİZ"),"",IFERROR(VLOOKUP(I19,'Ek-2 NACE Listesi'!$B$2:$C$149,2,FALSE),"Listede bulunamadı"))</f>
        <v/>
      </c>
      <c r="I19" s="35">
        <f>IF(B19="","",IF(LEN(SUBSTITUTE(SUBSTITUTE(SUBSTITUTE(SUBSTITUTE(SUBSTITUTE(TRIM(B19),".",""),",",""),"-","")," ",""),";",""))&lt;4,"GEÇERSİZ",LEFT(SUBSTITUTE(SUBSTITUTE(SUBSTITUTE(SUBSTITUTE(SUBSTITUTE(TRIM(B19),".",""),",",""),"-","")," ",""),";",""),2)&amp;"."&amp;MID(SUBSTITUTE(SUBSTITUTE(SUBSTITUTE(SUBSTITUTE(SUBSTITUTE(TRIM(B19),".",""),",",""),"-","")," ",""),";",""),3,2)))</f>
        <v/>
      </c>
    </row>
    <row r="20" ht="26" customHeight="1">
      <c r="A20" s="25" t="inlineStr"/>
      <c r="B20" s="26" t="inlineStr"/>
      <c r="C20" s="27" t="n"/>
      <c r="D20" s="28">
        <f>IF(OR(B20="",I20="",I20="GEÇERSİZ"),"",IF(COUNTIF('Ek-2 NACE Listesi'!$B$2:$B$149,I20)&gt;0,"Evet","Hayır"))</f>
        <v/>
      </c>
      <c r="E20" s="28">
        <f>IF(C20="","",IF(AND(ISNUMBER(C20),C20&gt;=50),"Evet","Hayır"))</f>
        <v/>
      </c>
      <c r="F20" s="29">
        <f>IF(OR(B20="",C20=""),"",IF(AND(D20="Evet",E20="Evet"),"KAPSAMDA","KAPSAM DIŞI"))</f>
        <v/>
      </c>
      <c r="G20" s="30">
        <f>IF(OR(B20="",C20=""),"",IF(I20="GEÇERSİZ","NACE kodunu 4 haneli yazın (ör. 10.11)",IF(AND(D20="Evet",E20="Evet"),"NACE kodu Ek-2 listesinde ve çalışan sayısı 50 ve üzeri",IF(AND(D20="Evet",E20="Hayır"),"NACE kodu listede ancak çalışan sayısı 50'den az",IF(AND(D20="Hayır",E20="Evet"),"Çalışan sayısı yeterli ancak NACE kodu Ek-2 listesinde yok","NACE kodu Ek-2 listesinde yok ve çalışan sayısı 50'den az")))))</f>
        <v/>
      </c>
      <c r="H20" s="30">
        <f>IF(OR(B20="",I20="",I20="GEÇERSİZ"),"",IFERROR(VLOOKUP(I20,'Ek-2 NACE Listesi'!$B$2:$C$149,2,FALSE),"Listede bulunamadı"))</f>
        <v/>
      </c>
      <c r="I20" s="31">
        <f>IF(B20="","",IF(LEN(SUBSTITUTE(SUBSTITUTE(SUBSTITUTE(SUBSTITUTE(SUBSTITUTE(TRIM(B20),".",""),",",""),"-","")," ",""),";",""))&lt;4,"GEÇERSİZ",LEFT(SUBSTITUTE(SUBSTITUTE(SUBSTITUTE(SUBSTITUTE(SUBSTITUTE(TRIM(B20),".",""),",",""),"-","")," ",""),";",""),2)&amp;"."&amp;MID(SUBSTITUTE(SUBSTITUTE(SUBSTITUTE(SUBSTITUTE(SUBSTITUTE(TRIM(B20),".",""),",",""),"-","")," ",""),";",""),3,2)))</f>
        <v/>
      </c>
    </row>
    <row r="21" ht="26" customHeight="1">
      <c r="A21" s="25" t="inlineStr"/>
      <c r="B21" s="26" t="inlineStr"/>
      <c r="C21" s="27" t="n"/>
      <c r="D21" s="32">
        <f>IF(OR(B21="",I21="",I21="GEÇERSİZ"),"",IF(COUNTIF('Ek-2 NACE Listesi'!$B$2:$B$149,I21)&gt;0,"Evet","Hayır"))</f>
        <v/>
      </c>
      <c r="E21" s="32">
        <f>IF(C21="","",IF(AND(ISNUMBER(C21),C21&gt;=50),"Evet","Hayır"))</f>
        <v/>
      </c>
      <c r="F21" s="33">
        <f>IF(OR(B21="",C21=""),"",IF(AND(D21="Evet",E21="Evet"),"KAPSAMDA","KAPSAM DIŞI"))</f>
        <v/>
      </c>
      <c r="G21" s="34">
        <f>IF(OR(B21="",C21=""),"",IF(I21="GEÇERSİZ","NACE kodunu 4 haneli yazın (ör. 10.11)",IF(AND(D21="Evet",E21="Evet"),"NACE kodu Ek-2 listesinde ve çalışan sayısı 50 ve üzeri",IF(AND(D21="Evet",E21="Hayır"),"NACE kodu listede ancak çalışan sayısı 50'den az",IF(AND(D21="Hayır",E21="Evet"),"Çalışan sayısı yeterli ancak NACE kodu Ek-2 listesinde yok","NACE kodu Ek-2 listesinde yok ve çalışan sayısı 50'den az")))))</f>
        <v/>
      </c>
      <c r="H21" s="34">
        <f>IF(OR(B21="",I21="",I21="GEÇERSİZ"),"",IFERROR(VLOOKUP(I21,'Ek-2 NACE Listesi'!$B$2:$C$149,2,FALSE),"Listede bulunamadı"))</f>
        <v/>
      </c>
      <c r="I21" s="35">
        <f>IF(B21="","",IF(LEN(SUBSTITUTE(SUBSTITUTE(SUBSTITUTE(SUBSTITUTE(SUBSTITUTE(TRIM(B21),".",""),",",""),"-","")," ",""),";",""))&lt;4,"GEÇERSİZ",LEFT(SUBSTITUTE(SUBSTITUTE(SUBSTITUTE(SUBSTITUTE(SUBSTITUTE(TRIM(B21),".",""),",",""),"-","")," ",""),";",""),2)&amp;"."&amp;MID(SUBSTITUTE(SUBSTITUTE(SUBSTITUTE(SUBSTITUTE(SUBSTITUTE(TRIM(B21),".",""),",",""),"-","")," ",""),";",""),3,2)))</f>
        <v/>
      </c>
    </row>
    <row r="22" ht="26" customHeight="1">
      <c r="A22" s="25" t="inlineStr"/>
      <c r="B22" s="26" t="inlineStr"/>
      <c r="C22" s="27" t="n"/>
      <c r="D22" s="28">
        <f>IF(OR(B22="",I22="",I22="GEÇERSİZ"),"",IF(COUNTIF('Ek-2 NACE Listesi'!$B$2:$B$149,I22)&gt;0,"Evet","Hayır"))</f>
        <v/>
      </c>
      <c r="E22" s="28">
        <f>IF(C22="","",IF(AND(ISNUMBER(C22),C22&gt;=50),"Evet","Hayır"))</f>
        <v/>
      </c>
      <c r="F22" s="29">
        <f>IF(OR(B22="",C22=""),"",IF(AND(D22="Evet",E22="Evet"),"KAPSAMDA","KAPSAM DIŞI"))</f>
        <v/>
      </c>
      <c r="G22" s="30">
        <f>IF(OR(B22="",C22=""),"",IF(I22="GEÇERSİZ","NACE kodunu 4 haneli yazın (ör. 10.11)",IF(AND(D22="Evet",E22="Evet"),"NACE kodu Ek-2 listesinde ve çalışan sayısı 50 ve üzeri",IF(AND(D22="Evet",E22="Hayır"),"NACE kodu listede ancak çalışan sayısı 50'den az",IF(AND(D22="Hayır",E22="Evet"),"Çalışan sayısı yeterli ancak NACE kodu Ek-2 listesinde yok","NACE kodu Ek-2 listesinde yok ve çalışan sayısı 50'den az")))))</f>
        <v/>
      </c>
      <c r="H22" s="30">
        <f>IF(OR(B22="",I22="",I22="GEÇERSİZ"),"",IFERROR(VLOOKUP(I22,'Ek-2 NACE Listesi'!$B$2:$C$149,2,FALSE),"Listede bulunamadı"))</f>
        <v/>
      </c>
      <c r="I22" s="31">
        <f>IF(B22="","",IF(LEN(SUBSTITUTE(SUBSTITUTE(SUBSTITUTE(SUBSTITUTE(SUBSTITUTE(TRIM(B22),".",""),",",""),"-","")," ",""),";",""))&lt;4,"GEÇERSİZ",LEFT(SUBSTITUTE(SUBSTITUTE(SUBSTITUTE(SUBSTITUTE(SUBSTITUTE(TRIM(B22),".",""),",",""),"-","")," ",""),";",""),2)&amp;"."&amp;MID(SUBSTITUTE(SUBSTITUTE(SUBSTITUTE(SUBSTITUTE(SUBSTITUTE(TRIM(B22),".",""),",",""),"-","")," ",""),";",""),3,2)))</f>
        <v/>
      </c>
    </row>
    <row r="23" ht="26" customHeight="1">
      <c r="A23" s="25" t="inlineStr"/>
      <c r="B23" s="26" t="inlineStr"/>
      <c r="C23" s="27" t="n"/>
      <c r="D23" s="32">
        <f>IF(OR(B23="",I23="",I23="GEÇERSİZ"),"",IF(COUNTIF('Ek-2 NACE Listesi'!$B$2:$B$149,I23)&gt;0,"Evet","Hayır"))</f>
        <v/>
      </c>
      <c r="E23" s="32">
        <f>IF(C23="","",IF(AND(ISNUMBER(C23),C23&gt;=50),"Evet","Hayır"))</f>
        <v/>
      </c>
      <c r="F23" s="33">
        <f>IF(OR(B23="",C23=""),"",IF(AND(D23="Evet",E23="Evet"),"KAPSAMDA","KAPSAM DIŞI"))</f>
        <v/>
      </c>
      <c r="G23" s="34">
        <f>IF(OR(B23="",C23=""),"",IF(I23="GEÇERSİZ","NACE kodunu 4 haneli yazın (ör. 10.11)",IF(AND(D23="Evet",E23="Evet"),"NACE kodu Ek-2 listesinde ve çalışan sayısı 50 ve üzeri",IF(AND(D23="Evet",E23="Hayır"),"NACE kodu listede ancak çalışan sayısı 50'den az",IF(AND(D23="Hayır",E23="Evet"),"Çalışan sayısı yeterli ancak NACE kodu Ek-2 listesinde yok","NACE kodu Ek-2 listesinde yok ve çalışan sayısı 50'den az")))))</f>
        <v/>
      </c>
      <c r="H23" s="34">
        <f>IF(OR(B23="",I23="",I23="GEÇERSİZ"),"",IFERROR(VLOOKUP(I23,'Ek-2 NACE Listesi'!$B$2:$C$149,2,FALSE),"Listede bulunamadı"))</f>
        <v/>
      </c>
      <c r="I23" s="35">
        <f>IF(B23="","",IF(LEN(SUBSTITUTE(SUBSTITUTE(SUBSTITUTE(SUBSTITUTE(SUBSTITUTE(TRIM(B23),".",""),",",""),"-","")," ",""),";",""))&lt;4,"GEÇERSİZ",LEFT(SUBSTITUTE(SUBSTITUTE(SUBSTITUTE(SUBSTITUTE(SUBSTITUTE(TRIM(B23),".",""),",",""),"-","")," ",""),";",""),2)&amp;"."&amp;MID(SUBSTITUTE(SUBSTITUTE(SUBSTITUTE(SUBSTITUTE(SUBSTITUTE(TRIM(B23),".",""),",",""),"-","")," ",""),";",""),3,2)))</f>
        <v/>
      </c>
    </row>
    <row r="24" ht="26" customHeight="1">
      <c r="A24" s="25" t="inlineStr"/>
      <c r="B24" s="26" t="inlineStr"/>
      <c r="C24" s="27" t="n"/>
      <c r="D24" s="28">
        <f>IF(OR(B24="",I24="",I24="GEÇERSİZ"),"",IF(COUNTIF('Ek-2 NACE Listesi'!$B$2:$B$149,I24)&gt;0,"Evet","Hayır"))</f>
        <v/>
      </c>
      <c r="E24" s="28">
        <f>IF(C24="","",IF(AND(ISNUMBER(C24),C24&gt;=50),"Evet","Hayır"))</f>
        <v/>
      </c>
      <c r="F24" s="29">
        <f>IF(OR(B24="",C24=""),"",IF(AND(D24="Evet",E24="Evet"),"KAPSAMDA","KAPSAM DIŞI"))</f>
        <v/>
      </c>
      <c r="G24" s="30">
        <f>IF(OR(B24="",C24=""),"",IF(I24="GEÇERSİZ","NACE kodunu 4 haneli yazın (ör. 10.11)",IF(AND(D24="Evet",E24="Evet"),"NACE kodu Ek-2 listesinde ve çalışan sayısı 50 ve üzeri",IF(AND(D24="Evet",E24="Hayır"),"NACE kodu listede ancak çalışan sayısı 50'den az",IF(AND(D24="Hayır",E24="Evet"),"Çalışan sayısı yeterli ancak NACE kodu Ek-2 listesinde yok","NACE kodu Ek-2 listesinde yok ve çalışan sayısı 50'den az")))))</f>
        <v/>
      </c>
      <c r="H24" s="30">
        <f>IF(OR(B24="",I24="",I24="GEÇERSİZ"),"",IFERROR(VLOOKUP(I24,'Ek-2 NACE Listesi'!$B$2:$C$149,2,FALSE),"Listede bulunamadı"))</f>
        <v/>
      </c>
      <c r="I24" s="31">
        <f>IF(B24="","",IF(LEN(SUBSTITUTE(SUBSTITUTE(SUBSTITUTE(SUBSTITUTE(SUBSTITUTE(TRIM(B24),".",""),",",""),"-","")," ",""),";",""))&lt;4,"GEÇERSİZ",LEFT(SUBSTITUTE(SUBSTITUTE(SUBSTITUTE(SUBSTITUTE(SUBSTITUTE(TRIM(B24),".",""),",",""),"-","")," ",""),";",""),2)&amp;"."&amp;MID(SUBSTITUTE(SUBSTITUTE(SUBSTITUTE(SUBSTITUTE(SUBSTITUTE(TRIM(B24),".",""),",",""),"-","")," ",""),";",""),3,2)))</f>
        <v/>
      </c>
    </row>
    <row r="25" ht="26" customHeight="1">
      <c r="A25" s="25" t="inlineStr"/>
      <c r="B25" s="26" t="inlineStr"/>
      <c r="C25" s="27" t="n"/>
      <c r="D25" s="32">
        <f>IF(OR(B25="",I25="",I25="GEÇERSİZ"),"",IF(COUNTIF('Ek-2 NACE Listesi'!$B$2:$B$149,I25)&gt;0,"Evet","Hayır"))</f>
        <v/>
      </c>
      <c r="E25" s="32">
        <f>IF(C25="","",IF(AND(ISNUMBER(C25),C25&gt;=50),"Evet","Hayır"))</f>
        <v/>
      </c>
      <c r="F25" s="33">
        <f>IF(OR(B25="",C25=""),"",IF(AND(D25="Evet",E25="Evet"),"KAPSAMDA","KAPSAM DIŞI"))</f>
        <v/>
      </c>
      <c r="G25" s="34">
        <f>IF(OR(B25="",C25=""),"",IF(I25="GEÇERSİZ","NACE kodunu 4 haneli yazın (ör. 10.11)",IF(AND(D25="Evet",E25="Evet"),"NACE kodu Ek-2 listesinde ve çalışan sayısı 50 ve üzeri",IF(AND(D25="Evet",E25="Hayır"),"NACE kodu listede ancak çalışan sayısı 50'den az",IF(AND(D25="Hayır",E25="Evet"),"Çalışan sayısı yeterli ancak NACE kodu Ek-2 listesinde yok","NACE kodu Ek-2 listesinde yok ve çalışan sayısı 50'den az")))))</f>
        <v/>
      </c>
      <c r="H25" s="34">
        <f>IF(OR(B25="",I25="",I25="GEÇERSİZ"),"",IFERROR(VLOOKUP(I25,'Ek-2 NACE Listesi'!$B$2:$C$149,2,FALSE),"Listede bulunamadı"))</f>
        <v/>
      </c>
      <c r="I25" s="35">
        <f>IF(B25="","",IF(LEN(SUBSTITUTE(SUBSTITUTE(SUBSTITUTE(SUBSTITUTE(SUBSTITUTE(TRIM(B25),".",""),",",""),"-","")," ",""),";",""))&lt;4,"GEÇERSİZ",LEFT(SUBSTITUTE(SUBSTITUTE(SUBSTITUTE(SUBSTITUTE(SUBSTITUTE(TRIM(B25),".",""),",",""),"-","")," ",""),";",""),2)&amp;"."&amp;MID(SUBSTITUTE(SUBSTITUTE(SUBSTITUTE(SUBSTITUTE(SUBSTITUTE(TRIM(B25),".",""),",",""),"-","")," ",""),";",""),3,2)))</f>
        <v/>
      </c>
    </row>
    <row r="26" ht="26" customHeight="1">
      <c r="A26" s="25" t="inlineStr"/>
      <c r="B26" s="26" t="inlineStr"/>
      <c r="C26" s="27" t="n"/>
      <c r="D26" s="28">
        <f>IF(OR(B26="",I26="",I26="GEÇERSİZ"),"",IF(COUNTIF('Ek-2 NACE Listesi'!$B$2:$B$149,I26)&gt;0,"Evet","Hayır"))</f>
        <v/>
      </c>
      <c r="E26" s="28">
        <f>IF(C26="","",IF(AND(ISNUMBER(C26),C26&gt;=50),"Evet","Hayır"))</f>
        <v/>
      </c>
      <c r="F26" s="29">
        <f>IF(OR(B26="",C26=""),"",IF(AND(D26="Evet",E26="Evet"),"KAPSAMDA","KAPSAM DIŞI"))</f>
        <v/>
      </c>
      <c r="G26" s="30">
        <f>IF(OR(B26="",C26=""),"",IF(I26="GEÇERSİZ","NACE kodunu 4 haneli yazın (ör. 10.11)",IF(AND(D26="Evet",E26="Evet"),"NACE kodu Ek-2 listesinde ve çalışan sayısı 50 ve üzeri",IF(AND(D26="Evet",E26="Hayır"),"NACE kodu listede ancak çalışan sayısı 50'den az",IF(AND(D26="Hayır",E26="Evet"),"Çalışan sayısı yeterli ancak NACE kodu Ek-2 listesinde yok","NACE kodu Ek-2 listesinde yok ve çalışan sayısı 50'den az")))))</f>
        <v/>
      </c>
      <c r="H26" s="30">
        <f>IF(OR(B26="",I26="",I26="GEÇERSİZ"),"",IFERROR(VLOOKUP(I26,'Ek-2 NACE Listesi'!$B$2:$C$149,2,FALSE),"Listede bulunamadı"))</f>
        <v/>
      </c>
      <c r="I26" s="31">
        <f>IF(B26="","",IF(LEN(SUBSTITUTE(SUBSTITUTE(SUBSTITUTE(SUBSTITUTE(SUBSTITUTE(TRIM(B26),".",""),",",""),"-","")," ",""),";",""))&lt;4,"GEÇERSİZ",LEFT(SUBSTITUTE(SUBSTITUTE(SUBSTITUTE(SUBSTITUTE(SUBSTITUTE(TRIM(B26),".",""),",",""),"-","")," ",""),";",""),2)&amp;"."&amp;MID(SUBSTITUTE(SUBSTITUTE(SUBSTITUTE(SUBSTITUTE(SUBSTITUTE(TRIM(B26),".",""),",",""),"-","")," ",""),";",""),3,2)))</f>
        <v/>
      </c>
    </row>
    <row r="27" ht="26" customHeight="1">
      <c r="A27" s="25" t="inlineStr"/>
      <c r="B27" s="26" t="inlineStr"/>
      <c r="C27" s="27" t="n"/>
      <c r="D27" s="32">
        <f>IF(OR(B27="",I27="",I27="GEÇERSİZ"),"",IF(COUNTIF('Ek-2 NACE Listesi'!$B$2:$B$149,I27)&gt;0,"Evet","Hayır"))</f>
        <v/>
      </c>
      <c r="E27" s="32">
        <f>IF(C27="","",IF(AND(ISNUMBER(C27),C27&gt;=50),"Evet","Hayır"))</f>
        <v/>
      </c>
      <c r="F27" s="33">
        <f>IF(OR(B27="",C27=""),"",IF(AND(D27="Evet",E27="Evet"),"KAPSAMDA","KAPSAM DIŞI"))</f>
        <v/>
      </c>
      <c r="G27" s="34">
        <f>IF(OR(B27="",C27=""),"",IF(I27="GEÇERSİZ","NACE kodunu 4 haneli yazın (ör. 10.11)",IF(AND(D27="Evet",E27="Evet"),"NACE kodu Ek-2 listesinde ve çalışan sayısı 50 ve üzeri",IF(AND(D27="Evet",E27="Hayır"),"NACE kodu listede ancak çalışan sayısı 50'den az",IF(AND(D27="Hayır",E27="Evet"),"Çalışan sayısı yeterli ancak NACE kodu Ek-2 listesinde yok","NACE kodu Ek-2 listesinde yok ve çalışan sayısı 50'den az")))))</f>
        <v/>
      </c>
      <c r="H27" s="34">
        <f>IF(OR(B27="",I27="",I27="GEÇERSİZ"),"",IFERROR(VLOOKUP(I27,'Ek-2 NACE Listesi'!$B$2:$C$149,2,FALSE),"Listede bulunamadı"))</f>
        <v/>
      </c>
      <c r="I27" s="35">
        <f>IF(B27="","",IF(LEN(SUBSTITUTE(SUBSTITUTE(SUBSTITUTE(SUBSTITUTE(SUBSTITUTE(TRIM(B27),".",""),",",""),"-","")," ",""),";",""))&lt;4,"GEÇERSİZ",LEFT(SUBSTITUTE(SUBSTITUTE(SUBSTITUTE(SUBSTITUTE(SUBSTITUTE(TRIM(B27),".",""),",",""),"-","")," ",""),";",""),2)&amp;"."&amp;MID(SUBSTITUTE(SUBSTITUTE(SUBSTITUTE(SUBSTITUTE(SUBSTITUTE(TRIM(B27),".",""),",",""),"-","")," ",""),";",""),3,2)))</f>
        <v/>
      </c>
    </row>
    <row r="28" ht="26" customHeight="1">
      <c r="A28" s="25" t="inlineStr"/>
      <c r="B28" s="26" t="inlineStr"/>
      <c r="C28" s="27" t="n"/>
      <c r="D28" s="28">
        <f>IF(OR(B28="",I28="",I28="GEÇERSİZ"),"",IF(COUNTIF('Ek-2 NACE Listesi'!$B$2:$B$149,I28)&gt;0,"Evet","Hayır"))</f>
        <v/>
      </c>
      <c r="E28" s="28">
        <f>IF(C28="","",IF(AND(ISNUMBER(C28),C28&gt;=50),"Evet","Hayır"))</f>
        <v/>
      </c>
      <c r="F28" s="29">
        <f>IF(OR(B28="",C28=""),"",IF(AND(D28="Evet",E28="Evet"),"KAPSAMDA","KAPSAM DIŞI"))</f>
        <v/>
      </c>
      <c r="G28" s="30">
        <f>IF(OR(B28="",C28=""),"",IF(I28="GEÇERSİZ","NACE kodunu 4 haneli yazın (ör. 10.11)",IF(AND(D28="Evet",E28="Evet"),"NACE kodu Ek-2 listesinde ve çalışan sayısı 50 ve üzeri",IF(AND(D28="Evet",E28="Hayır"),"NACE kodu listede ancak çalışan sayısı 50'den az",IF(AND(D28="Hayır",E28="Evet"),"Çalışan sayısı yeterli ancak NACE kodu Ek-2 listesinde yok","NACE kodu Ek-2 listesinde yok ve çalışan sayısı 50'den az")))))</f>
        <v/>
      </c>
      <c r="H28" s="30">
        <f>IF(OR(B28="",I28="",I28="GEÇERSİZ"),"",IFERROR(VLOOKUP(I28,'Ek-2 NACE Listesi'!$B$2:$C$149,2,FALSE),"Listede bulunamadı"))</f>
        <v/>
      </c>
      <c r="I28" s="31">
        <f>IF(B28="","",IF(LEN(SUBSTITUTE(SUBSTITUTE(SUBSTITUTE(SUBSTITUTE(SUBSTITUTE(TRIM(B28),".",""),",",""),"-","")," ",""),";",""))&lt;4,"GEÇERSİZ",LEFT(SUBSTITUTE(SUBSTITUTE(SUBSTITUTE(SUBSTITUTE(SUBSTITUTE(TRIM(B28),".",""),",",""),"-","")," ",""),";",""),2)&amp;"."&amp;MID(SUBSTITUTE(SUBSTITUTE(SUBSTITUTE(SUBSTITUTE(SUBSTITUTE(TRIM(B28),".",""),",",""),"-","")," ",""),";",""),3,2)))</f>
        <v/>
      </c>
    </row>
    <row r="29" ht="26" customHeight="1">
      <c r="A29" s="25" t="inlineStr"/>
      <c r="B29" s="26" t="inlineStr"/>
      <c r="C29" s="27" t="n"/>
      <c r="D29" s="32">
        <f>IF(OR(B29="",I29="",I29="GEÇERSİZ"),"",IF(COUNTIF('Ek-2 NACE Listesi'!$B$2:$B$149,I29)&gt;0,"Evet","Hayır"))</f>
        <v/>
      </c>
      <c r="E29" s="32">
        <f>IF(C29="","",IF(AND(ISNUMBER(C29),C29&gt;=50),"Evet","Hayır"))</f>
        <v/>
      </c>
      <c r="F29" s="33">
        <f>IF(OR(B29="",C29=""),"",IF(AND(D29="Evet",E29="Evet"),"KAPSAMDA","KAPSAM DIŞI"))</f>
        <v/>
      </c>
      <c r="G29" s="34">
        <f>IF(OR(B29="",C29=""),"",IF(I29="GEÇERSİZ","NACE kodunu 4 haneli yazın (ör. 10.11)",IF(AND(D29="Evet",E29="Evet"),"NACE kodu Ek-2 listesinde ve çalışan sayısı 50 ve üzeri",IF(AND(D29="Evet",E29="Hayır"),"NACE kodu listede ancak çalışan sayısı 50'den az",IF(AND(D29="Hayır",E29="Evet"),"Çalışan sayısı yeterli ancak NACE kodu Ek-2 listesinde yok","NACE kodu Ek-2 listesinde yok ve çalışan sayısı 50'den az")))))</f>
        <v/>
      </c>
      <c r="H29" s="34">
        <f>IF(OR(B29="",I29="",I29="GEÇERSİZ"),"",IFERROR(VLOOKUP(I29,'Ek-2 NACE Listesi'!$B$2:$C$149,2,FALSE),"Listede bulunamadı"))</f>
        <v/>
      </c>
      <c r="I29" s="35">
        <f>IF(B29="","",IF(LEN(SUBSTITUTE(SUBSTITUTE(SUBSTITUTE(SUBSTITUTE(SUBSTITUTE(TRIM(B29),".",""),",",""),"-","")," ",""),";",""))&lt;4,"GEÇERSİZ",LEFT(SUBSTITUTE(SUBSTITUTE(SUBSTITUTE(SUBSTITUTE(SUBSTITUTE(TRIM(B29),".",""),",",""),"-","")," ",""),";",""),2)&amp;"."&amp;MID(SUBSTITUTE(SUBSTITUTE(SUBSTITUTE(SUBSTITUTE(SUBSTITUTE(TRIM(B29),".",""),",",""),"-","")," ",""),";",""),3,2)))</f>
        <v/>
      </c>
    </row>
    <row r="30" ht="26" customHeight="1">
      <c r="A30" s="25" t="inlineStr"/>
      <c r="B30" s="26" t="inlineStr"/>
      <c r="C30" s="27" t="n"/>
      <c r="D30" s="28">
        <f>IF(OR(B30="",I30="",I30="GEÇERSİZ"),"",IF(COUNTIF('Ek-2 NACE Listesi'!$B$2:$B$149,I30)&gt;0,"Evet","Hayır"))</f>
        <v/>
      </c>
      <c r="E30" s="28">
        <f>IF(C30="","",IF(AND(ISNUMBER(C30),C30&gt;=50),"Evet","Hayır"))</f>
        <v/>
      </c>
      <c r="F30" s="29">
        <f>IF(OR(B30="",C30=""),"",IF(AND(D30="Evet",E30="Evet"),"KAPSAMDA","KAPSAM DIŞI"))</f>
        <v/>
      </c>
      <c r="G30" s="30">
        <f>IF(OR(B30="",C30=""),"",IF(I30="GEÇERSİZ","NACE kodunu 4 haneli yazın (ör. 10.11)",IF(AND(D30="Evet",E30="Evet"),"NACE kodu Ek-2 listesinde ve çalışan sayısı 50 ve üzeri",IF(AND(D30="Evet",E30="Hayır"),"NACE kodu listede ancak çalışan sayısı 50'den az",IF(AND(D30="Hayır",E30="Evet"),"Çalışan sayısı yeterli ancak NACE kodu Ek-2 listesinde yok","NACE kodu Ek-2 listesinde yok ve çalışan sayısı 50'den az")))))</f>
        <v/>
      </c>
      <c r="H30" s="30">
        <f>IF(OR(B30="",I30="",I30="GEÇERSİZ"),"",IFERROR(VLOOKUP(I30,'Ek-2 NACE Listesi'!$B$2:$C$149,2,FALSE),"Listede bulunamadı"))</f>
        <v/>
      </c>
      <c r="I30" s="31">
        <f>IF(B30="","",IF(LEN(SUBSTITUTE(SUBSTITUTE(SUBSTITUTE(SUBSTITUTE(SUBSTITUTE(TRIM(B30),".",""),",",""),"-","")," ",""),";",""))&lt;4,"GEÇERSİZ",LEFT(SUBSTITUTE(SUBSTITUTE(SUBSTITUTE(SUBSTITUTE(SUBSTITUTE(TRIM(B30),".",""),",",""),"-","")," ",""),";",""),2)&amp;"."&amp;MID(SUBSTITUTE(SUBSTITUTE(SUBSTITUTE(SUBSTITUTE(SUBSTITUTE(TRIM(B30),".",""),",",""),"-","")," ",""),";",""),3,2)))</f>
        <v/>
      </c>
    </row>
    <row r="31" ht="26" customHeight="1">
      <c r="A31" s="25" t="inlineStr"/>
      <c r="B31" s="26" t="inlineStr"/>
      <c r="C31" s="27" t="n"/>
      <c r="D31" s="32">
        <f>IF(OR(B31="",I31="",I31="GEÇERSİZ"),"",IF(COUNTIF('Ek-2 NACE Listesi'!$B$2:$B$149,I31)&gt;0,"Evet","Hayır"))</f>
        <v/>
      </c>
      <c r="E31" s="32">
        <f>IF(C31="","",IF(AND(ISNUMBER(C31),C31&gt;=50),"Evet","Hayır"))</f>
        <v/>
      </c>
      <c r="F31" s="33">
        <f>IF(OR(B31="",C31=""),"",IF(AND(D31="Evet",E31="Evet"),"KAPSAMDA","KAPSAM DIŞI"))</f>
        <v/>
      </c>
      <c r="G31" s="34">
        <f>IF(OR(B31="",C31=""),"",IF(I31="GEÇERSİZ","NACE kodunu 4 haneli yazın (ör. 10.11)",IF(AND(D31="Evet",E31="Evet"),"NACE kodu Ek-2 listesinde ve çalışan sayısı 50 ve üzeri",IF(AND(D31="Evet",E31="Hayır"),"NACE kodu listede ancak çalışan sayısı 50'den az",IF(AND(D31="Hayır",E31="Evet"),"Çalışan sayısı yeterli ancak NACE kodu Ek-2 listesinde yok","NACE kodu Ek-2 listesinde yok ve çalışan sayısı 50'den az")))))</f>
        <v/>
      </c>
      <c r="H31" s="34">
        <f>IF(OR(B31="",I31="",I31="GEÇERSİZ"),"",IFERROR(VLOOKUP(I31,'Ek-2 NACE Listesi'!$B$2:$C$149,2,FALSE),"Listede bulunamadı"))</f>
        <v/>
      </c>
      <c r="I31" s="35">
        <f>IF(B31="","",IF(LEN(SUBSTITUTE(SUBSTITUTE(SUBSTITUTE(SUBSTITUTE(SUBSTITUTE(TRIM(B31),".",""),",",""),"-","")," ",""),";",""))&lt;4,"GEÇERSİZ",LEFT(SUBSTITUTE(SUBSTITUTE(SUBSTITUTE(SUBSTITUTE(SUBSTITUTE(TRIM(B31),".",""),",",""),"-","")," ",""),";",""),2)&amp;"."&amp;MID(SUBSTITUTE(SUBSTITUTE(SUBSTITUTE(SUBSTITUTE(SUBSTITUTE(TRIM(B31),".",""),",",""),"-","")," ",""),";",""),3,2)))</f>
        <v/>
      </c>
    </row>
    <row r="32" ht="26" customHeight="1">
      <c r="A32" s="25" t="inlineStr"/>
      <c r="B32" s="26" t="inlineStr"/>
      <c r="C32" s="27" t="n"/>
      <c r="D32" s="28">
        <f>IF(OR(B32="",I32="",I32="GEÇERSİZ"),"",IF(COUNTIF('Ek-2 NACE Listesi'!$B$2:$B$149,I32)&gt;0,"Evet","Hayır"))</f>
        <v/>
      </c>
      <c r="E32" s="28">
        <f>IF(C32="","",IF(AND(ISNUMBER(C32),C32&gt;=50),"Evet","Hayır"))</f>
        <v/>
      </c>
      <c r="F32" s="29">
        <f>IF(OR(B32="",C32=""),"",IF(AND(D32="Evet",E32="Evet"),"KAPSAMDA","KAPSAM DIŞI"))</f>
        <v/>
      </c>
      <c r="G32" s="30">
        <f>IF(OR(B32="",C32=""),"",IF(I32="GEÇERSİZ","NACE kodunu 4 haneli yazın (ör. 10.11)",IF(AND(D32="Evet",E32="Evet"),"NACE kodu Ek-2 listesinde ve çalışan sayısı 50 ve üzeri",IF(AND(D32="Evet",E32="Hayır"),"NACE kodu listede ancak çalışan sayısı 50'den az",IF(AND(D32="Hayır",E32="Evet"),"Çalışan sayısı yeterli ancak NACE kodu Ek-2 listesinde yok","NACE kodu Ek-2 listesinde yok ve çalışan sayısı 50'den az")))))</f>
        <v/>
      </c>
      <c r="H32" s="30">
        <f>IF(OR(B32="",I32="",I32="GEÇERSİZ"),"",IFERROR(VLOOKUP(I32,'Ek-2 NACE Listesi'!$B$2:$C$149,2,FALSE),"Listede bulunamadı"))</f>
        <v/>
      </c>
      <c r="I32" s="31">
        <f>IF(B32="","",IF(LEN(SUBSTITUTE(SUBSTITUTE(SUBSTITUTE(SUBSTITUTE(SUBSTITUTE(TRIM(B32),".",""),",",""),"-","")," ",""),";",""))&lt;4,"GEÇERSİZ",LEFT(SUBSTITUTE(SUBSTITUTE(SUBSTITUTE(SUBSTITUTE(SUBSTITUTE(TRIM(B32),".",""),",",""),"-","")," ",""),";",""),2)&amp;"."&amp;MID(SUBSTITUTE(SUBSTITUTE(SUBSTITUTE(SUBSTITUTE(SUBSTITUTE(TRIM(B32),".",""),",",""),"-","")," ",""),";",""),3,2)))</f>
        <v/>
      </c>
    </row>
    <row r="33" ht="26" customHeight="1">
      <c r="A33" s="25" t="inlineStr"/>
      <c r="B33" s="26" t="inlineStr"/>
      <c r="C33" s="27" t="n"/>
      <c r="D33" s="32">
        <f>IF(OR(B33="",I33="",I33="GEÇERSİZ"),"",IF(COUNTIF('Ek-2 NACE Listesi'!$B$2:$B$149,I33)&gt;0,"Evet","Hayır"))</f>
        <v/>
      </c>
      <c r="E33" s="32">
        <f>IF(C33="","",IF(AND(ISNUMBER(C33),C33&gt;=50),"Evet","Hayır"))</f>
        <v/>
      </c>
      <c r="F33" s="33">
        <f>IF(OR(B33="",C33=""),"",IF(AND(D33="Evet",E33="Evet"),"KAPSAMDA","KAPSAM DIŞI"))</f>
        <v/>
      </c>
      <c r="G33" s="34">
        <f>IF(OR(B33="",C33=""),"",IF(I33="GEÇERSİZ","NACE kodunu 4 haneli yazın (ör. 10.11)",IF(AND(D33="Evet",E33="Evet"),"NACE kodu Ek-2 listesinde ve çalışan sayısı 50 ve üzeri",IF(AND(D33="Evet",E33="Hayır"),"NACE kodu listede ancak çalışan sayısı 50'den az",IF(AND(D33="Hayır",E33="Evet"),"Çalışan sayısı yeterli ancak NACE kodu Ek-2 listesinde yok","NACE kodu Ek-2 listesinde yok ve çalışan sayısı 50'den az")))))</f>
        <v/>
      </c>
      <c r="H33" s="34">
        <f>IF(OR(B33="",I33="",I33="GEÇERSİZ"),"",IFERROR(VLOOKUP(I33,'Ek-2 NACE Listesi'!$B$2:$C$149,2,FALSE),"Listede bulunamadı"))</f>
        <v/>
      </c>
      <c r="I33" s="35">
        <f>IF(B33="","",IF(LEN(SUBSTITUTE(SUBSTITUTE(SUBSTITUTE(SUBSTITUTE(SUBSTITUTE(TRIM(B33),".",""),",",""),"-","")," ",""),";",""))&lt;4,"GEÇERSİZ",LEFT(SUBSTITUTE(SUBSTITUTE(SUBSTITUTE(SUBSTITUTE(SUBSTITUTE(TRIM(B33),".",""),",",""),"-","")," ",""),";",""),2)&amp;"."&amp;MID(SUBSTITUTE(SUBSTITUTE(SUBSTITUTE(SUBSTITUTE(SUBSTITUTE(TRIM(B33),".",""),",",""),"-","")," ",""),";",""),3,2)))</f>
        <v/>
      </c>
    </row>
    <row r="34" ht="26" customHeight="1">
      <c r="A34" s="25" t="inlineStr"/>
      <c r="B34" s="26" t="inlineStr"/>
      <c r="C34" s="27" t="n"/>
      <c r="D34" s="28">
        <f>IF(OR(B34="",I34="",I34="GEÇERSİZ"),"",IF(COUNTIF('Ek-2 NACE Listesi'!$B$2:$B$149,I34)&gt;0,"Evet","Hayır"))</f>
        <v/>
      </c>
      <c r="E34" s="28">
        <f>IF(C34="","",IF(AND(ISNUMBER(C34),C34&gt;=50),"Evet","Hayır"))</f>
        <v/>
      </c>
      <c r="F34" s="29">
        <f>IF(OR(B34="",C34=""),"",IF(AND(D34="Evet",E34="Evet"),"KAPSAMDA","KAPSAM DIŞI"))</f>
        <v/>
      </c>
      <c r="G34" s="30">
        <f>IF(OR(B34="",C34=""),"",IF(I34="GEÇERSİZ","NACE kodunu 4 haneli yazın (ör. 10.11)",IF(AND(D34="Evet",E34="Evet"),"NACE kodu Ek-2 listesinde ve çalışan sayısı 50 ve üzeri",IF(AND(D34="Evet",E34="Hayır"),"NACE kodu listede ancak çalışan sayısı 50'den az",IF(AND(D34="Hayır",E34="Evet"),"Çalışan sayısı yeterli ancak NACE kodu Ek-2 listesinde yok","NACE kodu Ek-2 listesinde yok ve çalışan sayısı 50'den az")))))</f>
        <v/>
      </c>
      <c r="H34" s="30">
        <f>IF(OR(B34="",I34="",I34="GEÇERSİZ"),"",IFERROR(VLOOKUP(I34,'Ek-2 NACE Listesi'!$B$2:$C$149,2,FALSE),"Listede bulunamadı"))</f>
        <v/>
      </c>
      <c r="I34" s="31">
        <f>IF(B34="","",IF(LEN(SUBSTITUTE(SUBSTITUTE(SUBSTITUTE(SUBSTITUTE(SUBSTITUTE(TRIM(B34),".",""),",",""),"-","")," ",""),";",""))&lt;4,"GEÇERSİZ",LEFT(SUBSTITUTE(SUBSTITUTE(SUBSTITUTE(SUBSTITUTE(SUBSTITUTE(TRIM(B34),".",""),",",""),"-","")," ",""),";",""),2)&amp;"."&amp;MID(SUBSTITUTE(SUBSTITUTE(SUBSTITUTE(SUBSTITUTE(SUBSTITUTE(TRIM(B34),".",""),",",""),"-","")," ",""),";",""),3,2)))</f>
        <v/>
      </c>
    </row>
    <row r="35" ht="26" customHeight="1">
      <c r="A35" s="25" t="inlineStr"/>
      <c r="B35" s="26" t="inlineStr"/>
      <c r="C35" s="27" t="n"/>
      <c r="D35" s="32">
        <f>IF(OR(B35="",I35="",I35="GEÇERSİZ"),"",IF(COUNTIF('Ek-2 NACE Listesi'!$B$2:$B$149,I35)&gt;0,"Evet","Hayır"))</f>
        <v/>
      </c>
      <c r="E35" s="32">
        <f>IF(C35="","",IF(AND(ISNUMBER(C35),C35&gt;=50),"Evet","Hayır"))</f>
        <v/>
      </c>
      <c r="F35" s="33">
        <f>IF(OR(B35="",C35=""),"",IF(AND(D35="Evet",E35="Evet"),"KAPSAMDA","KAPSAM DIŞI"))</f>
        <v/>
      </c>
      <c r="G35" s="34">
        <f>IF(OR(B35="",C35=""),"",IF(I35="GEÇERSİZ","NACE kodunu 4 haneli yazın (ör. 10.11)",IF(AND(D35="Evet",E35="Evet"),"NACE kodu Ek-2 listesinde ve çalışan sayısı 50 ve üzeri",IF(AND(D35="Evet",E35="Hayır"),"NACE kodu listede ancak çalışan sayısı 50'den az",IF(AND(D35="Hayır",E35="Evet"),"Çalışan sayısı yeterli ancak NACE kodu Ek-2 listesinde yok","NACE kodu Ek-2 listesinde yok ve çalışan sayısı 50'den az")))))</f>
        <v/>
      </c>
      <c r="H35" s="34">
        <f>IF(OR(B35="",I35="",I35="GEÇERSİZ"),"",IFERROR(VLOOKUP(I35,'Ek-2 NACE Listesi'!$B$2:$C$149,2,FALSE),"Listede bulunamadı"))</f>
        <v/>
      </c>
      <c r="I35" s="35">
        <f>IF(B35="","",IF(LEN(SUBSTITUTE(SUBSTITUTE(SUBSTITUTE(SUBSTITUTE(SUBSTITUTE(TRIM(B35),".",""),",",""),"-","")," ",""),";",""))&lt;4,"GEÇERSİZ",LEFT(SUBSTITUTE(SUBSTITUTE(SUBSTITUTE(SUBSTITUTE(SUBSTITUTE(TRIM(B35),".",""),",",""),"-","")," ",""),";",""),2)&amp;"."&amp;MID(SUBSTITUTE(SUBSTITUTE(SUBSTITUTE(SUBSTITUTE(SUBSTITUTE(TRIM(B35),".",""),",",""),"-","")," ",""),";",""),3,2)))</f>
        <v/>
      </c>
    </row>
    <row r="36" ht="26" customHeight="1">
      <c r="A36" s="25" t="inlineStr"/>
      <c r="B36" s="26" t="inlineStr"/>
      <c r="C36" s="27" t="n"/>
      <c r="D36" s="28">
        <f>IF(OR(B36="",I36="",I36="GEÇERSİZ"),"",IF(COUNTIF('Ek-2 NACE Listesi'!$B$2:$B$149,I36)&gt;0,"Evet","Hayır"))</f>
        <v/>
      </c>
      <c r="E36" s="28">
        <f>IF(C36="","",IF(AND(ISNUMBER(C36),C36&gt;=50),"Evet","Hayır"))</f>
        <v/>
      </c>
      <c r="F36" s="29">
        <f>IF(OR(B36="",C36=""),"",IF(AND(D36="Evet",E36="Evet"),"KAPSAMDA","KAPSAM DIŞI"))</f>
        <v/>
      </c>
      <c r="G36" s="30">
        <f>IF(OR(B36="",C36=""),"",IF(I36="GEÇERSİZ","NACE kodunu 4 haneli yazın (ör. 10.11)",IF(AND(D36="Evet",E36="Evet"),"NACE kodu Ek-2 listesinde ve çalışan sayısı 50 ve üzeri",IF(AND(D36="Evet",E36="Hayır"),"NACE kodu listede ancak çalışan sayısı 50'den az",IF(AND(D36="Hayır",E36="Evet"),"Çalışan sayısı yeterli ancak NACE kodu Ek-2 listesinde yok","NACE kodu Ek-2 listesinde yok ve çalışan sayısı 50'den az")))))</f>
        <v/>
      </c>
      <c r="H36" s="30">
        <f>IF(OR(B36="",I36="",I36="GEÇERSİZ"),"",IFERROR(VLOOKUP(I36,'Ek-2 NACE Listesi'!$B$2:$C$149,2,FALSE),"Listede bulunamadı"))</f>
        <v/>
      </c>
      <c r="I36" s="31">
        <f>IF(B36="","",IF(LEN(SUBSTITUTE(SUBSTITUTE(SUBSTITUTE(SUBSTITUTE(SUBSTITUTE(TRIM(B36),".",""),",",""),"-","")," ",""),";",""))&lt;4,"GEÇERSİZ",LEFT(SUBSTITUTE(SUBSTITUTE(SUBSTITUTE(SUBSTITUTE(SUBSTITUTE(TRIM(B36),".",""),",",""),"-","")," ",""),";",""),2)&amp;"."&amp;MID(SUBSTITUTE(SUBSTITUTE(SUBSTITUTE(SUBSTITUTE(SUBSTITUTE(TRIM(B36),".",""),",",""),"-","")," ",""),";",""),3,2)))</f>
        <v/>
      </c>
    </row>
    <row r="37" ht="26" customHeight="1">
      <c r="A37" s="25" t="inlineStr"/>
      <c r="B37" s="26" t="inlineStr"/>
      <c r="C37" s="27" t="n"/>
      <c r="D37" s="32">
        <f>IF(OR(B37="",I37="",I37="GEÇERSİZ"),"",IF(COUNTIF('Ek-2 NACE Listesi'!$B$2:$B$149,I37)&gt;0,"Evet","Hayır"))</f>
        <v/>
      </c>
      <c r="E37" s="32">
        <f>IF(C37="","",IF(AND(ISNUMBER(C37),C37&gt;=50),"Evet","Hayır"))</f>
        <v/>
      </c>
      <c r="F37" s="33">
        <f>IF(OR(B37="",C37=""),"",IF(AND(D37="Evet",E37="Evet"),"KAPSAMDA","KAPSAM DIŞI"))</f>
        <v/>
      </c>
      <c r="G37" s="34">
        <f>IF(OR(B37="",C37=""),"",IF(I37="GEÇERSİZ","NACE kodunu 4 haneli yazın (ör. 10.11)",IF(AND(D37="Evet",E37="Evet"),"NACE kodu Ek-2 listesinde ve çalışan sayısı 50 ve üzeri",IF(AND(D37="Evet",E37="Hayır"),"NACE kodu listede ancak çalışan sayısı 50'den az",IF(AND(D37="Hayır",E37="Evet"),"Çalışan sayısı yeterli ancak NACE kodu Ek-2 listesinde yok","NACE kodu Ek-2 listesinde yok ve çalışan sayısı 50'den az")))))</f>
        <v/>
      </c>
      <c r="H37" s="34">
        <f>IF(OR(B37="",I37="",I37="GEÇERSİZ"),"",IFERROR(VLOOKUP(I37,'Ek-2 NACE Listesi'!$B$2:$C$149,2,FALSE),"Listede bulunamadı"))</f>
        <v/>
      </c>
      <c r="I37" s="35">
        <f>IF(B37="","",IF(LEN(SUBSTITUTE(SUBSTITUTE(SUBSTITUTE(SUBSTITUTE(SUBSTITUTE(TRIM(B37),".",""),",",""),"-","")," ",""),";",""))&lt;4,"GEÇERSİZ",LEFT(SUBSTITUTE(SUBSTITUTE(SUBSTITUTE(SUBSTITUTE(SUBSTITUTE(TRIM(B37),".",""),",",""),"-","")," ",""),";",""),2)&amp;"."&amp;MID(SUBSTITUTE(SUBSTITUTE(SUBSTITUTE(SUBSTITUTE(SUBSTITUTE(TRIM(B37),".",""),",",""),"-","")," ",""),";",""),3,2)))</f>
        <v/>
      </c>
    </row>
    <row r="38" ht="26" customHeight="1">
      <c r="A38" s="25" t="inlineStr"/>
      <c r="B38" s="26" t="inlineStr"/>
      <c r="C38" s="27" t="n"/>
      <c r="D38" s="28">
        <f>IF(OR(B38="",I38="",I38="GEÇERSİZ"),"",IF(COUNTIF('Ek-2 NACE Listesi'!$B$2:$B$149,I38)&gt;0,"Evet","Hayır"))</f>
        <v/>
      </c>
      <c r="E38" s="28">
        <f>IF(C38="","",IF(AND(ISNUMBER(C38),C38&gt;=50),"Evet","Hayır"))</f>
        <v/>
      </c>
      <c r="F38" s="29">
        <f>IF(OR(B38="",C38=""),"",IF(AND(D38="Evet",E38="Evet"),"KAPSAMDA","KAPSAM DIŞI"))</f>
        <v/>
      </c>
      <c r="G38" s="30">
        <f>IF(OR(B38="",C38=""),"",IF(I38="GEÇERSİZ","NACE kodunu 4 haneli yazın (ör. 10.11)",IF(AND(D38="Evet",E38="Evet"),"NACE kodu Ek-2 listesinde ve çalışan sayısı 50 ve üzeri",IF(AND(D38="Evet",E38="Hayır"),"NACE kodu listede ancak çalışan sayısı 50'den az",IF(AND(D38="Hayır",E38="Evet"),"Çalışan sayısı yeterli ancak NACE kodu Ek-2 listesinde yok","NACE kodu Ek-2 listesinde yok ve çalışan sayısı 50'den az")))))</f>
        <v/>
      </c>
      <c r="H38" s="30">
        <f>IF(OR(B38="",I38="",I38="GEÇERSİZ"),"",IFERROR(VLOOKUP(I38,'Ek-2 NACE Listesi'!$B$2:$C$149,2,FALSE),"Listede bulunamadı"))</f>
        <v/>
      </c>
      <c r="I38" s="31">
        <f>IF(B38="","",IF(LEN(SUBSTITUTE(SUBSTITUTE(SUBSTITUTE(SUBSTITUTE(SUBSTITUTE(TRIM(B38),".",""),",",""),"-","")," ",""),";",""))&lt;4,"GEÇERSİZ",LEFT(SUBSTITUTE(SUBSTITUTE(SUBSTITUTE(SUBSTITUTE(SUBSTITUTE(TRIM(B38),".",""),",",""),"-","")," ",""),";",""),2)&amp;"."&amp;MID(SUBSTITUTE(SUBSTITUTE(SUBSTITUTE(SUBSTITUTE(SUBSTITUTE(TRIM(B38),".",""),",",""),"-","")," ",""),";",""),3,2)))</f>
        <v/>
      </c>
    </row>
    <row r="39" ht="26" customHeight="1">
      <c r="A39" s="25" t="inlineStr"/>
      <c r="B39" s="26" t="inlineStr"/>
      <c r="C39" s="27" t="n"/>
      <c r="D39" s="32">
        <f>IF(OR(B39="",I39="",I39="GEÇERSİZ"),"",IF(COUNTIF('Ek-2 NACE Listesi'!$B$2:$B$149,I39)&gt;0,"Evet","Hayır"))</f>
        <v/>
      </c>
      <c r="E39" s="32">
        <f>IF(C39="","",IF(AND(ISNUMBER(C39),C39&gt;=50),"Evet","Hayır"))</f>
        <v/>
      </c>
      <c r="F39" s="33">
        <f>IF(OR(B39="",C39=""),"",IF(AND(D39="Evet",E39="Evet"),"KAPSAMDA","KAPSAM DIŞI"))</f>
        <v/>
      </c>
      <c r="G39" s="34">
        <f>IF(OR(B39="",C39=""),"",IF(I39="GEÇERSİZ","NACE kodunu 4 haneli yazın (ör. 10.11)",IF(AND(D39="Evet",E39="Evet"),"NACE kodu Ek-2 listesinde ve çalışan sayısı 50 ve üzeri",IF(AND(D39="Evet",E39="Hayır"),"NACE kodu listede ancak çalışan sayısı 50'den az",IF(AND(D39="Hayır",E39="Evet"),"Çalışan sayısı yeterli ancak NACE kodu Ek-2 listesinde yok","NACE kodu Ek-2 listesinde yok ve çalışan sayısı 50'den az")))))</f>
        <v/>
      </c>
      <c r="H39" s="34">
        <f>IF(OR(B39="",I39="",I39="GEÇERSİZ"),"",IFERROR(VLOOKUP(I39,'Ek-2 NACE Listesi'!$B$2:$C$149,2,FALSE),"Listede bulunamadı"))</f>
        <v/>
      </c>
      <c r="I39" s="35">
        <f>IF(B39="","",IF(LEN(SUBSTITUTE(SUBSTITUTE(SUBSTITUTE(SUBSTITUTE(SUBSTITUTE(TRIM(B39),".",""),",",""),"-","")," ",""),";",""))&lt;4,"GEÇERSİZ",LEFT(SUBSTITUTE(SUBSTITUTE(SUBSTITUTE(SUBSTITUTE(SUBSTITUTE(TRIM(B39),".",""),",",""),"-","")," ",""),";",""),2)&amp;"."&amp;MID(SUBSTITUTE(SUBSTITUTE(SUBSTITUTE(SUBSTITUTE(SUBSTITUTE(TRIM(B39),".",""),",",""),"-","")," ",""),";",""),3,2)))</f>
        <v/>
      </c>
    </row>
    <row r="40" ht="26" customHeight="1">
      <c r="A40" s="25" t="inlineStr"/>
      <c r="B40" s="26" t="inlineStr"/>
      <c r="C40" s="27" t="n"/>
      <c r="D40" s="28">
        <f>IF(OR(B40="",I40="",I40="GEÇERSİZ"),"",IF(COUNTIF('Ek-2 NACE Listesi'!$B$2:$B$149,I40)&gt;0,"Evet","Hayır"))</f>
        <v/>
      </c>
      <c r="E40" s="28">
        <f>IF(C40="","",IF(AND(ISNUMBER(C40),C40&gt;=50),"Evet","Hayır"))</f>
        <v/>
      </c>
      <c r="F40" s="29">
        <f>IF(OR(B40="",C40=""),"",IF(AND(D40="Evet",E40="Evet"),"KAPSAMDA","KAPSAM DIŞI"))</f>
        <v/>
      </c>
      <c r="G40" s="30">
        <f>IF(OR(B40="",C40=""),"",IF(I40="GEÇERSİZ","NACE kodunu 4 haneli yazın (ör. 10.11)",IF(AND(D40="Evet",E40="Evet"),"NACE kodu Ek-2 listesinde ve çalışan sayısı 50 ve üzeri",IF(AND(D40="Evet",E40="Hayır"),"NACE kodu listede ancak çalışan sayısı 50'den az",IF(AND(D40="Hayır",E40="Evet"),"Çalışan sayısı yeterli ancak NACE kodu Ek-2 listesinde yok","NACE kodu Ek-2 listesinde yok ve çalışan sayısı 50'den az")))))</f>
        <v/>
      </c>
      <c r="H40" s="30">
        <f>IF(OR(B40="",I40="",I40="GEÇERSİZ"),"",IFERROR(VLOOKUP(I40,'Ek-2 NACE Listesi'!$B$2:$C$149,2,FALSE),"Listede bulunamadı"))</f>
        <v/>
      </c>
      <c r="I40" s="31">
        <f>IF(B40="","",IF(LEN(SUBSTITUTE(SUBSTITUTE(SUBSTITUTE(SUBSTITUTE(SUBSTITUTE(TRIM(B40),".",""),",",""),"-","")," ",""),";",""))&lt;4,"GEÇERSİZ",LEFT(SUBSTITUTE(SUBSTITUTE(SUBSTITUTE(SUBSTITUTE(SUBSTITUTE(TRIM(B40),".",""),",",""),"-","")," ",""),";",""),2)&amp;"."&amp;MID(SUBSTITUTE(SUBSTITUTE(SUBSTITUTE(SUBSTITUTE(SUBSTITUTE(TRIM(B40),".",""),",",""),"-","")," ",""),";",""),3,2)))</f>
        <v/>
      </c>
    </row>
    <row r="41" ht="26" customHeight="1">
      <c r="A41" s="25" t="inlineStr"/>
      <c r="B41" s="26" t="inlineStr"/>
      <c r="C41" s="27" t="n"/>
      <c r="D41" s="32">
        <f>IF(OR(B41="",I41="",I41="GEÇERSİZ"),"",IF(COUNTIF('Ek-2 NACE Listesi'!$B$2:$B$149,I41)&gt;0,"Evet","Hayır"))</f>
        <v/>
      </c>
      <c r="E41" s="32">
        <f>IF(C41="","",IF(AND(ISNUMBER(C41),C41&gt;=50),"Evet","Hayır"))</f>
        <v/>
      </c>
      <c r="F41" s="33">
        <f>IF(OR(B41="",C41=""),"",IF(AND(D41="Evet",E41="Evet"),"KAPSAMDA","KAPSAM DIŞI"))</f>
        <v/>
      </c>
      <c r="G41" s="34">
        <f>IF(OR(B41="",C41=""),"",IF(I41="GEÇERSİZ","NACE kodunu 4 haneli yazın (ör. 10.11)",IF(AND(D41="Evet",E41="Evet"),"NACE kodu Ek-2 listesinde ve çalışan sayısı 50 ve üzeri",IF(AND(D41="Evet",E41="Hayır"),"NACE kodu listede ancak çalışan sayısı 50'den az",IF(AND(D41="Hayır",E41="Evet"),"Çalışan sayısı yeterli ancak NACE kodu Ek-2 listesinde yok","NACE kodu Ek-2 listesinde yok ve çalışan sayısı 50'den az")))))</f>
        <v/>
      </c>
      <c r="H41" s="34">
        <f>IF(OR(B41="",I41="",I41="GEÇERSİZ"),"",IFERROR(VLOOKUP(I41,'Ek-2 NACE Listesi'!$B$2:$C$149,2,FALSE),"Listede bulunamadı"))</f>
        <v/>
      </c>
      <c r="I41" s="35">
        <f>IF(B41="","",IF(LEN(SUBSTITUTE(SUBSTITUTE(SUBSTITUTE(SUBSTITUTE(SUBSTITUTE(TRIM(B41),".",""),",",""),"-","")," ",""),";",""))&lt;4,"GEÇERSİZ",LEFT(SUBSTITUTE(SUBSTITUTE(SUBSTITUTE(SUBSTITUTE(SUBSTITUTE(TRIM(B41),".",""),",",""),"-","")," ",""),";",""),2)&amp;"."&amp;MID(SUBSTITUTE(SUBSTITUTE(SUBSTITUTE(SUBSTITUTE(SUBSTITUTE(TRIM(B41),".",""),",",""),"-","")," ",""),";",""),3,2)))</f>
        <v/>
      </c>
    </row>
    <row r="42" ht="26" customHeight="1">
      <c r="A42" s="25" t="inlineStr"/>
      <c r="B42" s="26" t="inlineStr"/>
      <c r="C42" s="27" t="n"/>
      <c r="D42" s="28">
        <f>IF(OR(B42="",I42="",I42="GEÇERSİZ"),"",IF(COUNTIF('Ek-2 NACE Listesi'!$B$2:$B$149,I42)&gt;0,"Evet","Hayır"))</f>
        <v/>
      </c>
      <c r="E42" s="28">
        <f>IF(C42="","",IF(AND(ISNUMBER(C42),C42&gt;=50),"Evet","Hayır"))</f>
        <v/>
      </c>
      <c r="F42" s="29">
        <f>IF(OR(B42="",C42=""),"",IF(AND(D42="Evet",E42="Evet"),"KAPSAMDA","KAPSAM DIŞI"))</f>
        <v/>
      </c>
      <c r="G42" s="30">
        <f>IF(OR(B42="",C42=""),"",IF(I42="GEÇERSİZ","NACE kodunu 4 haneli yazın (ör. 10.11)",IF(AND(D42="Evet",E42="Evet"),"NACE kodu Ek-2 listesinde ve çalışan sayısı 50 ve üzeri",IF(AND(D42="Evet",E42="Hayır"),"NACE kodu listede ancak çalışan sayısı 50'den az",IF(AND(D42="Hayır",E42="Evet"),"Çalışan sayısı yeterli ancak NACE kodu Ek-2 listesinde yok","NACE kodu Ek-2 listesinde yok ve çalışan sayısı 50'den az")))))</f>
        <v/>
      </c>
      <c r="H42" s="30">
        <f>IF(OR(B42="",I42="",I42="GEÇERSİZ"),"",IFERROR(VLOOKUP(I42,'Ek-2 NACE Listesi'!$B$2:$C$149,2,FALSE),"Listede bulunamadı"))</f>
        <v/>
      </c>
      <c r="I42" s="31">
        <f>IF(B42="","",IF(LEN(SUBSTITUTE(SUBSTITUTE(SUBSTITUTE(SUBSTITUTE(SUBSTITUTE(TRIM(B42),".",""),",",""),"-","")," ",""),";",""))&lt;4,"GEÇERSİZ",LEFT(SUBSTITUTE(SUBSTITUTE(SUBSTITUTE(SUBSTITUTE(SUBSTITUTE(TRIM(B42),".",""),",",""),"-","")," ",""),";",""),2)&amp;"."&amp;MID(SUBSTITUTE(SUBSTITUTE(SUBSTITUTE(SUBSTITUTE(SUBSTITUTE(TRIM(B42),".",""),",",""),"-","")," ",""),";",""),3,2)))</f>
        <v/>
      </c>
    </row>
    <row r="43" ht="26" customHeight="1">
      <c r="A43" s="25" t="inlineStr"/>
      <c r="B43" s="26" t="inlineStr"/>
      <c r="C43" s="27" t="n"/>
      <c r="D43" s="32">
        <f>IF(OR(B43="",I43="",I43="GEÇERSİZ"),"",IF(COUNTIF('Ek-2 NACE Listesi'!$B$2:$B$149,I43)&gt;0,"Evet","Hayır"))</f>
        <v/>
      </c>
      <c r="E43" s="32">
        <f>IF(C43="","",IF(AND(ISNUMBER(C43),C43&gt;=50),"Evet","Hayır"))</f>
        <v/>
      </c>
      <c r="F43" s="33">
        <f>IF(OR(B43="",C43=""),"",IF(AND(D43="Evet",E43="Evet"),"KAPSAMDA","KAPSAM DIŞI"))</f>
        <v/>
      </c>
      <c r="G43" s="34">
        <f>IF(OR(B43="",C43=""),"",IF(I43="GEÇERSİZ","NACE kodunu 4 haneli yazın (ör. 10.11)",IF(AND(D43="Evet",E43="Evet"),"NACE kodu Ek-2 listesinde ve çalışan sayısı 50 ve üzeri",IF(AND(D43="Evet",E43="Hayır"),"NACE kodu listede ancak çalışan sayısı 50'den az",IF(AND(D43="Hayır",E43="Evet"),"Çalışan sayısı yeterli ancak NACE kodu Ek-2 listesinde yok","NACE kodu Ek-2 listesinde yok ve çalışan sayısı 50'den az")))))</f>
        <v/>
      </c>
      <c r="H43" s="34">
        <f>IF(OR(B43="",I43="",I43="GEÇERSİZ"),"",IFERROR(VLOOKUP(I43,'Ek-2 NACE Listesi'!$B$2:$C$149,2,FALSE),"Listede bulunamadı"))</f>
        <v/>
      </c>
      <c r="I43" s="35">
        <f>IF(B43="","",IF(LEN(SUBSTITUTE(SUBSTITUTE(SUBSTITUTE(SUBSTITUTE(SUBSTITUTE(TRIM(B43),".",""),",",""),"-","")," ",""),";",""))&lt;4,"GEÇERSİZ",LEFT(SUBSTITUTE(SUBSTITUTE(SUBSTITUTE(SUBSTITUTE(SUBSTITUTE(TRIM(B43),".",""),",",""),"-","")," ",""),";",""),2)&amp;"."&amp;MID(SUBSTITUTE(SUBSTITUTE(SUBSTITUTE(SUBSTITUTE(SUBSTITUTE(TRIM(B43),".",""),",",""),"-","")," ",""),";",""),3,2)))</f>
        <v/>
      </c>
    </row>
    <row r="44" ht="26" customHeight="1">
      <c r="A44" s="25" t="inlineStr"/>
      <c r="B44" s="26" t="inlineStr"/>
      <c r="C44" s="27" t="n"/>
      <c r="D44" s="28">
        <f>IF(OR(B44="",I44="",I44="GEÇERSİZ"),"",IF(COUNTIF('Ek-2 NACE Listesi'!$B$2:$B$149,I44)&gt;0,"Evet","Hayır"))</f>
        <v/>
      </c>
      <c r="E44" s="28">
        <f>IF(C44="","",IF(AND(ISNUMBER(C44),C44&gt;=50),"Evet","Hayır"))</f>
        <v/>
      </c>
      <c r="F44" s="29">
        <f>IF(OR(B44="",C44=""),"",IF(AND(D44="Evet",E44="Evet"),"KAPSAMDA","KAPSAM DIŞI"))</f>
        <v/>
      </c>
      <c r="G44" s="30">
        <f>IF(OR(B44="",C44=""),"",IF(I44="GEÇERSİZ","NACE kodunu 4 haneli yazın (ör. 10.11)",IF(AND(D44="Evet",E44="Evet"),"NACE kodu Ek-2 listesinde ve çalışan sayısı 50 ve üzeri",IF(AND(D44="Evet",E44="Hayır"),"NACE kodu listede ancak çalışan sayısı 50'den az",IF(AND(D44="Hayır",E44="Evet"),"Çalışan sayısı yeterli ancak NACE kodu Ek-2 listesinde yok","NACE kodu Ek-2 listesinde yok ve çalışan sayısı 50'den az")))))</f>
        <v/>
      </c>
      <c r="H44" s="30">
        <f>IF(OR(B44="",I44="",I44="GEÇERSİZ"),"",IFERROR(VLOOKUP(I44,'Ek-2 NACE Listesi'!$B$2:$C$149,2,FALSE),"Listede bulunamadı"))</f>
        <v/>
      </c>
      <c r="I44" s="31">
        <f>IF(B44="","",IF(LEN(SUBSTITUTE(SUBSTITUTE(SUBSTITUTE(SUBSTITUTE(SUBSTITUTE(TRIM(B44),".",""),",",""),"-","")," ",""),";",""))&lt;4,"GEÇERSİZ",LEFT(SUBSTITUTE(SUBSTITUTE(SUBSTITUTE(SUBSTITUTE(SUBSTITUTE(TRIM(B44),".",""),",",""),"-","")," ",""),";",""),2)&amp;"."&amp;MID(SUBSTITUTE(SUBSTITUTE(SUBSTITUTE(SUBSTITUTE(SUBSTITUTE(TRIM(B44),".",""),",",""),"-","")," ",""),";",""),3,2)))</f>
        <v/>
      </c>
    </row>
    <row r="45" ht="26" customHeight="1">
      <c r="A45" s="25" t="inlineStr"/>
      <c r="B45" s="26" t="inlineStr"/>
      <c r="C45" s="27" t="n"/>
      <c r="D45" s="32">
        <f>IF(OR(B45="",I45="",I45="GEÇERSİZ"),"",IF(COUNTIF('Ek-2 NACE Listesi'!$B$2:$B$149,I45)&gt;0,"Evet","Hayır"))</f>
        <v/>
      </c>
      <c r="E45" s="32">
        <f>IF(C45="","",IF(AND(ISNUMBER(C45),C45&gt;=50),"Evet","Hayır"))</f>
        <v/>
      </c>
      <c r="F45" s="33">
        <f>IF(OR(B45="",C45=""),"",IF(AND(D45="Evet",E45="Evet"),"KAPSAMDA","KAPSAM DIŞI"))</f>
        <v/>
      </c>
      <c r="G45" s="34">
        <f>IF(OR(B45="",C45=""),"",IF(I45="GEÇERSİZ","NACE kodunu 4 haneli yazın (ör. 10.11)",IF(AND(D45="Evet",E45="Evet"),"NACE kodu Ek-2 listesinde ve çalışan sayısı 50 ve üzeri",IF(AND(D45="Evet",E45="Hayır"),"NACE kodu listede ancak çalışan sayısı 50'den az",IF(AND(D45="Hayır",E45="Evet"),"Çalışan sayısı yeterli ancak NACE kodu Ek-2 listesinde yok","NACE kodu Ek-2 listesinde yok ve çalışan sayısı 50'den az")))))</f>
        <v/>
      </c>
      <c r="H45" s="34">
        <f>IF(OR(B45="",I45="",I45="GEÇERSİZ"),"",IFERROR(VLOOKUP(I45,'Ek-2 NACE Listesi'!$B$2:$C$149,2,FALSE),"Listede bulunamadı"))</f>
        <v/>
      </c>
      <c r="I45" s="35">
        <f>IF(B45="","",IF(LEN(SUBSTITUTE(SUBSTITUTE(SUBSTITUTE(SUBSTITUTE(SUBSTITUTE(TRIM(B45),".",""),",",""),"-","")," ",""),";",""))&lt;4,"GEÇERSİZ",LEFT(SUBSTITUTE(SUBSTITUTE(SUBSTITUTE(SUBSTITUTE(SUBSTITUTE(TRIM(B45),".",""),",",""),"-","")," ",""),";",""),2)&amp;"."&amp;MID(SUBSTITUTE(SUBSTITUTE(SUBSTITUTE(SUBSTITUTE(SUBSTITUTE(TRIM(B45),".",""),",",""),"-","")," ",""),";",""),3,2)))</f>
        <v/>
      </c>
    </row>
    <row r="46" ht="26" customHeight="1">
      <c r="A46" s="25" t="inlineStr"/>
      <c r="B46" s="26" t="inlineStr"/>
      <c r="C46" s="27" t="n"/>
      <c r="D46" s="28">
        <f>IF(OR(B46="",I46="",I46="GEÇERSİZ"),"",IF(COUNTIF('Ek-2 NACE Listesi'!$B$2:$B$149,I46)&gt;0,"Evet","Hayır"))</f>
        <v/>
      </c>
      <c r="E46" s="28">
        <f>IF(C46="","",IF(AND(ISNUMBER(C46),C46&gt;=50),"Evet","Hayır"))</f>
        <v/>
      </c>
      <c r="F46" s="29">
        <f>IF(OR(B46="",C46=""),"",IF(AND(D46="Evet",E46="Evet"),"KAPSAMDA","KAPSAM DIŞI"))</f>
        <v/>
      </c>
      <c r="G46" s="30">
        <f>IF(OR(B46="",C46=""),"",IF(I46="GEÇERSİZ","NACE kodunu 4 haneli yazın (ör. 10.11)",IF(AND(D46="Evet",E46="Evet"),"NACE kodu Ek-2 listesinde ve çalışan sayısı 50 ve üzeri",IF(AND(D46="Evet",E46="Hayır"),"NACE kodu listede ancak çalışan sayısı 50'den az",IF(AND(D46="Hayır",E46="Evet"),"Çalışan sayısı yeterli ancak NACE kodu Ek-2 listesinde yok","NACE kodu Ek-2 listesinde yok ve çalışan sayısı 50'den az")))))</f>
        <v/>
      </c>
      <c r="H46" s="30">
        <f>IF(OR(B46="",I46="",I46="GEÇERSİZ"),"",IFERROR(VLOOKUP(I46,'Ek-2 NACE Listesi'!$B$2:$C$149,2,FALSE),"Listede bulunamadı"))</f>
        <v/>
      </c>
      <c r="I46" s="31">
        <f>IF(B46="","",IF(LEN(SUBSTITUTE(SUBSTITUTE(SUBSTITUTE(SUBSTITUTE(SUBSTITUTE(TRIM(B46),".",""),",",""),"-","")," ",""),";",""))&lt;4,"GEÇERSİZ",LEFT(SUBSTITUTE(SUBSTITUTE(SUBSTITUTE(SUBSTITUTE(SUBSTITUTE(TRIM(B46),".",""),",",""),"-","")," ",""),";",""),2)&amp;"."&amp;MID(SUBSTITUTE(SUBSTITUTE(SUBSTITUTE(SUBSTITUTE(SUBSTITUTE(TRIM(B46),".",""),",",""),"-","")," ",""),";",""),3,2)))</f>
        <v/>
      </c>
    </row>
    <row r="47" ht="26" customHeight="1">
      <c r="A47" s="25" t="inlineStr"/>
      <c r="B47" s="26" t="inlineStr"/>
      <c r="C47" s="27" t="n"/>
      <c r="D47" s="32">
        <f>IF(OR(B47="",I47="",I47="GEÇERSİZ"),"",IF(COUNTIF('Ek-2 NACE Listesi'!$B$2:$B$149,I47)&gt;0,"Evet","Hayır"))</f>
        <v/>
      </c>
      <c r="E47" s="32">
        <f>IF(C47="","",IF(AND(ISNUMBER(C47),C47&gt;=50),"Evet","Hayır"))</f>
        <v/>
      </c>
      <c r="F47" s="33">
        <f>IF(OR(B47="",C47=""),"",IF(AND(D47="Evet",E47="Evet"),"KAPSAMDA","KAPSAM DIŞI"))</f>
        <v/>
      </c>
      <c r="G47" s="34">
        <f>IF(OR(B47="",C47=""),"",IF(I47="GEÇERSİZ","NACE kodunu 4 haneli yazın (ör. 10.11)",IF(AND(D47="Evet",E47="Evet"),"NACE kodu Ek-2 listesinde ve çalışan sayısı 50 ve üzeri",IF(AND(D47="Evet",E47="Hayır"),"NACE kodu listede ancak çalışan sayısı 50'den az",IF(AND(D47="Hayır",E47="Evet"),"Çalışan sayısı yeterli ancak NACE kodu Ek-2 listesinde yok","NACE kodu Ek-2 listesinde yok ve çalışan sayısı 50'den az")))))</f>
        <v/>
      </c>
      <c r="H47" s="34">
        <f>IF(OR(B47="",I47="",I47="GEÇERSİZ"),"",IFERROR(VLOOKUP(I47,'Ek-2 NACE Listesi'!$B$2:$C$149,2,FALSE),"Listede bulunamadı"))</f>
        <v/>
      </c>
      <c r="I47" s="35">
        <f>IF(B47="","",IF(LEN(SUBSTITUTE(SUBSTITUTE(SUBSTITUTE(SUBSTITUTE(SUBSTITUTE(TRIM(B47),".",""),",",""),"-","")," ",""),";",""))&lt;4,"GEÇERSİZ",LEFT(SUBSTITUTE(SUBSTITUTE(SUBSTITUTE(SUBSTITUTE(SUBSTITUTE(TRIM(B47),".",""),",",""),"-","")," ",""),";",""),2)&amp;"."&amp;MID(SUBSTITUTE(SUBSTITUTE(SUBSTITUTE(SUBSTITUTE(SUBSTITUTE(TRIM(B47),".",""),",",""),"-","")," ",""),";",""),3,2)))</f>
        <v/>
      </c>
    </row>
    <row r="48" ht="26" customHeight="1">
      <c r="A48" s="25" t="inlineStr"/>
      <c r="B48" s="26" t="inlineStr"/>
      <c r="C48" s="27" t="n"/>
      <c r="D48" s="28">
        <f>IF(OR(B48="",I48="",I48="GEÇERSİZ"),"",IF(COUNTIF('Ek-2 NACE Listesi'!$B$2:$B$149,I48)&gt;0,"Evet","Hayır"))</f>
        <v/>
      </c>
      <c r="E48" s="28">
        <f>IF(C48="","",IF(AND(ISNUMBER(C48),C48&gt;=50),"Evet","Hayır"))</f>
        <v/>
      </c>
      <c r="F48" s="29">
        <f>IF(OR(B48="",C48=""),"",IF(AND(D48="Evet",E48="Evet"),"KAPSAMDA","KAPSAM DIŞI"))</f>
        <v/>
      </c>
      <c r="G48" s="30">
        <f>IF(OR(B48="",C48=""),"",IF(I48="GEÇERSİZ","NACE kodunu 4 haneli yazın (ör. 10.11)",IF(AND(D48="Evet",E48="Evet"),"NACE kodu Ek-2 listesinde ve çalışan sayısı 50 ve üzeri",IF(AND(D48="Evet",E48="Hayır"),"NACE kodu listede ancak çalışan sayısı 50'den az",IF(AND(D48="Hayır",E48="Evet"),"Çalışan sayısı yeterli ancak NACE kodu Ek-2 listesinde yok","NACE kodu Ek-2 listesinde yok ve çalışan sayısı 50'den az")))))</f>
        <v/>
      </c>
      <c r="H48" s="30">
        <f>IF(OR(B48="",I48="",I48="GEÇERSİZ"),"",IFERROR(VLOOKUP(I48,'Ek-2 NACE Listesi'!$B$2:$C$149,2,FALSE),"Listede bulunamadı"))</f>
        <v/>
      </c>
      <c r="I48" s="31">
        <f>IF(B48="","",IF(LEN(SUBSTITUTE(SUBSTITUTE(SUBSTITUTE(SUBSTITUTE(SUBSTITUTE(TRIM(B48),".",""),",",""),"-","")," ",""),";",""))&lt;4,"GEÇERSİZ",LEFT(SUBSTITUTE(SUBSTITUTE(SUBSTITUTE(SUBSTITUTE(SUBSTITUTE(TRIM(B48),".",""),",",""),"-","")," ",""),";",""),2)&amp;"."&amp;MID(SUBSTITUTE(SUBSTITUTE(SUBSTITUTE(SUBSTITUTE(SUBSTITUTE(TRIM(B48),".",""),",",""),"-","")," ",""),";",""),3,2)))</f>
        <v/>
      </c>
    </row>
    <row r="49" ht="26" customHeight="1">
      <c r="A49" s="25" t="inlineStr"/>
      <c r="B49" s="26" t="inlineStr"/>
      <c r="C49" s="27" t="n"/>
      <c r="D49" s="32">
        <f>IF(OR(B49="",I49="",I49="GEÇERSİZ"),"",IF(COUNTIF('Ek-2 NACE Listesi'!$B$2:$B$149,I49)&gt;0,"Evet","Hayır"))</f>
        <v/>
      </c>
      <c r="E49" s="32">
        <f>IF(C49="","",IF(AND(ISNUMBER(C49),C49&gt;=50),"Evet","Hayır"))</f>
        <v/>
      </c>
      <c r="F49" s="33">
        <f>IF(OR(B49="",C49=""),"",IF(AND(D49="Evet",E49="Evet"),"KAPSAMDA","KAPSAM DIŞI"))</f>
        <v/>
      </c>
      <c r="G49" s="34">
        <f>IF(OR(B49="",C49=""),"",IF(I49="GEÇERSİZ","NACE kodunu 4 haneli yazın (ör. 10.11)",IF(AND(D49="Evet",E49="Evet"),"NACE kodu Ek-2 listesinde ve çalışan sayısı 50 ve üzeri",IF(AND(D49="Evet",E49="Hayır"),"NACE kodu listede ancak çalışan sayısı 50'den az",IF(AND(D49="Hayır",E49="Evet"),"Çalışan sayısı yeterli ancak NACE kodu Ek-2 listesinde yok","NACE kodu Ek-2 listesinde yok ve çalışan sayısı 50'den az")))))</f>
        <v/>
      </c>
      <c r="H49" s="34">
        <f>IF(OR(B49="",I49="",I49="GEÇERSİZ"),"",IFERROR(VLOOKUP(I49,'Ek-2 NACE Listesi'!$B$2:$C$149,2,FALSE),"Listede bulunamadı"))</f>
        <v/>
      </c>
      <c r="I49" s="35">
        <f>IF(B49="","",IF(LEN(SUBSTITUTE(SUBSTITUTE(SUBSTITUTE(SUBSTITUTE(SUBSTITUTE(TRIM(B49),".",""),",",""),"-","")," ",""),";",""))&lt;4,"GEÇERSİZ",LEFT(SUBSTITUTE(SUBSTITUTE(SUBSTITUTE(SUBSTITUTE(SUBSTITUTE(TRIM(B49),".",""),",",""),"-","")," ",""),";",""),2)&amp;"."&amp;MID(SUBSTITUTE(SUBSTITUTE(SUBSTITUTE(SUBSTITUTE(SUBSTITUTE(TRIM(B49),".",""),",",""),"-","")," ",""),";",""),3,2)))</f>
        <v/>
      </c>
    </row>
    <row r="50" ht="26" customHeight="1">
      <c r="A50" s="25" t="inlineStr"/>
      <c r="B50" s="26" t="inlineStr"/>
      <c r="C50" s="27" t="n"/>
      <c r="D50" s="28">
        <f>IF(OR(B50="",I50="",I50="GEÇERSİZ"),"",IF(COUNTIF('Ek-2 NACE Listesi'!$B$2:$B$149,I50)&gt;0,"Evet","Hayır"))</f>
        <v/>
      </c>
      <c r="E50" s="28">
        <f>IF(C50="","",IF(AND(ISNUMBER(C50),C50&gt;=50),"Evet","Hayır"))</f>
        <v/>
      </c>
      <c r="F50" s="29">
        <f>IF(OR(B50="",C50=""),"",IF(AND(D50="Evet",E50="Evet"),"KAPSAMDA","KAPSAM DIŞI"))</f>
        <v/>
      </c>
      <c r="G50" s="30">
        <f>IF(OR(B50="",C50=""),"",IF(I50="GEÇERSİZ","NACE kodunu 4 haneli yazın (ör. 10.11)",IF(AND(D50="Evet",E50="Evet"),"NACE kodu Ek-2 listesinde ve çalışan sayısı 50 ve üzeri",IF(AND(D50="Evet",E50="Hayır"),"NACE kodu listede ancak çalışan sayısı 50'den az",IF(AND(D50="Hayır",E50="Evet"),"Çalışan sayısı yeterli ancak NACE kodu Ek-2 listesinde yok","NACE kodu Ek-2 listesinde yok ve çalışan sayısı 50'den az")))))</f>
        <v/>
      </c>
      <c r="H50" s="30">
        <f>IF(OR(B50="",I50="",I50="GEÇERSİZ"),"",IFERROR(VLOOKUP(I50,'Ek-2 NACE Listesi'!$B$2:$C$149,2,FALSE),"Listede bulunamadı"))</f>
        <v/>
      </c>
      <c r="I50" s="31">
        <f>IF(B50="","",IF(LEN(SUBSTITUTE(SUBSTITUTE(SUBSTITUTE(SUBSTITUTE(SUBSTITUTE(TRIM(B50),".",""),",",""),"-","")," ",""),";",""))&lt;4,"GEÇERSİZ",LEFT(SUBSTITUTE(SUBSTITUTE(SUBSTITUTE(SUBSTITUTE(SUBSTITUTE(TRIM(B50),".",""),",",""),"-","")," ",""),";",""),2)&amp;"."&amp;MID(SUBSTITUTE(SUBSTITUTE(SUBSTITUTE(SUBSTITUTE(SUBSTITUTE(TRIM(B50),".",""),",",""),"-","")," ",""),";",""),3,2)))</f>
        <v/>
      </c>
    </row>
    <row r="51" ht="26" customHeight="1">
      <c r="A51" s="25" t="inlineStr"/>
      <c r="B51" s="26" t="inlineStr"/>
      <c r="C51" s="27" t="n"/>
      <c r="D51" s="32">
        <f>IF(OR(B51="",I51="",I51="GEÇERSİZ"),"",IF(COUNTIF('Ek-2 NACE Listesi'!$B$2:$B$149,I51)&gt;0,"Evet","Hayır"))</f>
        <v/>
      </c>
      <c r="E51" s="32">
        <f>IF(C51="","",IF(AND(ISNUMBER(C51),C51&gt;=50),"Evet","Hayır"))</f>
        <v/>
      </c>
      <c r="F51" s="33">
        <f>IF(OR(B51="",C51=""),"",IF(AND(D51="Evet",E51="Evet"),"KAPSAMDA","KAPSAM DIŞI"))</f>
        <v/>
      </c>
      <c r="G51" s="34">
        <f>IF(OR(B51="",C51=""),"",IF(I51="GEÇERSİZ","NACE kodunu 4 haneli yazın (ör. 10.11)",IF(AND(D51="Evet",E51="Evet"),"NACE kodu Ek-2 listesinde ve çalışan sayısı 50 ve üzeri",IF(AND(D51="Evet",E51="Hayır"),"NACE kodu listede ancak çalışan sayısı 50'den az",IF(AND(D51="Hayır",E51="Evet"),"Çalışan sayısı yeterli ancak NACE kodu Ek-2 listesinde yok","NACE kodu Ek-2 listesinde yok ve çalışan sayısı 50'den az")))))</f>
        <v/>
      </c>
      <c r="H51" s="34">
        <f>IF(OR(B51="",I51="",I51="GEÇERSİZ"),"",IFERROR(VLOOKUP(I51,'Ek-2 NACE Listesi'!$B$2:$C$149,2,FALSE),"Listede bulunamadı"))</f>
        <v/>
      </c>
      <c r="I51" s="35">
        <f>IF(B51="","",IF(LEN(SUBSTITUTE(SUBSTITUTE(SUBSTITUTE(SUBSTITUTE(SUBSTITUTE(TRIM(B51),".",""),",",""),"-","")," ",""),";",""))&lt;4,"GEÇERSİZ",LEFT(SUBSTITUTE(SUBSTITUTE(SUBSTITUTE(SUBSTITUTE(SUBSTITUTE(TRIM(B51),".",""),",",""),"-","")," ",""),";",""),2)&amp;"."&amp;MID(SUBSTITUTE(SUBSTITUTE(SUBSTITUTE(SUBSTITUTE(SUBSTITUTE(TRIM(B51),".",""),",",""),"-","")," ",""),";",""),3,2)))</f>
        <v/>
      </c>
    </row>
    <row r="52" ht="26" customHeight="1">
      <c r="A52" s="25" t="inlineStr"/>
      <c r="B52" s="26" t="inlineStr"/>
      <c r="C52" s="27" t="n"/>
      <c r="D52" s="28">
        <f>IF(OR(B52="",I52="",I52="GEÇERSİZ"),"",IF(COUNTIF('Ek-2 NACE Listesi'!$B$2:$B$149,I52)&gt;0,"Evet","Hayır"))</f>
        <v/>
      </c>
      <c r="E52" s="28">
        <f>IF(C52="","",IF(AND(ISNUMBER(C52),C52&gt;=50),"Evet","Hayır"))</f>
        <v/>
      </c>
      <c r="F52" s="29">
        <f>IF(OR(B52="",C52=""),"",IF(AND(D52="Evet",E52="Evet"),"KAPSAMDA","KAPSAM DIŞI"))</f>
        <v/>
      </c>
      <c r="G52" s="30">
        <f>IF(OR(B52="",C52=""),"",IF(I52="GEÇERSİZ","NACE kodunu 4 haneli yazın (ör. 10.11)",IF(AND(D52="Evet",E52="Evet"),"NACE kodu Ek-2 listesinde ve çalışan sayısı 50 ve üzeri",IF(AND(D52="Evet",E52="Hayır"),"NACE kodu listede ancak çalışan sayısı 50'den az",IF(AND(D52="Hayır",E52="Evet"),"Çalışan sayısı yeterli ancak NACE kodu Ek-2 listesinde yok","NACE kodu Ek-2 listesinde yok ve çalışan sayısı 50'den az")))))</f>
        <v/>
      </c>
      <c r="H52" s="30">
        <f>IF(OR(B52="",I52="",I52="GEÇERSİZ"),"",IFERROR(VLOOKUP(I52,'Ek-2 NACE Listesi'!$B$2:$C$149,2,FALSE),"Listede bulunamadı"))</f>
        <v/>
      </c>
      <c r="I52" s="31">
        <f>IF(B52="","",IF(LEN(SUBSTITUTE(SUBSTITUTE(SUBSTITUTE(SUBSTITUTE(SUBSTITUTE(TRIM(B52),".",""),",",""),"-","")," ",""),";",""))&lt;4,"GEÇERSİZ",LEFT(SUBSTITUTE(SUBSTITUTE(SUBSTITUTE(SUBSTITUTE(SUBSTITUTE(TRIM(B52),".",""),",",""),"-","")," ",""),";",""),2)&amp;"."&amp;MID(SUBSTITUTE(SUBSTITUTE(SUBSTITUTE(SUBSTITUTE(SUBSTITUTE(TRIM(B52),".",""),",",""),"-","")," ",""),";",""),3,2)))</f>
        <v/>
      </c>
    </row>
    <row r="53" ht="26" customHeight="1">
      <c r="A53" s="25" t="inlineStr"/>
      <c r="B53" s="26" t="inlineStr"/>
      <c r="C53" s="27" t="n"/>
      <c r="D53" s="32">
        <f>IF(OR(B53="",I53="",I53="GEÇERSİZ"),"",IF(COUNTIF('Ek-2 NACE Listesi'!$B$2:$B$149,I53)&gt;0,"Evet","Hayır"))</f>
        <v/>
      </c>
      <c r="E53" s="32">
        <f>IF(C53="","",IF(AND(ISNUMBER(C53),C53&gt;=50),"Evet","Hayır"))</f>
        <v/>
      </c>
      <c r="F53" s="33">
        <f>IF(OR(B53="",C53=""),"",IF(AND(D53="Evet",E53="Evet"),"KAPSAMDA","KAPSAM DIŞI"))</f>
        <v/>
      </c>
      <c r="G53" s="34">
        <f>IF(OR(B53="",C53=""),"",IF(I53="GEÇERSİZ","NACE kodunu 4 haneli yazın (ör. 10.11)",IF(AND(D53="Evet",E53="Evet"),"NACE kodu Ek-2 listesinde ve çalışan sayısı 50 ve üzeri",IF(AND(D53="Evet",E53="Hayır"),"NACE kodu listede ancak çalışan sayısı 50'den az",IF(AND(D53="Hayır",E53="Evet"),"Çalışan sayısı yeterli ancak NACE kodu Ek-2 listesinde yok","NACE kodu Ek-2 listesinde yok ve çalışan sayısı 50'den az")))))</f>
        <v/>
      </c>
      <c r="H53" s="34">
        <f>IF(OR(B53="",I53="",I53="GEÇERSİZ"),"",IFERROR(VLOOKUP(I53,'Ek-2 NACE Listesi'!$B$2:$C$149,2,FALSE),"Listede bulunamadı"))</f>
        <v/>
      </c>
      <c r="I53" s="35">
        <f>IF(B53="","",IF(LEN(SUBSTITUTE(SUBSTITUTE(SUBSTITUTE(SUBSTITUTE(SUBSTITUTE(TRIM(B53),".",""),",",""),"-","")," ",""),";",""))&lt;4,"GEÇERSİZ",LEFT(SUBSTITUTE(SUBSTITUTE(SUBSTITUTE(SUBSTITUTE(SUBSTITUTE(TRIM(B53),".",""),",",""),"-","")," ",""),";",""),2)&amp;"."&amp;MID(SUBSTITUTE(SUBSTITUTE(SUBSTITUTE(SUBSTITUTE(SUBSTITUTE(TRIM(B53),".",""),",",""),"-","")," ",""),";",""),3,2)))</f>
        <v/>
      </c>
    </row>
    <row r="54" ht="26" customHeight="1">
      <c r="A54" s="25" t="inlineStr"/>
      <c r="B54" s="26" t="inlineStr"/>
      <c r="C54" s="27" t="n"/>
      <c r="D54" s="28">
        <f>IF(OR(B54="",I54="",I54="GEÇERSİZ"),"",IF(COUNTIF('Ek-2 NACE Listesi'!$B$2:$B$149,I54)&gt;0,"Evet","Hayır"))</f>
        <v/>
      </c>
      <c r="E54" s="28">
        <f>IF(C54="","",IF(AND(ISNUMBER(C54),C54&gt;=50),"Evet","Hayır"))</f>
        <v/>
      </c>
      <c r="F54" s="29">
        <f>IF(OR(B54="",C54=""),"",IF(AND(D54="Evet",E54="Evet"),"KAPSAMDA","KAPSAM DIŞI"))</f>
        <v/>
      </c>
      <c r="G54" s="30">
        <f>IF(OR(B54="",C54=""),"",IF(I54="GEÇERSİZ","NACE kodunu 4 haneli yazın (ör. 10.11)",IF(AND(D54="Evet",E54="Evet"),"NACE kodu Ek-2 listesinde ve çalışan sayısı 50 ve üzeri",IF(AND(D54="Evet",E54="Hayır"),"NACE kodu listede ancak çalışan sayısı 50'den az",IF(AND(D54="Hayır",E54="Evet"),"Çalışan sayısı yeterli ancak NACE kodu Ek-2 listesinde yok","NACE kodu Ek-2 listesinde yok ve çalışan sayısı 50'den az")))))</f>
        <v/>
      </c>
      <c r="H54" s="30">
        <f>IF(OR(B54="",I54="",I54="GEÇERSİZ"),"",IFERROR(VLOOKUP(I54,'Ek-2 NACE Listesi'!$B$2:$C$149,2,FALSE),"Listede bulunamadı"))</f>
        <v/>
      </c>
      <c r="I54" s="31">
        <f>IF(B54="","",IF(LEN(SUBSTITUTE(SUBSTITUTE(SUBSTITUTE(SUBSTITUTE(SUBSTITUTE(TRIM(B54),".",""),",",""),"-","")," ",""),";",""))&lt;4,"GEÇERSİZ",LEFT(SUBSTITUTE(SUBSTITUTE(SUBSTITUTE(SUBSTITUTE(SUBSTITUTE(TRIM(B54),".",""),",",""),"-","")," ",""),";",""),2)&amp;"."&amp;MID(SUBSTITUTE(SUBSTITUTE(SUBSTITUTE(SUBSTITUTE(SUBSTITUTE(TRIM(B54),".",""),",",""),"-","")," ",""),";",""),3,2)))</f>
        <v/>
      </c>
    </row>
    <row r="55" ht="26" customHeight="1">
      <c r="A55" s="25" t="inlineStr"/>
      <c r="B55" s="26" t="inlineStr"/>
      <c r="C55" s="27" t="n"/>
      <c r="D55" s="32">
        <f>IF(OR(B55="",I55="",I55="GEÇERSİZ"),"",IF(COUNTIF('Ek-2 NACE Listesi'!$B$2:$B$149,I55)&gt;0,"Evet","Hayır"))</f>
        <v/>
      </c>
      <c r="E55" s="32">
        <f>IF(C55="","",IF(AND(ISNUMBER(C55),C55&gt;=50),"Evet","Hayır"))</f>
        <v/>
      </c>
      <c r="F55" s="33">
        <f>IF(OR(B55="",C55=""),"",IF(AND(D55="Evet",E55="Evet"),"KAPSAMDA","KAPSAM DIŞI"))</f>
        <v/>
      </c>
      <c r="G55" s="34">
        <f>IF(OR(B55="",C55=""),"",IF(I55="GEÇERSİZ","NACE kodunu 4 haneli yazın (ör. 10.11)",IF(AND(D55="Evet",E55="Evet"),"NACE kodu Ek-2 listesinde ve çalışan sayısı 50 ve üzeri",IF(AND(D55="Evet",E55="Hayır"),"NACE kodu listede ancak çalışan sayısı 50'den az",IF(AND(D55="Hayır",E55="Evet"),"Çalışan sayısı yeterli ancak NACE kodu Ek-2 listesinde yok","NACE kodu Ek-2 listesinde yok ve çalışan sayısı 50'den az")))))</f>
        <v/>
      </c>
      <c r="H55" s="34">
        <f>IF(OR(B55="",I55="",I55="GEÇERSİZ"),"",IFERROR(VLOOKUP(I55,'Ek-2 NACE Listesi'!$B$2:$C$149,2,FALSE),"Listede bulunamadı"))</f>
        <v/>
      </c>
      <c r="I55" s="35">
        <f>IF(B55="","",IF(LEN(SUBSTITUTE(SUBSTITUTE(SUBSTITUTE(SUBSTITUTE(SUBSTITUTE(TRIM(B55),".",""),",",""),"-","")," ",""),";",""))&lt;4,"GEÇERSİZ",LEFT(SUBSTITUTE(SUBSTITUTE(SUBSTITUTE(SUBSTITUTE(SUBSTITUTE(TRIM(B55),".",""),",",""),"-","")," ",""),";",""),2)&amp;"."&amp;MID(SUBSTITUTE(SUBSTITUTE(SUBSTITUTE(SUBSTITUTE(SUBSTITUTE(TRIM(B55),".",""),",",""),"-","")," ",""),";",""),3,2)))</f>
        <v/>
      </c>
    </row>
    <row r="56" ht="26" customHeight="1">
      <c r="A56" s="25" t="inlineStr"/>
      <c r="B56" s="26" t="inlineStr"/>
      <c r="C56" s="27" t="n"/>
      <c r="D56" s="28">
        <f>IF(OR(B56="",I56="",I56="GEÇERSİZ"),"",IF(COUNTIF('Ek-2 NACE Listesi'!$B$2:$B$149,I56)&gt;0,"Evet","Hayır"))</f>
        <v/>
      </c>
      <c r="E56" s="28">
        <f>IF(C56="","",IF(AND(ISNUMBER(C56),C56&gt;=50),"Evet","Hayır"))</f>
        <v/>
      </c>
      <c r="F56" s="29">
        <f>IF(OR(B56="",C56=""),"",IF(AND(D56="Evet",E56="Evet"),"KAPSAMDA","KAPSAM DIŞI"))</f>
        <v/>
      </c>
      <c r="G56" s="30">
        <f>IF(OR(B56="",C56=""),"",IF(I56="GEÇERSİZ","NACE kodunu 4 haneli yazın (ör. 10.11)",IF(AND(D56="Evet",E56="Evet"),"NACE kodu Ek-2 listesinde ve çalışan sayısı 50 ve üzeri",IF(AND(D56="Evet",E56="Hayır"),"NACE kodu listede ancak çalışan sayısı 50'den az",IF(AND(D56="Hayır",E56="Evet"),"Çalışan sayısı yeterli ancak NACE kodu Ek-2 listesinde yok","NACE kodu Ek-2 listesinde yok ve çalışan sayısı 50'den az")))))</f>
        <v/>
      </c>
      <c r="H56" s="30">
        <f>IF(OR(B56="",I56="",I56="GEÇERSİZ"),"",IFERROR(VLOOKUP(I56,'Ek-2 NACE Listesi'!$B$2:$C$149,2,FALSE),"Listede bulunamadı"))</f>
        <v/>
      </c>
      <c r="I56" s="31">
        <f>IF(B56="","",IF(LEN(SUBSTITUTE(SUBSTITUTE(SUBSTITUTE(SUBSTITUTE(SUBSTITUTE(TRIM(B56),".",""),",",""),"-","")," ",""),";",""))&lt;4,"GEÇERSİZ",LEFT(SUBSTITUTE(SUBSTITUTE(SUBSTITUTE(SUBSTITUTE(SUBSTITUTE(TRIM(B56),".",""),",",""),"-","")," ",""),";",""),2)&amp;"."&amp;MID(SUBSTITUTE(SUBSTITUTE(SUBSTITUTE(SUBSTITUTE(SUBSTITUTE(TRIM(B56),".",""),",",""),"-","")," ",""),";",""),3,2)))</f>
        <v/>
      </c>
    </row>
    <row r="57" ht="26" customHeight="1">
      <c r="A57" s="25" t="inlineStr"/>
      <c r="B57" s="26" t="inlineStr"/>
      <c r="C57" s="27" t="n"/>
      <c r="D57" s="32">
        <f>IF(OR(B57="",I57="",I57="GEÇERSİZ"),"",IF(COUNTIF('Ek-2 NACE Listesi'!$B$2:$B$149,I57)&gt;0,"Evet","Hayır"))</f>
        <v/>
      </c>
      <c r="E57" s="32">
        <f>IF(C57="","",IF(AND(ISNUMBER(C57),C57&gt;=50),"Evet","Hayır"))</f>
        <v/>
      </c>
      <c r="F57" s="33">
        <f>IF(OR(B57="",C57=""),"",IF(AND(D57="Evet",E57="Evet"),"KAPSAMDA","KAPSAM DIŞI"))</f>
        <v/>
      </c>
      <c r="G57" s="34">
        <f>IF(OR(B57="",C57=""),"",IF(I57="GEÇERSİZ","NACE kodunu 4 haneli yazın (ör. 10.11)",IF(AND(D57="Evet",E57="Evet"),"NACE kodu Ek-2 listesinde ve çalışan sayısı 50 ve üzeri",IF(AND(D57="Evet",E57="Hayır"),"NACE kodu listede ancak çalışan sayısı 50'den az",IF(AND(D57="Hayır",E57="Evet"),"Çalışan sayısı yeterli ancak NACE kodu Ek-2 listesinde yok","NACE kodu Ek-2 listesinde yok ve çalışan sayısı 50'den az")))))</f>
        <v/>
      </c>
      <c r="H57" s="34">
        <f>IF(OR(B57="",I57="",I57="GEÇERSİZ"),"",IFERROR(VLOOKUP(I57,'Ek-2 NACE Listesi'!$B$2:$C$149,2,FALSE),"Listede bulunamadı"))</f>
        <v/>
      </c>
      <c r="I57" s="35">
        <f>IF(B57="","",IF(LEN(SUBSTITUTE(SUBSTITUTE(SUBSTITUTE(SUBSTITUTE(SUBSTITUTE(TRIM(B57),".",""),",",""),"-","")," ",""),";",""))&lt;4,"GEÇERSİZ",LEFT(SUBSTITUTE(SUBSTITUTE(SUBSTITUTE(SUBSTITUTE(SUBSTITUTE(TRIM(B57),".",""),",",""),"-","")," ",""),";",""),2)&amp;"."&amp;MID(SUBSTITUTE(SUBSTITUTE(SUBSTITUTE(SUBSTITUTE(SUBSTITUTE(TRIM(B57),".",""),",",""),"-","")," ",""),";",""),3,2)))</f>
        <v/>
      </c>
    </row>
    <row r="58" ht="26" customHeight="1">
      <c r="A58" s="25" t="inlineStr"/>
      <c r="B58" s="26" t="inlineStr"/>
      <c r="C58" s="27" t="n"/>
      <c r="D58" s="28">
        <f>IF(OR(B58="",I58="",I58="GEÇERSİZ"),"",IF(COUNTIF('Ek-2 NACE Listesi'!$B$2:$B$149,I58)&gt;0,"Evet","Hayır"))</f>
        <v/>
      </c>
      <c r="E58" s="28">
        <f>IF(C58="","",IF(AND(ISNUMBER(C58),C58&gt;=50),"Evet","Hayır"))</f>
        <v/>
      </c>
      <c r="F58" s="29">
        <f>IF(OR(B58="",C58=""),"",IF(AND(D58="Evet",E58="Evet"),"KAPSAMDA","KAPSAM DIŞI"))</f>
        <v/>
      </c>
      <c r="G58" s="30">
        <f>IF(OR(B58="",C58=""),"",IF(I58="GEÇERSİZ","NACE kodunu 4 haneli yazın (ör. 10.11)",IF(AND(D58="Evet",E58="Evet"),"NACE kodu Ek-2 listesinde ve çalışan sayısı 50 ve üzeri",IF(AND(D58="Evet",E58="Hayır"),"NACE kodu listede ancak çalışan sayısı 50'den az",IF(AND(D58="Hayır",E58="Evet"),"Çalışan sayısı yeterli ancak NACE kodu Ek-2 listesinde yok","NACE kodu Ek-2 listesinde yok ve çalışan sayısı 50'den az")))))</f>
        <v/>
      </c>
      <c r="H58" s="30">
        <f>IF(OR(B58="",I58="",I58="GEÇERSİZ"),"",IFERROR(VLOOKUP(I58,'Ek-2 NACE Listesi'!$B$2:$C$149,2,FALSE),"Listede bulunamadı"))</f>
        <v/>
      </c>
      <c r="I58" s="31">
        <f>IF(B58="","",IF(LEN(SUBSTITUTE(SUBSTITUTE(SUBSTITUTE(SUBSTITUTE(SUBSTITUTE(TRIM(B58),".",""),",",""),"-","")," ",""),";",""))&lt;4,"GEÇERSİZ",LEFT(SUBSTITUTE(SUBSTITUTE(SUBSTITUTE(SUBSTITUTE(SUBSTITUTE(TRIM(B58),".",""),",",""),"-","")," ",""),";",""),2)&amp;"."&amp;MID(SUBSTITUTE(SUBSTITUTE(SUBSTITUTE(SUBSTITUTE(SUBSTITUTE(TRIM(B58),".",""),",",""),"-","")," ",""),";",""),3,2)))</f>
        <v/>
      </c>
    </row>
    <row r="59" ht="26" customHeight="1">
      <c r="A59" s="25" t="inlineStr"/>
      <c r="B59" s="26" t="inlineStr"/>
      <c r="C59" s="27" t="n"/>
      <c r="D59" s="32">
        <f>IF(OR(B59="",I59="",I59="GEÇERSİZ"),"",IF(COUNTIF('Ek-2 NACE Listesi'!$B$2:$B$149,I59)&gt;0,"Evet","Hayır"))</f>
        <v/>
      </c>
      <c r="E59" s="32">
        <f>IF(C59="","",IF(AND(ISNUMBER(C59),C59&gt;=50),"Evet","Hayır"))</f>
        <v/>
      </c>
      <c r="F59" s="33">
        <f>IF(OR(B59="",C59=""),"",IF(AND(D59="Evet",E59="Evet"),"KAPSAMDA","KAPSAM DIŞI"))</f>
        <v/>
      </c>
      <c r="G59" s="34">
        <f>IF(OR(B59="",C59=""),"",IF(I59="GEÇERSİZ","NACE kodunu 4 haneli yazın (ör. 10.11)",IF(AND(D59="Evet",E59="Evet"),"NACE kodu Ek-2 listesinde ve çalışan sayısı 50 ve üzeri",IF(AND(D59="Evet",E59="Hayır"),"NACE kodu listede ancak çalışan sayısı 50'den az",IF(AND(D59="Hayır",E59="Evet"),"Çalışan sayısı yeterli ancak NACE kodu Ek-2 listesinde yok","NACE kodu Ek-2 listesinde yok ve çalışan sayısı 50'den az")))))</f>
        <v/>
      </c>
      <c r="H59" s="34">
        <f>IF(OR(B59="",I59="",I59="GEÇERSİZ"),"",IFERROR(VLOOKUP(I59,'Ek-2 NACE Listesi'!$B$2:$C$149,2,FALSE),"Listede bulunamadı"))</f>
        <v/>
      </c>
      <c r="I59" s="35">
        <f>IF(B59="","",IF(LEN(SUBSTITUTE(SUBSTITUTE(SUBSTITUTE(SUBSTITUTE(SUBSTITUTE(TRIM(B59),".",""),",",""),"-","")," ",""),";",""))&lt;4,"GEÇERSİZ",LEFT(SUBSTITUTE(SUBSTITUTE(SUBSTITUTE(SUBSTITUTE(SUBSTITUTE(TRIM(B59),".",""),",",""),"-","")," ",""),";",""),2)&amp;"."&amp;MID(SUBSTITUTE(SUBSTITUTE(SUBSTITUTE(SUBSTITUTE(SUBSTITUTE(TRIM(B59),".",""),",",""),"-","")," ",""),";",""),3,2)))</f>
        <v/>
      </c>
    </row>
  </sheetData>
  <autoFilter ref="A9:I59"/>
  <mergeCells count="11">
    <mergeCell ref="A5:I5"/>
    <mergeCell ref="D4:F4"/>
    <mergeCell ref="A6:C6"/>
    <mergeCell ref="G7:I7"/>
    <mergeCell ref="A1:I2"/>
    <mergeCell ref="G4:I4"/>
    <mergeCell ref="A3:I3"/>
    <mergeCell ref="A7:C7"/>
    <mergeCell ref="D7:F7"/>
    <mergeCell ref="A4:C4"/>
    <mergeCell ref="D6:F6"/>
  </mergeCells>
  <conditionalFormatting sqref="F10:F59">
    <cfRule type="cellIs" priority="1" operator="equal" dxfId="0">
      <formula>"KAPSAMDA"</formula>
    </cfRule>
    <cfRule type="cellIs" priority="2" operator="equal" dxfId="1">
      <formula>"KAPSAM DIŞI"</formula>
    </cfRule>
  </conditionalFormatting>
  <conditionalFormatting sqref="D10:E59">
    <cfRule type="cellIs" priority="3" operator="equal" dxfId="2">
      <formula>"Evet"</formula>
    </cfRule>
    <cfRule type="cellIs" priority="4" operator="equal" dxfId="3">
      <formula>"Hayır"</formula>
    </cfRule>
  </conditionalFormatting>
  <dataValidations count="2">
    <dataValidation sqref="B10:B59" showDropDown="0" showInputMessage="1" showErrorMessage="0" allowBlank="1" promptTitle="NACE kodu" prompt="Listeden seçebilir veya kendi kodunuzu yazabilirsiniz. 6 haneli kodlar 4 haneye indirilir." type="list">
      <formula1>='Ek-2 NACE Listesi'!$B$2:$B$149</formula1>
    </dataValidation>
    <dataValidation sqref="C10:C59" showDropDown="0" showInputMessage="1" showErrorMessage="1" allowBlank="1" errorTitle="Geçersiz sayı" error="Çalışan sayısı 0 veya daha büyük bir tam sayı olmalıdır." promptTitle="Çalışan sayısı" prompt="SGK’daki güncel çalışan sayısını yazın. 50 ve üzeri şartı sağlar." type="whole" operator="greaterThanOrEqual">
      <formula1>0</formula1>
    </dataValidation>
  </dataValidations>
  <pageMargins left="0.75" right="0.75" top="1" bottom="1" header="0.5" footer="0.5"/>
  <pageSetup orientation="landscape" paperSize="9" fitToHeight="1" fitToWidth="1"/>
  <headerFooter>
    <oddHeader>&amp;LSu Verimliliği Yönetmeliği — Firma Kapsam Kontrolü</oddHeader>
    <oddFooter>&amp;REk-2 NACE listesi  |  Sayfa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E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78" customWidth="1" min="3" max="3"/>
    <col width="20" customWidth="1" min="4" max="4"/>
    <col width="62" customWidth="1" min="5" max="5"/>
  </cols>
  <sheetData>
    <row r="1" ht="28" customHeight="1">
      <c r="A1" s="36" t="inlineStr">
        <is>
          <t>Sıra</t>
        </is>
      </c>
      <c r="B1" s="36" t="inlineStr">
        <is>
          <t>NACE Kodu</t>
        </is>
      </c>
      <c r="C1" s="36" t="inlineStr">
        <is>
          <t>Faaliyet Açıklaması</t>
        </is>
      </c>
      <c r="D1" s="36" t="inlineStr">
        <is>
          <t>Ana Faaliyet Kodu</t>
        </is>
      </c>
      <c r="E1" s="36" t="inlineStr">
        <is>
          <t>Ana Faaliyet Açıklaması</t>
        </is>
      </c>
    </row>
    <row r="2" ht="28" customHeight="1">
      <c r="A2" s="28" t="n">
        <v>1</v>
      </c>
      <c r="B2" s="37" t="inlineStr">
        <is>
          <t>01.41</t>
        </is>
      </c>
      <c r="C2" s="30" t="inlineStr">
        <is>
          <t>Sütü sağılan büyük baş hayvan yetiştiriciliği</t>
        </is>
      </c>
      <c r="D2" s="28" t="inlineStr">
        <is>
          <t>01</t>
        </is>
      </c>
      <c r="E2" s="30" t="inlineStr">
        <is>
          <t>Bitkisel ve hayvansal üretim ile avcılık ve ilgili hizmet faaliyetleri</t>
        </is>
      </c>
    </row>
    <row r="3" ht="28" customHeight="1">
      <c r="A3" s="38" t="n">
        <v>2</v>
      </c>
      <c r="B3" s="39" t="inlineStr">
        <is>
          <t>01.42</t>
        </is>
      </c>
      <c r="C3" s="40" t="inlineStr">
        <is>
          <t>Diğer sığır ve manda yetiştiriciliği</t>
        </is>
      </c>
      <c r="D3" s="38" t="inlineStr">
        <is>
          <t>01</t>
        </is>
      </c>
      <c r="E3" s="40" t="inlineStr">
        <is>
          <t>Bitkisel ve hayvansal üretim ile avcılık ve ilgili hizmet faaliyetleri</t>
        </is>
      </c>
    </row>
    <row r="4" ht="28" customHeight="1">
      <c r="A4" s="28" t="n">
        <v>3</v>
      </c>
      <c r="B4" s="37" t="inlineStr">
        <is>
          <t>01.43</t>
        </is>
      </c>
      <c r="C4" s="30" t="inlineStr">
        <is>
          <t>At ve at benzeri diğer hayvan yetiştiriciliği</t>
        </is>
      </c>
      <c r="D4" s="28" t="inlineStr">
        <is>
          <t>01</t>
        </is>
      </c>
      <c r="E4" s="30" t="inlineStr">
        <is>
          <t>Bitkisel ve hayvansal üretim ile avcılık ve ilgili hizmet faaliyetleri</t>
        </is>
      </c>
    </row>
    <row r="5" ht="28" customHeight="1">
      <c r="A5" s="38" t="n">
        <v>4</v>
      </c>
      <c r="B5" s="39" t="inlineStr">
        <is>
          <t>01.45</t>
        </is>
      </c>
      <c r="C5" s="40" t="inlineStr">
        <is>
          <t>Koyun ve keçi yetiştiriciliği</t>
        </is>
      </c>
      <c r="D5" s="38" t="inlineStr">
        <is>
          <t>01</t>
        </is>
      </c>
      <c r="E5" s="40" t="inlineStr">
        <is>
          <t>Bitkisel ve hayvansal üretim ile avcılık ve ilgili hizmet faaliyetleri</t>
        </is>
      </c>
    </row>
    <row r="6" ht="28" customHeight="1">
      <c r="A6" s="28" t="n">
        <v>5</v>
      </c>
      <c r="B6" s="37" t="inlineStr">
        <is>
          <t>01.47</t>
        </is>
      </c>
      <c r="C6" s="30" t="inlineStr">
        <is>
          <t>Kümes hayvanları yetiştiriciliği</t>
        </is>
      </c>
      <c r="D6" s="28" t="inlineStr">
        <is>
          <t>01</t>
        </is>
      </c>
      <c r="E6" s="30" t="inlineStr">
        <is>
          <t>Bitkisel ve hayvansal üretim ile avcılık ve ilgili hizmet faaliyetleri</t>
        </is>
      </c>
    </row>
    <row r="7" ht="28" customHeight="1">
      <c r="A7" s="38" t="n">
        <v>6</v>
      </c>
      <c r="B7" s="39" t="inlineStr">
        <is>
          <t>01.49</t>
        </is>
      </c>
      <c r="C7" s="40" t="inlineStr">
        <is>
          <t>Diğer hayvan yetiştiriciliği</t>
        </is>
      </c>
      <c r="D7" s="38" t="inlineStr">
        <is>
          <t>01</t>
        </is>
      </c>
      <c r="E7" s="40" t="inlineStr">
        <is>
          <t>Bitkisel ve hayvansal üretim ile avcılık ve ilgili hizmet faaliyetleri</t>
        </is>
      </c>
    </row>
    <row r="8" ht="28" customHeight="1">
      <c r="A8" s="28" t="n">
        <v>7</v>
      </c>
      <c r="B8" s="37" t="inlineStr">
        <is>
          <t>03.12</t>
        </is>
      </c>
      <c r="C8" s="30" t="inlineStr">
        <is>
          <t>Tatlı su balık yetiştiriciliği (İç su ürünleri dâhil)</t>
        </is>
      </c>
      <c r="D8" s="28" t="inlineStr">
        <is>
          <t>03</t>
        </is>
      </c>
      <c r="E8" s="30" t="inlineStr">
        <is>
          <t>Balıkçılık ve su ürünleri yetiştiriciliği</t>
        </is>
      </c>
    </row>
    <row r="9" ht="28" customHeight="1">
      <c r="A9" s="38" t="n">
        <v>8</v>
      </c>
      <c r="B9" s="39" t="inlineStr">
        <is>
          <t>05.10</t>
        </is>
      </c>
      <c r="C9" s="40" t="inlineStr">
        <is>
          <t>Taş kömürü madenciliği</t>
        </is>
      </c>
      <c r="D9" s="38" t="inlineStr">
        <is>
          <t>05</t>
        </is>
      </c>
      <c r="E9" s="40" t="inlineStr">
        <is>
          <t>Kömür ve linyit çıkartılması</t>
        </is>
      </c>
    </row>
    <row r="10" ht="28" customHeight="1">
      <c r="A10" s="28" t="n">
        <v>9</v>
      </c>
      <c r="B10" s="37" t="inlineStr">
        <is>
          <t>05.20</t>
        </is>
      </c>
      <c r="C10" s="30" t="inlineStr">
        <is>
          <t>Linyit madenciliği</t>
        </is>
      </c>
      <c r="D10" s="28" t="inlineStr">
        <is>
          <t>05</t>
        </is>
      </c>
      <c r="E10" s="30" t="inlineStr">
        <is>
          <t>Kömür ve linyit çıkartılması</t>
        </is>
      </c>
    </row>
    <row r="11" ht="28" customHeight="1">
      <c r="A11" s="38" t="n">
        <v>10</v>
      </c>
      <c r="B11" s="39" t="inlineStr">
        <is>
          <t>07.10</t>
        </is>
      </c>
      <c r="C11" s="40" t="inlineStr">
        <is>
          <t>Demir cevherleri madenciliği</t>
        </is>
      </c>
      <c r="D11" s="38" t="inlineStr">
        <is>
          <t>07</t>
        </is>
      </c>
      <c r="E11" s="40" t="inlineStr">
        <is>
          <t>Metal cevherleri madenciliği</t>
        </is>
      </c>
    </row>
    <row r="12" ht="28" customHeight="1">
      <c r="A12" s="28" t="n">
        <v>11</v>
      </c>
      <c r="B12" s="37" t="inlineStr">
        <is>
          <t>07.29</t>
        </is>
      </c>
      <c r="C12" s="30" t="inlineStr">
        <is>
          <t>Diğer demir dışı metal cevherleri madenciliği</t>
        </is>
      </c>
      <c r="D12" s="28" t="inlineStr">
        <is>
          <t>07</t>
        </is>
      </c>
      <c r="E12" s="30" t="inlineStr">
        <is>
          <t>Metal cevherleri madenciliği</t>
        </is>
      </c>
    </row>
    <row r="13" ht="28" customHeight="1">
      <c r="A13" s="38" t="n">
        <v>12</v>
      </c>
      <c r="B13" s="39" t="inlineStr">
        <is>
          <t>08.91</t>
        </is>
      </c>
      <c r="C13" s="40" t="inlineStr">
        <is>
          <t>Kimyasal ve gübreleme amaçlı mineral madenciliği</t>
        </is>
      </c>
      <c r="D13" s="38" t="inlineStr">
        <is>
          <t>08</t>
        </is>
      </c>
      <c r="E13" s="40" t="inlineStr">
        <is>
          <t>Diğer madencilik ve taş ocakçılığı</t>
        </is>
      </c>
    </row>
    <row r="14" ht="28" customHeight="1">
      <c r="A14" s="28" t="n">
        <v>13</v>
      </c>
      <c r="B14" s="37" t="inlineStr">
        <is>
          <t>08.93</t>
        </is>
      </c>
      <c r="C14" s="30" t="inlineStr">
        <is>
          <t>Tuz çıkarımı</t>
        </is>
      </c>
      <c r="D14" s="28" t="inlineStr">
        <is>
          <t>08</t>
        </is>
      </c>
      <c r="E14" s="30" t="inlineStr">
        <is>
          <t>Diğer madencilik ve taş ocakçılığı</t>
        </is>
      </c>
    </row>
    <row r="15" ht="28" customHeight="1">
      <c r="A15" s="38" t="n">
        <v>14</v>
      </c>
      <c r="B15" s="39" t="inlineStr">
        <is>
          <t>09.10</t>
        </is>
      </c>
      <c r="C15" s="40" t="inlineStr">
        <is>
          <t>Petrol ve doğal gaz çıkarımını destekleyici faaliyetler</t>
        </is>
      </c>
      <c r="D15" s="38" t="inlineStr">
        <is>
          <t>09</t>
        </is>
      </c>
      <c r="E15" s="40" t="inlineStr">
        <is>
          <t>Madenciliği destekleyici hizmet faaliyetleri</t>
        </is>
      </c>
    </row>
    <row r="16" ht="28" customHeight="1">
      <c r="A16" s="28" t="n">
        <v>15</v>
      </c>
      <c r="B16" s="37" t="inlineStr">
        <is>
          <t>10.11</t>
        </is>
      </c>
      <c r="C16" s="30" t="inlineStr">
        <is>
          <t>Etin işlenmesi ve saklanması</t>
        </is>
      </c>
      <c r="D16" s="28" t="inlineStr">
        <is>
          <t>10</t>
        </is>
      </c>
      <c r="E16" s="30" t="inlineStr">
        <is>
          <t>Gıda ürünlerinin imalatı</t>
        </is>
      </c>
    </row>
    <row r="17" ht="28" customHeight="1">
      <c r="A17" s="38" t="n">
        <v>16</v>
      </c>
      <c r="B17" s="39" t="inlineStr">
        <is>
          <t>10.12</t>
        </is>
      </c>
      <c r="C17" s="40" t="inlineStr">
        <is>
          <t>Kümes hayvanları etlerinin işlenmesi ve saklanması</t>
        </is>
      </c>
      <c r="D17" s="38" t="inlineStr">
        <is>
          <t>10</t>
        </is>
      </c>
      <c r="E17" s="40" t="inlineStr">
        <is>
          <t>Gıda ürünlerinin imalatı</t>
        </is>
      </c>
    </row>
    <row r="18" ht="28" customHeight="1">
      <c r="A18" s="28" t="n">
        <v>17</v>
      </c>
      <c r="B18" s="37" t="inlineStr">
        <is>
          <t>10.13</t>
        </is>
      </c>
      <c r="C18" s="30" t="inlineStr">
        <is>
          <t>Et ve kümes hayvanları etlerinden üretilen ürünlerin imalatı</t>
        </is>
      </c>
      <c r="D18" s="28" t="inlineStr">
        <is>
          <t>10</t>
        </is>
      </c>
      <c r="E18" s="30" t="inlineStr">
        <is>
          <t>Gıda ürünlerinin imalatı</t>
        </is>
      </c>
    </row>
    <row r="19" ht="28" customHeight="1">
      <c r="A19" s="38" t="n">
        <v>18</v>
      </c>
      <c r="B19" s="39" t="inlineStr">
        <is>
          <t>10.20</t>
        </is>
      </c>
      <c r="C19" s="40" t="inlineStr">
        <is>
          <t>Balık, kabuklu deniz hayvanları ve yumuşakçaların işlenmesi ve saklanması</t>
        </is>
      </c>
      <c r="D19" s="38" t="inlineStr">
        <is>
          <t>10</t>
        </is>
      </c>
      <c r="E19" s="40" t="inlineStr">
        <is>
          <t>Gıda ürünlerinin imalatı</t>
        </is>
      </c>
    </row>
    <row r="20" ht="28" customHeight="1">
      <c r="A20" s="28" t="n">
        <v>19</v>
      </c>
      <c r="B20" s="37" t="inlineStr">
        <is>
          <t>10.31</t>
        </is>
      </c>
      <c r="C20" s="30" t="inlineStr">
        <is>
          <t>Patatesin işlenmesi ve saklanması</t>
        </is>
      </c>
      <c r="D20" s="28" t="inlineStr">
        <is>
          <t>10</t>
        </is>
      </c>
      <c r="E20" s="30" t="inlineStr">
        <is>
          <t>Gıda ürünlerinin imalatı</t>
        </is>
      </c>
    </row>
    <row r="21" ht="28" customHeight="1">
      <c r="A21" s="38" t="n">
        <v>20</v>
      </c>
      <c r="B21" s="39" t="inlineStr">
        <is>
          <t>10.32</t>
        </is>
      </c>
      <c r="C21" s="40" t="inlineStr">
        <is>
          <t>Sebze ve meyve suyu imalatı</t>
        </is>
      </c>
      <c r="D21" s="38" t="inlineStr">
        <is>
          <t>10</t>
        </is>
      </c>
      <c r="E21" s="40" t="inlineStr">
        <is>
          <t>Gıda ürünlerinin imalatı</t>
        </is>
      </c>
    </row>
    <row r="22" ht="28" customHeight="1">
      <c r="A22" s="28" t="n">
        <v>21</v>
      </c>
      <c r="B22" s="37" t="inlineStr">
        <is>
          <t>10.39</t>
        </is>
      </c>
      <c r="C22" s="30" t="inlineStr">
        <is>
          <t>Başka yerde sınıflandırılmamış meyve ve sebzelerin işlenmesi ve saklanması</t>
        </is>
      </c>
      <c r="D22" s="28" t="inlineStr">
        <is>
          <t>10</t>
        </is>
      </c>
      <c r="E22" s="30" t="inlineStr">
        <is>
          <t>Gıda ürünlerinin imalatı</t>
        </is>
      </c>
    </row>
    <row r="23" ht="28" customHeight="1">
      <c r="A23" s="38" t="n">
        <v>22</v>
      </c>
      <c r="B23" s="39" t="inlineStr">
        <is>
          <t>10.41</t>
        </is>
      </c>
      <c r="C23" s="40" t="inlineStr">
        <is>
          <t>Sıvı ve katı yağ imalatı</t>
        </is>
      </c>
      <c r="D23" s="38" t="inlineStr">
        <is>
          <t>10</t>
        </is>
      </c>
      <c r="E23" s="40" t="inlineStr">
        <is>
          <t>Gıda ürünlerinin imalatı</t>
        </is>
      </c>
    </row>
    <row r="24" ht="28" customHeight="1">
      <c r="A24" s="28" t="n">
        <v>23</v>
      </c>
      <c r="B24" s="37" t="inlineStr">
        <is>
          <t>10.42</t>
        </is>
      </c>
      <c r="C24" s="30" t="inlineStr">
        <is>
          <t>Margarin ve benzeri yenilebilir katı yağların imalatı</t>
        </is>
      </c>
      <c r="D24" s="28" t="inlineStr">
        <is>
          <t>10</t>
        </is>
      </c>
      <c r="E24" s="30" t="inlineStr">
        <is>
          <t>Gıda ürünlerinin imalatı</t>
        </is>
      </c>
    </row>
    <row r="25" ht="28" customHeight="1">
      <c r="A25" s="38" t="n">
        <v>24</v>
      </c>
      <c r="B25" s="39" t="inlineStr">
        <is>
          <t>10.51</t>
        </is>
      </c>
      <c r="C25" s="40" t="inlineStr">
        <is>
          <t>Süthane işletmeciliği ve peynir imalatı</t>
        </is>
      </c>
      <c r="D25" s="38" t="inlineStr">
        <is>
          <t>10</t>
        </is>
      </c>
      <c r="E25" s="40" t="inlineStr">
        <is>
          <t>Gıda ürünlerinin imalatı</t>
        </is>
      </c>
    </row>
    <row r="26" ht="28" customHeight="1">
      <c r="A26" s="28" t="n">
        <v>25</v>
      </c>
      <c r="B26" s="37" t="inlineStr">
        <is>
          <t>10.52</t>
        </is>
      </c>
      <c r="C26" s="30" t="inlineStr">
        <is>
          <t>Dondurma imalatı</t>
        </is>
      </c>
      <c r="D26" s="28" t="inlineStr">
        <is>
          <t>10</t>
        </is>
      </c>
      <c r="E26" s="30" t="inlineStr">
        <is>
          <t>Gıda ürünlerinin imalatı</t>
        </is>
      </c>
    </row>
    <row r="27" ht="28" customHeight="1">
      <c r="A27" s="38" t="n">
        <v>26</v>
      </c>
      <c r="B27" s="39" t="inlineStr">
        <is>
          <t>10.61</t>
        </is>
      </c>
      <c r="C27" s="40" t="inlineStr">
        <is>
          <t>Öğütülmüş hububat ve sebze ürünleri imalatı</t>
        </is>
      </c>
      <c r="D27" s="38" t="inlineStr">
        <is>
          <t>10</t>
        </is>
      </c>
      <c r="E27" s="40" t="inlineStr">
        <is>
          <t>Gıda ürünlerinin imalatı</t>
        </is>
      </c>
    </row>
    <row r="28" ht="28" customHeight="1">
      <c r="A28" s="28" t="n">
        <v>27</v>
      </c>
      <c r="B28" s="37" t="inlineStr">
        <is>
          <t>10.62</t>
        </is>
      </c>
      <c r="C28" s="30" t="inlineStr">
        <is>
          <t>Nişasta ve nişastalı ürünlerin imalatı</t>
        </is>
      </c>
      <c r="D28" s="28" t="inlineStr">
        <is>
          <t>10</t>
        </is>
      </c>
      <c r="E28" s="30" t="inlineStr">
        <is>
          <t>Gıda ürünlerinin imalatı</t>
        </is>
      </c>
    </row>
    <row r="29" ht="28" customHeight="1">
      <c r="A29" s="38" t="n">
        <v>28</v>
      </c>
      <c r="B29" s="39" t="inlineStr">
        <is>
          <t>10.71</t>
        </is>
      </c>
      <c r="C29" s="40" t="inlineStr">
        <is>
          <t>Ekmek, taze pastane ürünleri ve taze kek imalatı</t>
        </is>
      </c>
      <c r="D29" s="38" t="inlineStr">
        <is>
          <t>10</t>
        </is>
      </c>
      <c r="E29" s="40" t="inlineStr">
        <is>
          <t>Gıda ürünlerinin imalatı</t>
        </is>
      </c>
    </row>
    <row r="30" ht="28" customHeight="1">
      <c r="A30" s="28" t="n">
        <v>29</v>
      </c>
      <c r="B30" s="37" t="inlineStr">
        <is>
          <t>10.72</t>
        </is>
      </c>
      <c r="C30" s="30" t="inlineStr">
        <is>
          <t>Peksimet ve bisküvi imalatı; dayanıklı pastane ürünleri ve dayanıklı kek imalatı</t>
        </is>
      </c>
      <c r="D30" s="28" t="inlineStr">
        <is>
          <t>10</t>
        </is>
      </c>
      <c r="E30" s="30" t="inlineStr">
        <is>
          <t>Gıda ürünlerinin imalatı</t>
        </is>
      </c>
    </row>
    <row r="31" ht="28" customHeight="1">
      <c r="A31" s="38" t="n">
        <v>30</v>
      </c>
      <c r="B31" s="39" t="inlineStr">
        <is>
          <t>10.73</t>
        </is>
      </c>
      <c r="C31" s="40" t="inlineStr">
        <is>
          <t>Makarna, şehriye, kuskus ve benzeri unlu mamullerin imalatı</t>
        </is>
      </c>
      <c r="D31" s="38" t="inlineStr">
        <is>
          <t>10</t>
        </is>
      </c>
      <c r="E31" s="40" t="inlineStr">
        <is>
          <t>Gıda ürünlerinin imalatı</t>
        </is>
      </c>
    </row>
    <row r="32" ht="28" customHeight="1">
      <c r="A32" s="28" t="n">
        <v>31</v>
      </c>
      <c r="B32" s="37" t="inlineStr">
        <is>
          <t>10.81</t>
        </is>
      </c>
      <c r="C32" s="30" t="inlineStr">
        <is>
          <t>Şeker imalatı</t>
        </is>
      </c>
      <c r="D32" s="28" t="inlineStr">
        <is>
          <t>10</t>
        </is>
      </c>
      <c r="E32" s="30" t="inlineStr">
        <is>
          <t>Gıda ürünlerinin imalatı</t>
        </is>
      </c>
    </row>
    <row r="33" ht="28" customHeight="1">
      <c r="A33" s="38" t="n">
        <v>32</v>
      </c>
      <c r="B33" s="39" t="inlineStr">
        <is>
          <t>10.82</t>
        </is>
      </c>
      <c r="C33" s="40" t="inlineStr">
        <is>
          <t>Kakao, çikolata ve şekerleme imalatı</t>
        </is>
      </c>
      <c r="D33" s="38" t="inlineStr">
        <is>
          <t>10</t>
        </is>
      </c>
      <c r="E33" s="40" t="inlineStr">
        <is>
          <t>Gıda ürünlerinin imalatı</t>
        </is>
      </c>
    </row>
    <row r="34" ht="28" customHeight="1">
      <c r="A34" s="28" t="n">
        <v>33</v>
      </c>
      <c r="B34" s="37" t="inlineStr">
        <is>
          <t>10.83</t>
        </is>
      </c>
      <c r="C34" s="30" t="inlineStr">
        <is>
          <t>Kahve ve çayın işlenmesi</t>
        </is>
      </c>
      <c r="D34" s="28" t="inlineStr">
        <is>
          <t>10</t>
        </is>
      </c>
      <c r="E34" s="30" t="inlineStr">
        <is>
          <t>Gıda ürünlerinin imalatı</t>
        </is>
      </c>
    </row>
    <row r="35" ht="28" customHeight="1">
      <c r="A35" s="38" t="n">
        <v>34</v>
      </c>
      <c r="B35" s="39" t="inlineStr">
        <is>
          <t>10.84</t>
        </is>
      </c>
      <c r="C35" s="40" t="inlineStr">
        <is>
          <t>Baharat, sos, sirke ve diğer çeşni maddelerinin imalatı</t>
        </is>
      </c>
      <c r="D35" s="38" t="inlineStr">
        <is>
          <t>10</t>
        </is>
      </c>
      <c r="E35" s="40" t="inlineStr">
        <is>
          <t>Gıda ürünlerinin imalatı</t>
        </is>
      </c>
    </row>
    <row r="36" ht="28" customHeight="1">
      <c r="A36" s="28" t="n">
        <v>35</v>
      </c>
      <c r="B36" s="37" t="inlineStr">
        <is>
          <t>10.85</t>
        </is>
      </c>
      <c r="C36" s="30" t="inlineStr">
        <is>
          <t>Hazır yemeklerin imalatı</t>
        </is>
      </c>
      <c r="D36" s="28" t="inlineStr">
        <is>
          <t>10</t>
        </is>
      </c>
      <c r="E36" s="30" t="inlineStr">
        <is>
          <t>Gıda ürünlerinin imalatı</t>
        </is>
      </c>
    </row>
    <row r="37" ht="28" customHeight="1">
      <c r="A37" s="38" t="n">
        <v>36</v>
      </c>
      <c r="B37" s="39" t="inlineStr">
        <is>
          <t>10.89</t>
        </is>
      </c>
      <c r="C37" s="40" t="inlineStr">
        <is>
          <t>Başka yerde sınıflandırılmamış diğer gıda maddelerinin imalatı</t>
        </is>
      </c>
      <c r="D37" s="38" t="inlineStr">
        <is>
          <t>10</t>
        </is>
      </c>
      <c r="E37" s="40" t="inlineStr">
        <is>
          <t>Gıda ürünlerinin imalatı</t>
        </is>
      </c>
    </row>
    <row r="38" ht="28" customHeight="1">
      <c r="A38" s="28" t="n">
        <v>37</v>
      </c>
      <c r="B38" s="37" t="inlineStr">
        <is>
          <t>11.01</t>
        </is>
      </c>
      <c r="C38" s="30" t="inlineStr">
        <is>
          <t>Alkollü içeceklerin damıtılması, arıtılması ve harmanlanması</t>
        </is>
      </c>
      <c r="D38" s="28" t="inlineStr">
        <is>
          <t>11</t>
        </is>
      </c>
      <c r="E38" s="30" t="inlineStr">
        <is>
          <t>İçeceklerin imalatı</t>
        </is>
      </c>
    </row>
    <row r="39" ht="28" customHeight="1">
      <c r="A39" s="38" t="n">
        <v>38</v>
      </c>
      <c r="B39" s="39" t="inlineStr">
        <is>
          <t>11.02</t>
        </is>
      </c>
      <c r="C39" s="40" t="inlineStr">
        <is>
          <t>Üzümden şarap imalatı</t>
        </is>
      </c>
      <c r="D39" s="38" t="inlineStr">
        <is>
          <t>11</t>
        </is>
      </c>
      <c r="E39" s="40" t="inlineStr">
        <is>
          <t>İçeceklerin imalatı</t>
        </is>
      </c>
    </row>
    <row r="40" ht="28" customHeight="1">
      <c r="A40" s="28" t="n">
        <v>39</v>
      </c>
      <c r="B40" s="37" t="inlineStr">
        <is>
          <t>11.05</t>
        </is>
      </c>
      <c r="C40" s="30" t="inlineStr">
        <is>
          <t>Bira imalatı</t>
        </is>
      </c>
      <c r="D40" s="28" t="inlineStr">
        <is>
          <t>11</t>
        </is>
      </c>
      <c r="E40" s="30" t="inlineStr">
        <is>
          <t>İçeceklerin imalatı</t>
        </is>
      </c>
    </row>
    <row r="41" ht="28" customHeight="1">
      <c r="A41" s="38" t="n">
        <v>40</v>
      </c>
      <c r="B41" s="39" t="inlineStr">
        <is>
          <t>11.07</t>
        </is>
      </c>
      <c r="C41" s="40" t="inlineStr">
        <is>
          <t>Alkolsüz içeceklerin imalatı; maden sularının ve diğer şişelenmiş suların üretimi</t>
        </is>
      </c>
      <c r="D41" s="38" t="inlineStr">
        <is>
          <t>11</t>
        </is>
      </c>
      <c r="E41" s="40" t="inlineStr">
        <is>
          <t>İçeceklerin imalatı</t>
        </is>
      </c>
    </row>
    <row r="42" ht="28" customHeight="1">
      <c r="A42" s="28" t="n">
        <v>41</v>
      </c>
      <c r="B42" s="37" t="inlineStr">
        <is>
          <t>12.00</t>
        </is>
      </c>
      <c r="C42" s="30" t="inlineStr">
        <is>
          <t>Tütün ürünleri imalatı</t>
        </is>
      </c>
      <c r="D42" s="28" t="inlineStr">
        <is>
          <t>12</t>
        </is>
      </c>
      <c r="E42" s="30" t="inlineStr">
        <is>
          <t>Tütün ürünleri imalatı</t>
        </is>
      </c>
    </row>
    <row r="43" ht="28" customHeight="1">
      <c r="A43" s="38" t="n">
        <v>42</v>
      </c>
      <c r="B43" s="39" t="inlineStr">
        <is>
          <t>13.10</t>
        </is>
      </c>
      <c r="C43" s="40" t="inlineStr">
        <is>
          <t>Tekstil elyafının hazırlanması ve bükülmesi</t>
        </is>
      </c>
      <c r="D43" s="38" t="inlineStr">
        <is>
          <t>13</t>
        </is>
      </c>
      <c r="E43" s="40" t="inlineStr">
        <is>
          <t>Tekstil ürünlerinin imalatı</t>
        </is>
      </c>
    </row>
    <row r="44" ht="28" customHeight="1">
      <c r="A44" s="28" t="n">
        <v>43</v>
      </c>
      <c r="B44" s="37" t="inlineStr">
        <is>
          <t>13.20</t>
        </is>
      </c>
      <c r="C44" s="30" t="inlineStr">
        <is>
          <t>Dokuma</t>
        </is>
      </c>
      <c r="D44" s="28" t="inlineStr">
        <is>
          <t>13</t>
        </is>
      </c>
      <c r="E44" s="30" t="inlineStr">
        <is>
          <t>Tekstil ürünlerinin imalatı</t>
        </is>
      </c>
    </row>
    <row r="45" ht="28" customHeight="1">
      <c r="A45" s="38" t="n">
        <v>44</v>
      </c>
      <c r="B45" s="39" t="inlineStr">
        <is>
          <t>13.30</t>
        </is>
      </c>
      <c r="C45" s="40" t="inlineStr">
        <is>
          <t>Tekstil ürünlerinin bitirilmesi</t>
        </is>
      </c>
      <c r="D45" s="38" t="inlineStr">
        <is>
          <t>13</t>
        </is>
      </c>
      <c r="E45" s="40" t="inlineStr">
        <is>
          <t>Tekstil ürünlerinin imalatı</t>
        </is>
      </c>
    </row>
    <row r="46" ht="28" customHeight="1">
      <c r="A46" s="28" t="n">
        <v>45</v>
      </c>
      <c r="B46" s="37" t="inlineStr">
        <is>
          <t>13.91</t>
        </is>
      </c>
      <c r="C46" s="30" t="inlineStr">
        <is>
          <t>Örgü (triko) veya tığ işi (kroşe) kumaşların imalatı</t>
        </is>
      </c>
      <c r="D46" s="28" t="inlineStr">
        <is>
          <t>13</t>
        </is>
      </c>
      <c r="E46" s="30" t="inlineStr">
        <is>
          <t>Tekstil ürünlerinin imalatı</t>
        </is>
      </c>
    </row>
    <row r="47" ht="28" customHeight="1">
      <c r="A47" s="38" t="n">
        <v>46</v>
      </c>
      <c r="B47" s="39" t="inlineStr">
        <is>
          <t>13.92</t>
        </is>
      </c>
      <c r="C47" s="40" t="inlineStr">
        <is>
          <t>Giyim eşyası dışındaki tamamlanmış tekstil ürünlerinin imalatı</t>
        </is>
      </c>
      <c r="D47" s="38" t="inlineStr">
        <is>
          <t>13</t>
        </is>
      </c>
      <c r="E47" s="40" t="inlineStr">
        <is>
          <t>Tekstil ürünlerinin imalatı</t>
        </is>
      </c>
    </row>
    <row r="48" ht="28" customHeight="1">
      <c r="A48" s="28" t="n">
        <v>47</v>
      </c>
      <c r="B48" s="37" t="inlineStr">
        <is>
          <t>13.93</t>
        </is>
      </c>
      <c r="C48" s="30" t="inlineStr">
        <is>
          <t>Halı ve kilim imalatı</t>
        </is>
      </c>
      <c r="D48" s="28" t="inlineStr">
        <is>
          <t>13</t>
        </is>
      </c>
      <c r="E48" s="30" t="inlineStr">
        <is>
          <t>Tekstil ürünlerinin imalatı</t>
        </is>
      </c>
    </row>
    <row r="49" ht="28" customHeight="1">
      <c r="A49" s="38" t="n">
        <v>48</v>
      </c>
      <c r="B49" s="39" t="inlineStr">
        <is>
          <t>13.95</t>
        </is>
      </c>
      <c r="C49" s="40" t="inlineStr">
        <is>
          <t>Dokusuz kumaşların ve dokusuz kumaştan yapılan ürünlerin imalatı, giyim eşyası hariç</t>
        </is>
      </c>
      <c r="D49" s="38" t="inlineStr">
        <is>
          <t>13</t>
        </is>
      </c>
      <c r="E49" s="40" t="inlineStr">
        <is>
          <t>Tekstil ürünlerinin imalatı</t>
        </is>
      </c>
    </row>
    <row r="50" ht="28" customHeight="1">
      <c r="A50" s="28" t="n">
        <v>49</v>
      </c>
      <c r="B50" s="37" t="inlineStr">
        <is>
          <t>13.96</t>
        </is>
      </c>
      <c r="C50" s="30" t="inlineStr">
        <is>
          <t>Diğer teknik ve endüstriyel tekstillerin imalatı</t>
        </is>
      </c>
      <c r="D50" s="28" t="inlineStr">
        <is>
          <t>13</t>
        </is>
      </c>
      <c r="E50" s="30" t="inlineStr">
        <is>
          <t>Tekstil ürünlerinin imalatı</t>
        </is>
      </c>
    </row>
    <row r="51" ht="28" customHeight="1">
      <c r="A51" s="38" t="n">
        <v>50</v>
      </c>
      <c r="B51" s="39" t="inlineStr">
        <is>
          <t>13.99</t>
        </is>
      </c>
      <c r="C51" s="40" t="inlineStr">
        <is>
          <t>Başka yerde sınıflandırılmamış diğer tekstillerin imalatı</t>
        </is>
      </c>
      <c r="D51" s="38" t="inlineStr">
        <is>
          <t>13</t>
        </is>
      </c>
      <c r="E51" s="40" t="inlineStr">
        <is>
          <t>Tekstil ürünlerinin imalatı</t>
        </is>
      </c>
    </row>
    <row r="52" ht="28" customHeight="1">
      <c r="A52" s="28" t="n">
        <v>51</v>
      </c>
      <c r="B52" s="37" t="inlineStr">
        <is>
          <t>14.13</t>
        </is>
      </c>
      <c r="C52" s="30" t="inlineStr">
        <is>
          <t>Diğer dış giyim eşyaları imalatı</t>
        </is>
      </c>
      <c r="D52" s="28" t="inlineStr">
        <is>
          <t>14</t>
        </is>
      </c>
      <c r="E52" s="30" t="inlineStr">
        <is>
          <t>Giyim eşyalarının imalatı</t>
        </is>
      </c>
    </row>
    <row r="53" ht="28" customHeight="1">
      <c r="A53" s="38" t="n">
        <v>52</v>
      </c>
      <c r="B53" s="39" t="inlineStr">
        <is>
          <t>15.11</t>
        </is>
      </c>
      <c r="C53" s="40" t="inlineStr">
        <is>
          <t>Derinin tabaklanması ve işlenmesi; kürkün işlenmesi ve boyanması</t>
        </is>
      </c>
      <c r="D53" s="38" t="inlineStr">
        <is>
          <t>15</t>
        </is>
      </c>
      <c r="E53" s="40" t="inlineStr">
        <is>
          <t>Deri ve ilgili ürünlerin imalatı</t>
        </is>
      </c>
    </row>
    <row r="54" ht="28" customHeight="1">
      <c r="A54" s="28" t="n">
        <v>53</v>
      </c>
      <c r="B54" s="37" t="inlineStr">
        <is>
          <t>15.12</t>
        </is>
      </c>
      <c r="C54" s="30" t="inlineStr">
        <is>
          <t>Bavul, el çantası ve benzerleri ile saraçlık ve koşum takımı imalatı (deri giyim eşyası hariç)</t>
        </is>
      </c>
      <c r="D54" s="28" t="inlineStr">
        <is>
          <t>15</t>
        </is>
      </c>
      <c r="E54" s="30" t="inlineStr">
        <is>
          <t>Deri ve ilgili ürünlerin imalatı</t>
        </is>
      </c>
    </row>
    <row r="55" ht="28" customHeight="1">
      <c r="A55" s="38" t="n">
        <v>54</v>
      </c>
      <c r="B55" s="39" t="inlineStr">
        <is>
          <t>15.20</t>
        </is>
      </c>
      <c r="C55" s="40" t="inlineStr">
        <is>
          <t>Ayakkabı, bot, terlik vb. imalatı</t>
        </is>
      </c>
      <c r="D55" s="38" t="inlineStr">
        <is>
          <t>15</t>
        </is>
      </c>
      <c r="E55" s="40" t="inlineStr">
        <is>
          <t>Deri ve ilgili ürünlerin imalatı</t>
        </is>
      </c>
    </row>
    <row r="56" ht="28" customHeight="1">
      <c r="A56" s="28" t="n">
        <v>55</v>
      </c>
      <c r="B56" s="37" t="inlineStr">
        <is>
          <t>16.10</t>
        </is>
      </c>
      <c r="C56" s="30" t="inlineStr">
        <is>
          <t>Ağaçların biçilmesi ve planyalanması</t>
        </is>
      </c>
      <c r="D56" s="28" t="inlineStr">
        <is>
          <t>16</t>
        </is>
      </c>
      <c r="E56" s="30" t="inlineStr">
        <is>
          <t>Ağaç, ağaç ürünleri ve mantar ürünleri imalatı (mobilya hariç)</t>
        </is>
      </c>
    </row>
    <row r="57" ht="28" customHeight="1">
      <c r="A57" s="38" t="n">
        <v>56</v>
      </c>
      <c r="B57" s="39" t="inlineStr">
        <is>
          <t>16.21</t>
        </is>
      </c>
      <c r="C57" s="40" t="inlineStr">
        <is>
          <t>Ahşap kaplama paneli ve ağaç esaslı panel imalatı</t>
        </is>
      </c>
      <c r="D57" s="38" t="inlineStr">
        <is>
          <t>16</t>
        </is>
      </c>
      <c r="E57" s="40" t="inlineStr">
        <is>
          <t>Ağaç, ağaç ürünleri ve mantar ürünleri imalatı (mobilya hariç)</t>
        </is>
      </c>
    </row>
    <row r="58" ht="28" customHeight="1">
      <c r="A58" s="28" t="n">
        <v>57</v>
      </c>
      <c r="B58" s="37" t="inlineStr">
        <is>
          <t>16.22</t>
        </is>
      </c>
      <c r="C58" s="30" t="inlineStr">
        <is>
          <t>Birleştirilmiş parke yer döşemelerinin imalatı</t>
        </is>
      </c>
      <c r="D58" s="28" t="inlineStr">
        <is>
          <t>16</t>
        </is>
      </c>
      <c r="E58" s="30" t="inlineStr">
        <is>
          <t>Ağaç, ağaç ürünleri ve mantar ürünleri imalatı (mobilya hariç)</t>
        </is>
      </c>
    </row>
    <row r="59" ht="28" customHeight="1">
      <c r="A59" s="38" t="n">
        <v>58</v>
      </c>
      <c r="B59" s="39" t="inlineStr">
        <is>
          <t>16.23</t>
        </is>
      </c>
      <c r="C59" s="40" t="inlineStr">
        <is>
          <t>Diğer bina doğramacılığı ve marangozluk ürünlerinin imalatı</t>
        </is>
      </c>
      <c r="D59" s="38" t="inlineStr">
        <is>
          <t>16</t>
        </is>
      </c>
      <c r="E59" s="40" t="inlineStr">
        <is>
          <t>Ağaç, ağaç ürünleri ve mantar ürünleri imalatı (mobilya hariç)</t>
        </is>
      </c>
    </row>
    <row r="60" ht="28" customHeight="1">
      <c r="A60" s="28" t="n">
        <v>59</v>
      </c>
      <c r="B60" s="37" t="inlineStr">
        <is>
          <t>16.29</t>
        </is>
      </c>
      <c r="C60" s="30" t="inlineStr">
        <is>
          <t>Diğer ağaç ürünleri imalatı; mantardan, saz, saman ve benzeri örme malzemelerinden yapılmış ürünlerin imalatı</t>
        </is>
      </c>
      <c r="D60" s="28" t="inlineStr">
        <is>
          <t>16</t>
        </is>
      </c>
      <c r="E60" s="30" t="inlineStr">
        <is>
          <t>Ağaç, ağaç ürünleri ve mantar ürünleri imalatı (mobilya hariç)</t>
        </is>
      </c>
    </row>
    <row r="61" ht="28" customHeight="1">
      <c r="A61" s="38" t="n">
        <v>60</v>
      </c>
      <c r="B61" s="39" t="inlineStr">
        <is>
          <t>17.11</t>
        </is>
      </c>
      <c r="C61" s="40" t="inlineStr">
        <is>
          <t>Kağıt hamuru imalatı</t>
        </is>
      </c>
      <c r="D61" s="38" t="inlineStr">
        <is>
          <t>17</t>
        </is>
      </c>
      <c r="E61" s="40" t="inlineStr">
        <is>
          <t>Kağıt ve kağıt ürünlerinin imalatı</t>
        </is>
      </c>
    </row>
    <row r="62" ht="28" customHeight="1">
      <c r="A62" s="28" t="n">
        <v>61</v>
      </c>
      <c r="B62" s="37" t="inlineStr">
        <is>
          <t>17.12</t>
        </is>
      </c>
      <c r="C62" s="30" t="inlineStr">
        <is>
          <t>Kağıt ve mukavva imalatı</t>
        </is>
      </c>
      <c r="D62" s="28" t="inlineStr">
        <is>
          <t>17</t>
        </is>
      </c>
      <c r="E62" s="30" t="inlineStr">
        <is>
          <t>Kağıt ve kağıt ürünlerinin imalatı</t>
        </is>
      </c>
    </row>
    <row r="63" ht="28" customHeight="1">
      <c r="A63" s="38" t="n">
        <v>62</v>
      </c>
      <c r="B63" s="39" t="inlineStr">
        <is>
          <t>17.22</t>
        </is>
      </c>
      <c r="C63" s="40" t="inlineStr">
        <is>
          <t>Kağıttan yapılan ev eşyası, sıhhi malzemeler ve tuvalet malzemeleri imalatı</t>
        </is>
      </c>
      <c r="D63" s="38" t="inlineStr">
        <is>
          <t>17</t>
        </is>
      </c>
      <c r="E63" s="40" t="inlineStr">
        <is>
          <t>Kağıt ve kağıt ürünlerinin imalatı</t>
        </is>
      </c>
    </row>
    <row r="64" ht="28" customHeight="1">
      <c r="A64" s="28" t="n">
        <v>63</v>
      </c>
      <c r="B64" s="37" t="inlineStr">
        <is>
          <t>19.20</t>
        </is>
      </c>
      <c r="C64" s="30" t="inlineStr">
        <is>
          <t>Rafine edilmiş petrol ürünleri imalatı</t>
        </is>
      </c>
      <c r="D64" s="28" t="inlineStr">
        <is>
          <t>19</t>
        </is>
      </c>
      <c r="E64" s="30" t="inlineStr">
        <is>
          <t>Kok kömürü ve rafine edilmiş petrol ürünleri imalatı</t>
        </is>
      </c>
    </row>
    <row r="65" ht="28" customHeight="1">
      <c r="A65" s="38" t="n">
        <v>64</v>
      </c>
      <c r="B65" s="39" t="inlineStr">
        <is>
          <t>20.11</t>
        </is>
      </c>
      <c r="C65" s="40" t="inlineStr">
        <is>
          <t>Sanayi gazları imalatı</t>
        </is>
      </c>
      <c r="D65" s="38" t="inlineStr">
        <is>
          <t>20</t>
        </is>
      </c>
      <c r="E65" s="40" t="inlineStr">
        <is>
          <t>Kimyasalların ve kimyasal ürünlerin imalatı</t>
        </is>
      </c>
    </row>
    <row r="66" ht="28" customHeight="1">
      <c r="A66" s="28" t="n">
        <v>65</v>
      </c>
      <c r="B66" s="37" t="inlineStr">
        <is>
          <t>20.12</t>
        </is>
      </c>
      <c r="C66" s="30" t="inlineStr">
        <is>
          <t>Boya maddeleri ve pigment imalatı</t>
        </is>
      </c>
      <c r="D66" s="28" t="inlineStr">
        <is>
          <t>20</t>
        </is>
      </c>
      <c r="E66" s="30" t="inlineStr">
        <is>
          <t>Kimyasalların ve kimyasal ürünlerin imalatı</t>
        </is>
      </c>
    </row>
    <row r="67" ht="28" customHeight="1">
      <c r="A67" s="38" t="n">
        <v>66</v>
      </c>
      <c r="B67" s="39" t="inlineStr">
        <is>
          <t>20.13</t>
        </is>
      </c>
      <c r="C67" s="40" t="inlineStr">
        <is>
          <t>Diğer inorganik temel kimyasal maddelerin imalatı</t>
        </is>
      </c>
      <c r="D67" s="38" t="inlineStr">
        <is>
          <t>20</t>
        </is>
      </c>
      <c r="E67" s="40" t="inlineStr">
        <is>
          <t>Kimyasalların ve kimyasal ürünlerin imalatı</t>
        </is>
      </c>
    </row>
    <row r="68" ht="28" customHeight="1">
      <c r="A68" s="28" t="n">
        <v>67</v>
      </c>
      <c r="B68" s="37" t="inlineStr">
        <is>
          <t>20.14</t>
        </is>
      </c>
      <c r="C68" s="30" t="inlineStr">
        <is>
          <t>Diğer organik temel kimyasalların imalatı</t>
        </is>
      </c>
      <c r="D68" s="28" t="inlineStr">
        <is>
          <t>20</t>
        </is>
      </c>
      <c r="E68" s="30" t="inlineStr">
        <is>
          <t>Kimyasalların ve kimyasal ürünlerin imalatı</t>
        </is>
      </c>
    </row>
    <row r="69" ht="28" customHeight="1">
      <c r="A69" s="38" t="n">
        <v>68</v>
      </c>
      <c r="B69" s="39" t="inlineStr">
        <is>
          <t>20.15</t>
        </is>
      </c>
      <c r="C69" s="40" t="inlineStr">
        <is>
          <t>Kimyasal gübre ve azot bileşiklerinin imalatı</t>
        </is>
      </c>
      <c r="D69" s="38" t="inlineStr">
        <is>
          <t>20</t>
        </is>
      </c>
      <c r="E69" s="40" t="inlineStr">
        <is>
          <t>Kimyasalların ve kimyasal ürünlerin imalatı</t>
        </is>
      </c>
    </row>
    <row r="70" ht="28" customHeight="1">
      <c r="A70" s="28" t="n">
        <v>69</v>
      </c>
      <c r="B70" s="37" t="inlineStr">
        <is>
          <t>20.16</t>
        </is>
      </c>
      <c r="C70" s="30" t="inlineStr">
        <is>
          <t>Birincil formda plastik hammaddelerin imalatı</t>
        </is>
      </c>
      <c r="D70" s="28" t="inlineStr">
        <is>
          <t>20</t>
        </is>
      </c>
      <c r="E70" s="30" t="inlineStr">
        <is>
          <t>Kimyasalların ve kimyasal ürünlerin imalatı</t>
        </is>
      </c>
    </row>
    <row r="71" ht="28" customHeight="1">
      <c r="A71" s="38" t="n">
        <v>70</v>
      </c>
      <c r="B71" s="39" t="inlineStr">
        <is>
          <t>20.17</t>
        </is>
      </c>
      <c r="C71" s="40" t="inlineStr">
        <is>
          <t>Birincil formda sentetik kauçuk imalatı</t>
        </is>
      </c>
      <c r="D71" s="38" t="inlineStr">
        <is>
          <t>20</t>
        </is>
      </c>
      <c r="E71" s="40" t="inlineStr">
        <is>
          <t>Kimyasalların ve kimyasal ürünlerin imalatı</t>
        </is>
      </c>
    </row>
    <row r="72" ht="28" customHeight="1">
      <c r="A72" s="28" t="n">
        <v>71</v>
      </c>
      <c r="B72" s="37" t="inlineStr">
        <is>
          <t>20.20</t>
        </is>
      </c>
      <c r="C72" s="30" t="inlineStr">
        <is>
          <t>Haşere ilaçları ve diğer zirai-kimyasal ürünlerin imalatı</t>
        </is>
      </c>
      <c r="D72" s="28" t="inlineStr">
        <is>
          <t>20</t>
        </is>
      </c>
      <c r="E72" s="30" t="inlineStr">
        <is>
          <t>Kimyasalların ve kimyasal ürünlerin imalatı</t>
        </is>
      </c>
    </row>
    <row r="73" ht="28" customHeight="1">
      <c r="A73" s="38" t="n">
        <v>72</v>
      </c>
      <c r="B73" s="39" t="inlineStr">
        <is>
          <t>20.30</t>
        </is>
      </c>
      <c r="C73" s="40" t="inlineStr">
        <is>
          <t>Boya, vernik ve benzeri kaplayıcı maddeler ile matbaa mürekkebi ve macun imalatı</t>
        </is>
      </c>
      <c r="D73" s="38" t="inlineStr">
        <is>
          <t>20</t>
        </is>
      </c>
      <c r="E73" s="40" t="inlineStr">
        <is>
          <t>Kimyasalların ve kimyasal ürünlerin imalatı</t>
        </is>
      </c>
    </row>
    <row r="74" ht="28" customHeight="1">
      <c r="A74" s="28" t="n">
        <v>73</v>
      </c>
      <c r="B74" s="37" t="inlineStr">
        <is>
          <t>20.41</t>
        </is>
      </c>
      <c r="C74" s="30" t="inlineStr">
        <is>
          <t>Sabun ve deterjan ile temizlik ve parlatıcı maddeler imalatı</t>
        </is>
      </c>
      <c r="D74" s="28" t="inlineStr">
        <is>
          <t>20</t>
        </is>
      </c>
      <c r="E74" s="30" t="inlineStr">
        <is>
          <t>Kimyasalların ve kimyasal ürünlerin imalatı</t>
        </is>
      </c>
    </row>
    <row r="75" ht="28" customHeight="1">
      <c r="A75" s="38" t="n">
        <v>74</v>
      </c>
      <c r="B75" s="39" t="inlineStr">
        <is>
          <t>20.42</t>
        </is>
      </c>
      <c r="C75" s="40" t="inlineStr">
        <is>
          <t>Parfümlerin, kozmetiklerin ve kişisel bakım ürünlerinin imalatı</t>
        </is>
      </c>
      <c r="D75" s="38" t="inlineStr">
        <is>
          <t>20</t>
        </is>
      </c>
      <c r="E75" s="40" t="inlineStr">
        <is>
          <t>Kimyasalların ve kimyasal ürünlerin imalatı</t>
        </is>
      </c>
    </row>
    <row r="76" ht="28" customHeight="1">
      <c r="A76" s="28" t="n">
        <v>75</v>
      </c>
      <c r="B76" s="37" t="inlineStr">
        <is>
          <t>20.59</t>
        </is>
      </c>
      <c r="C76" s="30" t="inlineStr">
        <is>
          <t>Başka yerde sınıflandırılmamış diğer kimyasal ürünlerin imalatı</t>
        </is>
      </c>
      <c r="D76" s="28" t="inlineStr">
        <is>
          <t>20</t>
        </is>
      </c>
      <c r="E76" s="30" t="inlineStr">
        <is>
          <t>Kimyasalların ve kimyasal ürünlerin imalatı</t>
        </is>
      </c>
    </row>
    <row r="77" ht="28" customHeight="1">
      <c r="A77" s="38" t="n">
        <v>76</v>
      </c>
      <c r="B77" s="39" t="inlineStr">
        <is>
          <t>20.60</t>
        </is>
      </c>
      <c r="C77" s="40" t="inlineStr">
        <is>
          <t>Suni veya sentetik elyaf imalatı</t>
        </is>
      </c>
      <c r="D77" s="38" t="inlineStr">
        <is>
          <t>20</t>
        </is>
      </c>
      <c r="E77" s="40" t="inlineStr">
        <is>
          <t>Kimyasalların ve kimyasal ürünlerin imalatı</t>
        </is>
      </c>
    </row>
    <row r="78" ht="28" customHeight="1">
      <c r="A78" s="28" t="n">
        <v>77</v>
      </c>
      <c r="B78" s="37" t="inlineStr">
        <is>
          <t>21.20</t>
        </is>
      </c>
      <c r="C78" s="30" t="inlineStr">
        <is>
          <t>Eczacılığa ilişkin ilaçların imalatı</t>
        </is>
      </c>
      <c r="D78" s="28" t="inlineStr">
        <is>
          <t>21</t>
        </is>
      </c>
      <c r="E78" s="30" t="inlineStr">
        <is>
          <t>Temel eczacılık ürünlerinin ve eczacılığa ilişkin malzemelerin imalatı</t>
        </is>
      </c>
    </row>
    <row r="79" ht="28" customHeight="1">
      <c r="A79" s="38" t="n">
        <v>78</v>
      </c>
      <c r="B79" s="39" t="inlineStr">
        <is>
          <t>22.11</t>
        </is>
      </c>
      <c r="C79" s="40" t="inlineStr">
        <is>
          <t>İç ve dış lastik imalatı; lastiğe sırt geçirilmesi ve yeniden işlenmesi</t>
        </is>
      </c>
      <c r="D79" s="38" t="inlineStr">
        <is>
          <t>22</t>
        </is>
      </c>
      <c r="E79" s="40" t="inlineStr">
        <is>
          <t>Kauçuk ve plastik ürünlerin imalatı</t>
        </is>
      </c>
    </row>
    <row r="80" ht="28" customHeight="1">
      <c r="A80" s="28" t="n">
        <v>79</v>
      </c>
      <c r="B80" s="37" t="inlineStr">
        <is>
          <t>22.19</t>
        </is>
      </c>
      <c r="C80" s="30" t="inlineStr">
        <is>
          <t>Diğer kauçuk ürünleri imalatı</t>
        </is>
      </c>
      <c r="D80" s="28" t="inlineStr">
        <is>
          <t>22</t>
        </is>
      </c>
      <c r="E80" s="30" t="inlineStr">
        <is>
          <t>Kauçuk ve plastik ürünlerin imalatı</t>
        </is>
      </c>
    </row>
    <row r="81" ht="28" customHeight="1">
      <c r="A81" s="38" t="n">
        <v>80</v>
      </c>
      <c r="B81" s="39" t="inlineStr">
        <is>
          <t>22.21</t>
        </is>
      </c>
      <c r="C81" s="40" t="inlineStr">
        <is>
          <t>Plastik tabaka, levha, tüp ve profil imalatı</t>
        </is>
      </c>
      <c r="D81" s="38" t="inlineStr">
        <is>
          <t>22</t>
        </is>
      </c>
      <c r="E81" s="40" t="inlineStr">
        <is>
          <t>Kauçuk ve plastik ürünlerin imalatı</t>
        </is>
      </c>
    </row>
    <row r="82" ht="28" customHeight="1">
      <c r="A82" s="28" t="n">
        <v>81</v>
      </c>
      <c r="B82" s="37" t="inlineStr">
        <is>
          <t>22.22</t>
        </is>
      </c>
      <c r="C82" s="30" t="inlineStr">
        <is>
          <t>Plastik torba, çanta, poşet, çuval, kutu, damacana, şişe, makara vb. paketleme malzemelerinin imalatı</t>
        </is>
      </c>
      <c r="D82" s="28" t="inlineStr">
        <is>
          <t>22</t>
        </is>
      </c>
      <c r="E82" s="30" t="inlineStr">
        <is>
          <t>Kauçuk ve plastik ürünlerin imalatı</t>
        </is>
      </c>
    </row>
    <row r="83" ht="28" customHeight="1">
      <c r="A83" s="38" t="n">
        <v>82</v>
      </c>
      <c r="B83" s="39" t="inlineStr">
        <is>
          <t>22.23</t>
        </is>
      </c>
      <c r="C83" s="40" t="inlineStr">
        <is>
          <t>Plastik inşaat malzemesi imalatı</t>
        </is>
      </c>
      <c r="D83" s="38" t="inlineStr">
        <is>
          <t>22</t>
        </is>
      </c>
      <c r="E83" s="40" t="inlineStr">
        <is>
          <t>Kauçuk ve plastik ürünlerin imalatı</t>
        </is>
      </c>
    </row>
    <row r="84" ht="28" customHeight="1">
      <c r="A84" s="28" t="n">
        <v>83</v>
      </c>
      <c r="B84" s="37" t="inlineStr">
        <is>
          <t>22.29</t>
        </is>
      </c>
      <c r="C84" s="30" t="inlineStr">
        <is>
          <t>Diğer plastik ürünlerin imalatı</t>
        </is>
      </c>
      <c r="D84" s="28" t="inlineStr">
        <is>
          <t>22</t>
        </is>
      </c>
      <c r="E84" s="30" t="inlineStr">
        <is>
          <t>Kauçuk ve plastik ürünlerin imalatı</t>
        </is>
      </c>
    </row>
    <row r="85" ht="28" customHeight="1">
      <c r="A85" s="38" t="n">
        <v>84</v>
      </c>
      <c r="B85" s="39" t="inlineStr">
        <is>
          <t>23.11</t>
        </is>
      </c>
      <c r="C85" s="40" t="inlineStr">
        <is>
          <t>Düz cam imalatı</t>
        </is>
      </c>
      <c r="D85" s="38" t="inlineStr">
        <is>
          <t>23</t>
        </is>
      </c>
      <c r="E85" s="40" t="inlineStr">
        <is>
          <t>Diğer metalik olmayan mineral ürünlerin imalatı</t>
        </is>
      </c>
    </row>
    <row r="86" ht="28" customHeight="1">
      <c r="A86" s="28" t="n">
        <v>85</v>
      </c>
      <c r="B86" s="37" t="inlineStr">
        <is>
          <t>23.13</t>
        </is>
      </c>
      <c r="C86" s="30" t="inlineStr">
        <is>
          <t>Çukur cam imalatı</t>
        </is>
      </c>
      <c r="D86" s="28" t="inlineStr">
        <is>
          <t>23</t>
        </is>
      </c>
      <c r="E86" s="30" t="inlineStr">
        <is>
          <t>Diğer metalik olmayan mineral ürünlerin imalatı</t>
        </is>
      </c>
    </row>
    <row r="87" ht="28" customHeight="1">
      <c r="A87" s="38" t="n">
        <v>86</v>
      </c>
      <c r="B87" s="39" t="inlineStr">
        <is>
          <t>23.14</t>
        </is>
      </c>
      <c r="C87" s="40" t="inlineStr">
        <is>
          <t>Cam elyafı imalatı</t>
        </is>
      </c>
      <c r="D87" s="38" t="inlineStr">
        <is>
          <t>23</t>
        </is>
      </c>
      <c r="E87" s="40" t="inlineStr">
        <is>
          <t>Diğer metalik olmayan mineral ürünlerin imalatı</t>
        </is>
      </c>
    </row>
    <row r="88" ht="28" customHeight="1">
      <c r="A88" s="28" t="n">
        <v>87</v>
      </c>
      <c r="B88" s="37" t="inlineStr">
        <is>
          <t>23.20</t>
        </is>
      </c>
      <c r="C88" s="30" t="inlineStr">
        <is>
          <t>Ateşe dayanıklı (refrakter) ürünlerin imalatı</t>
        </is>
      </c>
      <c r="D88" s="28" t="inlineStr">
        <is>
          <t>23</t>
        </is>
      </c>
      <c r="E88" s="30" t="inlineStr">
        <is>
          <t>Diğer metalik olmayan mineral ürünlerin imalatı</t>
        </is>
      </c>
    </row>
    <row r="89" ht="28" customHeight="1">
      <c r="A89" s="38" t="n">
        <v>88</v>
      </c>
      <c r="B89" s="39" t="inlineStr">
        <is>
          <t>23.31</t>
        </is>
      </c>
      <c r="C89" s="40" t="inlineStr">
        <is>
          <t>Seramik karo ve kaldırım taşları imalatı</t>
        </is>
      </c>
      <c r="D89" s="38" t="inlineStr">
        <is>
          <t>23</t>
        </is>
      </c>
      <c r="E89" s="40" t="inlineStr">
        <is>
          <t>Diğer metalik olmayan mineral ürünlerin imalatı</t>
        </is>
      </c>
    </row>
    <row r="90" ht="28" customHeight="1">
      <c r="A90" s="28" t="n">
        <v>89</v>
      </c>
      <c r="B90" s="37" t="inlineStr">
        <is>
          <t>23.41</t>
        </is>
      </c>
      <c r="C90" s="30" t="inlineStr">
        <is>
          <t>Seramik ev ve süs eşyaları imalatı</t>
        </is>
      </c>
      <c r="D90" s="28" t="inlineStr">
        <is>
          <t>23</t>
        </is>
      </c>
      <c r="E90" s="30" t="inlineStr">
        <is>
          <t>Diğer metalik olmayan mineral ürünlerin imalatı</t>
        </is>
      </c>
    </row>
    <row r="91" ht="28" customHeight="1">
      <c r="A91" s="38" t="n">
        <v>90</v>
      </c>
      <c r="B91" s="39" t="inlineStr">
        <is>
          <t>23.42</t>
        </is>
      </c>
      <c r="C91" s="40" t="inlineStr">
        <is>
          <t>Seramik sıhhi ürünlerin imalatı</t>
        </is>
      </c>
      <c r="D91" s="38" t="inlineStr">
        <is>
          <t>23</t>
        </is>
      </c>
      <c r="E91" s="40" t="inlineStr">
        <is>
          <t>Diğer metalik olmayan mineral ürünlerin imalatı</t>
        </is>
      </c>
    </row>
    <row r="92" ht="28" customHeight="1">
      <c r="A92" s="28" t="n">
        <v>91</v>
      </c>
      <c r="B92" s="37" t="inlineStr">
        <is>
          <t>23.52</t>
        </is>
      </c>
      <c r="C92" s="30" t="inlineStr">
        <is>
          <t>Kireç ve alçı imalatı</t>
        </is>
      </c>
      <c r="D92" s="28" t="inlineStr">
        <is>
          <t>23</t>
        </is>
      </c>
      <c r="E92" s="30" t="inlineStr">
        <is>
          <t>Diğer metalik olmayan mineral ürünlerin imalatı</t>
        </is>
      </c>
    </row>
    <row r="93" ht="28" customHeight="1">
      <c r="A93" s="38" t="n">
        <v>92</v>
      </c>
      <c r="B93" s="39" t="inlineStr">
        <is>
          <t>23.61</t>
        </is>
      </c>
      <c r="C93" s="40" t="inlineStr">
        <is>
          <t>İnşaat amaçlı beton ürünlerin imalatı</t>
        </is>
      </c>
      <c r="D93" s="38" t="inlineStr">
        <is>
          <t>23</t>
        </is>
      </c>
      <c r="E93" s="40" t="inlineStr">
        <is>
          <t>Diğer metalik olmayan mineral ürünlerin imalatı</t>
        </is>
      </c>
    </row>
    <row r="94" ht="28" customHeight="1">
      <c r="A94" s="28" t="n">
        <v>93</v>
      </c>
      <c r="B94" s="37" t="inlineStr">
        <is>
          <t>23.62</t>
        </is>
      </c>
      <c r="C94" s="30" t="inlineStr">
        <is>
          <t>İnşaat amaçlı alçı ürünlerin imalatı</t>
        </is>
      </c>
      <c r="D94" s="28" t="inlineStr">
        <is>
          <t>23</t>
        </is>
      </c>
      <c r="E94" s="30" t="inlineStr">
        <is>
          <t>Diğer metalik olmayan mineral ürünlerin imalatı</t>
        </is>
      </c>
    </row>
    <row r="95" ht="28" customHeight="1">
      <c r="A95" s="38" t="n">
        <v>94</v>
      </c>
      <c r="B95" s="39" t="inlineStr">
        <is>
          <t>23.64</t>
        </is>
      </c>
      <c r="C95" s="40" t="inlineStr">
        <is>
          <t>Toz harç imalatı</t>
        </is>
      </c>
      <c r="D95" s="38" t="inlineStr">
        <is>
          <t>23</t>
        </is>
      </c>
      <c r="E95" s="40" t="inlineStr">
        <is>
          <t>Diğer metalik olmayan mineral ürünlerin imalatı</t>
        </is>
      </c>
    </row>
    <row r="96" ht="28" customHeight="1">
      <c r="A96" s="28" t="n">
        <v>95</v>
      </c>
      <c r="B96" s="37" t="inlineStr">
        <is>
          <t>23.99</t>
        </is>
      </c>
      <c r="C96" s="30" t="inlineStr">
        <is>
          <t>Başka yerde sınıflandırılmamış metalik olmayan diğer mineral ürünlerin imalatı</t>
        </is>
      </c>
      <c r="D96" s="28" t="inlineStr">
        <is>
          <t>23</t>
        </is>
      </c>
      <c r="E96" s="30" t="inlineStr">
        <is>
          <t>Diğer metalik olmayan mineral ürünlerin imalatı</t>
        </is>
      </c>
    </row>
    <row r="97" ht="28" customHeight="1">
      <c r="A97" s="38" t="n">
        <v>96</v>
      </c>
      <c r="B97" s="39" t="inlineStr">
        <is>
          <t>24.10</t>
        </is>
      </c>
      <c r="C97" s="40" t="inlineStr">
        <is>
          <t>Ana demir ve çelik ürünleri ile ferro alaşımların imalatı</t>
        </is>
      </c>
      <c r="D97" s="38" t="inlineStr">
        <is>
          <t>24</t>
        </is>
      </c>
      <c r="E97" s="40" t="inlineStr">
        <is>
          <t>Ana metal sanayii</t>
        </is>
      </c>
    </row>
    <row r="98" ht="28" customHeight="1">
      <c r="A98" s="28" t="n">
        <v>97</v>
      </c>
      <c r="B98" s="37" t="inlineStr">
        <is>
          <t>24.20</t>
        </is>
      </c>
      <c r="C98" s="30" t="inlineStr">
        <is>
          <t>Çelikten tüpler, borular, içi boş profiller ve benzeri bağlantı parçalarının imalatı</t>
        </is>
      </c>
      <c r="D98" s="28" t="inlineStr">
        <is>
          <t>24</t>
        </is>
      </c>
      <c r="E98" s="30" t="inlineStr">
        <is>
          <t>Ana metal sanayii</t>
        </is>
      </c>
    </row>
    <row r="99" ht="28" customHeight="1">
      <c r="A99" s="38" t="n">
        <v>98</v>
      </c>
      <c r="B99" s="39" t="inlineStr">
        <is>
          <t>24.31</t>
        </is>
      </c>
      <c r="C99" s="40" t="inlineStr">
        <is>
          <t>Barların soğuk çekilmesi</t>
        </is>
      </c>
      <c r="D99" s="38" t="inlineStr">
        <is>
          <t>24</t>
        </is>
      </c>
      <c r="E99" s="40" t="inlineStr">
        <is>
          <t>Ana metal sanayii</t>
        </is>
      </c>
    </row>
    <row r="100" ht="28" customHeight="1">
      <c r="A100" s="28" t="n">
        <v>99</v>
      </c>
      <c r="B100" s="37" t="inlineStr">
        <is>
          <t>24.32</t>
        </is>
      </c>
      <c r="C100" s="30" t="inlineStr">
        <is>
          <t>Dar şeritlerin soğuk haddelenmesi</t>
        </is>
      </c>
      <c r="D100" s="28" t="inlineStr">
        <is>
          <t>24</t>
        </is>
      </c>
      <c r="E100" s="30" t="inlineStr">
        <is>
          <t>Ana metal sanayii</t>
        </is>
      </c>
    </row>
    <row r="101" ht="28" customHeight="1">
      <c r="A101" s="38" t="n">
        <v>100</v>
      </c>
      <c r="B101" s="39" t="inlineStr">
        <is>
          <t>24.34</t>
        </is>
      </c>
      <c r="C101" s="40" t="inlineStr">
        <is>
          <t>Tellerin soğuk çekilmesi</t>
        </is>
      </c>
      <c r="D101" s="38" t="inlineStr">
        <is>
          <t>24</t>
        </is>
      </c>
      <c r="E101" s="40" t="inlineStr">
        <is>
          <t>Ana metal sanayii</t>
        </is>
      </c>
    </row>
    <row r="102" ht="28" customHeight="1">
      <c r="A102" s="28" t="n">
        <v>101</v>
      </c>
      <c r="B102" s="37" t="inlineStr">
        <is>
          <t>24.41</t>
        </is>
      </c>
      <c r="C102" s="30" t="inlineStr">
        <is>
          <t>Değerli metal üretimi</t>
        </is>
      </c>
      <c r="D102" s="28" t="inlineStr">
        <is>
          <t>24</t>
        </is>
      </c>
      <c r="E102" s="30" t="inlineStr">
        <is>
          <t>Ana metal sanayii</t>
        </is>
      </c>
    </row>
    <row r="103" ht="28" customHeight="1">
      <c r="A103" s="38" t="n">
        <v>102</v>
      </c>
      <c r="B103" s="39" t="inlineStr">
        <is>
          <t>24.42</t>
        </is>
      </c>
      <c r="C103" s="40" t="inlineStr">
        <is>
          <t>Alüminyum üretimi</t>
        </is>
      </c>
      <c r="D103" s="38" t="inlineStr">
        <is>
          <t>24</t>
        </is>
      </c>
      <c r="E103" s="40" t="inlineStr">
        <is>
          <t>Ana metal sanayii</t>
        </is>
      </c>
    </row>
    <row r="104" ht="28" customHeight="1">
      <c r="A104" s="28" t="n">
        <v>103</v>
      </c>
      <c r="B104" s="37" t="inlineStr">
        <is>
          <t>24.51</t>
        </is>
      </c>
      <c r="C104" s="30" t="inlineStr">
        <is>
          <t>Demir döküm</t>
        </is>
      </c>
      <c r="D104" s="28" t="inlineStr">
        <is>
          <t>24</t>
        </is>
      </c>
      <c r="E104" s="30" t="inlineStr">
        <is>
          <t>Ana metal sanayii</t>
        </is>
      </c>
    </row>
    <row r="105" ht="28" customHeight="1">
      <c r="A105" s="38" t="n">
        <v>104</v>
      </c>
      <c r="B105" s="39" t="inlineStr">
        <is>
          <t>24.52</t>
        </is>
      </c>
      <c r="C105" s="40" t="inlineStr">
        <is>
          <t>Çelik dökümü</t>
        </is>
      </c>
      <c r="D105" s="38" t="inlineStr">
        <is>
          <t>24</t>
        </is>
      </c>
      <c r="E105" s="40" t="inlineStr">
        <is>
          <t>Ana metal sanayii</t>
        </is>
      </c>
    </row>
    <row r="106" ht="28" customHeight="1">
      <c r="A106" s="28" t="n">
        <v>105</v>
      </c>
      <c r="B106" s="37" t="inlineStr">
        <is>
          <t>24.53</t>
        </is>
      </c>
      <c r="C106" s="30" t="inlineStr">
        <is>
          <t>Hafif metallerin dökümü</t>
        </is>
      </c>
      <c r="D106" s="28" t="inlineStr">
        <is>
          <t>24</t>
        </is>
      </c>
      <c r="E106" s="30" t="inlineStr">
        <is>
          <t>Ana metal sanayii</t>
        </is>
      </c>
    </row>
    <row r="107" ht="28" customHeight="1">
      <c r="A107" s="38" t="n">
        <v>106</v>
      </c>
      <c r="B107" s="39" t="inlineStr">
        <is>
          <t>24.54</t>
        </is>
      </c>
      <c r="C107" s="40" t="inlineStr">
        <is>
          <t>Diğer demir dışı metallerin dökümü</t>
        </is>
      </c>
      <c r="D107" s="38" t="inlineStr">
        <is>
          <t>24</t>
        </is>
      </c>
      <c r="E107" s="40" t="inlineStr">
        <is>
          <t>Ana metal sanayii</t>
        </is>
      </c>
    </row>
    <row r="108" ht="28" customHeight="1">
      <c r="A108" s="28" t="n">
        <v>107</v>
      </c>
      <c r="B108" s="37" t="inlineStr">
        <is>
          <t>25.12</t>
        </is>
      </c>
      <c r="C108" s="30" t="inlineStr">
        <is>
          <t>Metalden kapı ve pencere imalatı</t>
        </is>
      </c>
      <c r="D108" s="28" t="inlineStr">
        <is>
          <t>25</t>
        </is>
      </c>
      <c r="E108" s="30" t="inlineStr">
        <is>
          <t>Fabrikasyon metal ürünleri imalatı (makine ve teçhizat hariç)</t>
        </is>
      </c>
    </row>
    <row r="109" ht="28" customHeight="1">
      <c r="A109" s="38" t="n">
        <v>108</v>
      </c>
      <c r="B109" s="39" t="inlineStr">
        <is>
          <t>25.21</t>
        </is>
      </c>
      <c r="C109" s="40" t="inlineStr">
        <is>
          <t>Merkezi ısıtma radyatörleri (elektrikli radyatörler hariç) ve sıcak su kazanları (boylerleri) imalatı</t>
        </is>
      </c>
      <c r="D109" s="38" t="inlineStr">
        <is>
          <t>25</t>
        </is>
      </c>
      <c r="E109" s="40" t="inlineStr">
        <is>
          <t>Fabrikasyon metal ürünleri imalatı (makine ve teçhizat hariç)</t>
        </is>
      </c>
    </row>
    <row r="110" ht="28" customHeight="1">
      <c r="A110" s="28" t="n">
        <v>109</v>
      </c>
      <c r="B110" s="37" t="inlineStr">
        <is>
          <t>25.30</t>
        </is>
      </c>
      <c r="C110" s="30" t="inlineStr">
        <is>
          <t>Buhar jeneratörü imalatı, merkezi ısıtma sıcak su kazanları (boylerleri) hariç</t>
        </is>
      </c>
      <c r="D110" s="28" t="inlineStr">
        <is>
          <t>25</t>
        </is>
      </c>
      <c r="E110" s="30" t="inlineStr">
        <is>
          <t>Fabrikasyon metal ürünleri imalatı (makine ve teçhizat hariç)</t>
        </is>
      </c>
    </row>
    <row r="111" ht="28" customHeight="1">
      <c r="A111" s="38" t="n">
        <v>110</v>
      </c>
      <c r="B111" s="39" t="inlineStr">
        <is>
          <t>25.50</t>
        </is>
      </c>
      <c r="C111" s="40" t="inlineStr">
        <is>
          <t>Metallerin dövülmesi, preslenmesi, baskılanması ve yuvarlanması; toz metalürjisi</t>
        </is>
      </c>
      <c r="D111" s="38" t="inlineStr">
        <is>
          <t>25</t>
        </is>
      </c>
      <c r="E111" s="40" t="inlineStr">
        <is>
          <t>Fabrikasyon metal ürünleri imalatı (makine ve teçhizat hariç)</t>
        </is>
      </c>
    </row>
    <row r="112" ht="28" customHeight="1">
      <c r="A112" s="28" t="n">
        <v>111</v>
      </c>
      <c r="B112" s="37" t="inlineStr">
        <is>
          <t>25.61</t>
        </is>
      </c>
      <c r="C112" s="30" t="inlineStr">
        <is>
          <t>Metallerin işlenmesi ve kaplanması</t>
        </is>
      </c>
      <c r="D112" s="28" t="inlineStr">
        <is>
          <t>25</t>
        </is>
      </c>
      <c r="E112" s="30" t="inlineStr">
        <is>
          <t>Fabrikasyon metal ürünleri imalatı (makine ve teçhizat hariç)</t>
        </is>
      </c>
    </row>
    <row r="113" ht="28" customHeight="1">
      <c r="A113" s="38" t="n">
        <v>112</v>
      </c>
      <c r="B113" s="39" t="inlineStr">
        <is>
          <t>25.62</t>
        </is>
      </c>
      <c r="C113" s="40" t="inlineStr">
        <is>
          <t>Metallerin makinede işlenmesi ve şekil verilmesi</t>
        </is>
      </c>
      <c r="D113" s="38" t="inlineStr">
        <is>
          <t>25</t>
        </is>
      </c>
      <c r="E113" s="40" t="inlineStr">
        <is>
          <t>Fabrikasyon metal ürünleri imalatı (makine ve teçhizat hariç)</t>
        </is>
      </c>
    </row>
    <row r="114" ht="28" customHeight="1">
      <c r="A114" s="28" t="n">
        <v>113</v>
      </c>
      <c r="B114" s="37" t="inlineStr">
        <is>
          <t>25.71</t>
        </is>
      </c>
      <c r="C114" s="30" t="inlineStr">
        <is>
          <t>Çatal-bıçak takımları ve diğer kesici aletlerin imalatı</t>
        </is>
      </c>
      <c r="D114" s="28" t="inlineStr">
        <is>
          <t>25</t>
        </is>
      </c>
      <c r="E114" s="30" t="inlineStr">
        <is>
          <t>Fabrikasyon metal ürünleri imalatı (makine ve teçhizat hariç)</t>
        </is>
      </c>
    </row>
    <row r="115" ht="28" customHeight="1">
      <c r="A115" s="38" t="n">
        <v>114</v>
      </c>
      <c r="B115" s="39" t="inlineStr">
        <is>
          <t>25.73</t>
        </is>
      </c>
      <c r="C115" s="40" t="inlineStr">
        <is>
          <t>El aletleri, takım tezgahı uçları, testere ağızları vb. imalatı</t>
        </is>
      </c>
      <c r="D115" s="38" t="inlineStr">
        <is>
          <t>25</t>
        </is>
      </c>
      <c r="E115" s="40" t="inlineStr">
        <is>
          <t>Fabrikasyon metal ürünleri imalatı (makine ve teçhizat hariç)</t>
        </is>
      </c>
    </row>
    <row r="116" ht="28" customHeight="1">
      <c r="A116" s="28" t="n">
        <v>115</v>
      </c>
      <c r="B116" s="37" t="inlineStr">
        <is>
          <t>25.92</t>
        </is>
      </c>
      <c r="C116" s="30" t="inlineStr">
        <is>
          <t>Metalden hafif paketleme malzemeleri imalatı</t>
        </is>
      </c>
      <c r="D116" s="28" t="inlineStr">
        <is>
          <t>25</t>
        </is>
      </c>
      <c r="E116" s="30" t="inlineStr">
        <is>
          <t>Fabrikasyon metal ürünleri imalatı (makine ve teçhizat hariç)</t>
        </is>
      </c>
    </row>
    <row r="117" ht="28" customHeight="1">
      <c r="A117" s="38" t="n">
        <v>116</v>
      </c>
      <c r="B117" s="39" t="inlineStr">
        <is>
          <t>25.93</t>
        </is>
      </c>
      <c r="C117" s="40" t="inlineStr">
        <is>
          <t>Tel ürünleri, zincir ve yayların imalatı</t>
        </is>
      </c>
      <c r="D117" s="38" t="inlineStr">
        <is>
          <t>25</t>
        </is>
      </c>
      <c r="E117" s="40" t="inlineStr">
        <is>
          <t>Fabrikasyon metal ürünleri imalatı (makine ve teçhizat hariç)</t>
        </is>
      </c>
    </row>
    <row r="118" ht="28" customHeight="1">
      <c r="A118" s="28" t="n">
        <v>117</v>
      </c>
      <c r="B118" s="37" t="inlineStr">
        <is>
          <t>25.94</t>
        </is>
      </c>
      <c r="C118" s="30" t="inlineStr">
        <is>
          <t>Bağlantı malzemelerinin ve vida makinesi ürünlerinin imalatı</t>
        </is>
      </c>
      <c r="D118" s="28" t="inlineStr">
        <is>
          <t>25</t>
        </is>
      </c>
      <c r="E118" s="30" t="inlineStr">
        <is>
          <t>Fabrikasyon metal ürünleri imalatı (makine ve teçhizat hariç)</t>
        </is>
      </c>
    </row>
    <row r="119" ht="28" customHeight="1">
      <c r="A119" s="38" t="n">
        <v>118</v>
      </c>
      <c r="B119" s="39" t="inlineStr">
        <is>
          <t>25.99</t>
        </is>
      </c>
      <c r="C119" s="40" t="inlineStr">
        <is>
          <t>Başka yerde sınıflandırılmamış diğer fabrikasyon metal ürünlerin imalatı</t>
        </is>
      </c>
      <c r="D119" s="38" t="inlineStr">
        <is>
          <t>25</t>
        </is>
      </c>
      <c r="E119" s="40" t="inlineStr">
        <is>
          <t>Fabrikasyon metal ürünleri imalatı (makine ve teçhizat hariç)</t>
        </is>
      </c>
    </row>
    <row r="120" ht="28" customHeight="1">
      <c r="A120" s="28" t="n">
        <v>119</v>
      </c>
      <c r="B120" s="37" t="inlineStr">
        <is>
          <t>26.40</t>
        </is>
      </c>
      <c r="C120" s="30" t="inlineStr">
        <is>
          <t>Tüketici elektroniği ürünlerinin imalatı</t>
        </is>
      </c>
      <c r="D120" s="28" t="inlineStr">
        <is>
          <t>26</t>
        </is>
      </c>
      <c r="E120" s="30" t="inlineStr">
        <is>
          <t>Bilgisayarların, elektronik ve optik ürünlerin imalatı</t>
        </is>
      </c>
    </row>
    <row r="121" ht="28" customHeight="1">
      <c r="A121" s="38" t="n">
        <v>120</v>
      </c>
      <c r="B121" s="39" t="inlineStr">
        <is>
          <t>26.51</t>
        </is>
      </c>
      <c r="C121" s="40" t="inlineStr">
        <is>
          <t>Ölçme, test ve seyrüsefer amaçlı alet ve cihazların imalatı</t>
        </is>
      </c>
      <c r="D121" s="38" t="inlineStr">
        <is>
          <t>26</t>
        </is>
      </c>
      <c r="E121" s="40" t="inlineStr">
        <is>
          <t>Bilgisayarların, elektronik ve optik ürünlerin imalatı</t>
        </is>
      </c>
    </row>
    <row r="122" ht="28" customHeight="1">
      <c r="A122" s="28" t="n">
        <v>121</v>
      </c>
      <c r="B122" s="37" t="inlineStr">
        <is>
          <t>27.11</t>
        </is>
      </c>
      <c r="C122" s="30" t="inlineStr">
        <is>
          <t>Elektrik motorlarının, jeneratörlerin ve transformatörlerin imalatı</t>
        </is>
      </c>
      <c r="D122" s="28" t="inlineStr">
        <is>
          <t>27</t>
        </is>
      </c>
      <c r="E122" s="30" t="inlineStr">
        <is>
          <t>Elektrikli teçhizat imalatı</t>
        </is>
      </c>
    </row>
    <row r="123" ht="28" customHeight="1">
      <c r="A123" s="38" t="n">
        <v>122</v>
      </c>
      <c r="B123" s="39" t="inlineStr">
        <is>
          <t>27.12</t>
        </is>
      </c>
      <c r="C123" s="40" t="inlineStr">
        <is>
          <t>Elektrik dağıtım ve kontrol cihazları imalatı</t>
        </is>
      </c>
      <c r="D123" s="38" t="inlineStr">
        <is>
          <t>27</t>
        </is>
      </c>
      <c r="E123" s="40" t="inlineStr">
        <is>
          <t>Elektrikli teçhizat imalatı</t>
        </is>
      </c>
    </row>
    <row r="124" ht="28" customHeight="1">
      <c r="A124" s="28" t="n">
        <v>123</v>
      </c>
      <c r="B124" s="37" t="inlineStr">
        <is>
          <t>27.20</t>
        </is>
      </c>
      <c r="C124" s="30" t="inlineStr">
        <is>
          <t>Akümülatör ve pil imalatı</t>
        </is>
      </c>
      <c r="D124" s="28" t="inlineStr">
        <is>
          <t>27</t>
        </is>
      </c>
      <c r="E124" s="30" t="inlineStr">
        <is>
          <t>Elektrikli teçhizat imalatı</t>
        </is>
      </c>
    </row>
    <row r="125" ht="28" customHeight="1">
      <c r="A125" s="38" t="n">
        <v>124</v>
      </c>
      <c r="B125" s="39" t="inlineStr">
        <is>
          <t>27.31</t>
        </is>
      </c>
      <c r="C125" s="40" t="inlineStr">
        <is>
          <t>Fiber optik kabloların imalatı</t>
        </is>
      </c>
      <c r="D125" s="38" t="inlineStr">
        <is>
          <t>27</t>
        </is>
      </c>
      <c r="E125" s="40" t="inlineStr">
        <is>
          <t>Elektrikli teçhizat imalatı</t>
        </is>
      </c>
    </row>
    <row r="126" ht="28" customHeight="1">
      <c r="A126" s="28" t="n">
        <v>125</v>
      </c>
      <c r="B126" s="37" t="inlineStr">
        <is>
          <t>27.32</t>
        </is>
      </c>
      <c r="C126" s="30" t="inlineStr">
        <is>
          <t>Diğer elektronik ve elektrik telleri ve kablolarının imalatı</t>
        </is>
      </c>
      <c r="D126" s="28" t="inlineStr">
        <is>
          <t>27</t>
        </is>
      </c>
      <c r="E126" s="30" t="inlineStr">
        <is>
          <t>Elektrikli teçhizat imalatı</t>
        </is>
      </c>
    </row>
    <row r="127" ht="28" customHeight="1">
      <c r="A127" s="38" t="n">
        <v>126</v>
      </c>
      <c r="B127" s="39" t="inlineStr">
        <is>
          <t>27.40</t>
        </is>
      </c>
      <c r="C127" s="40" t="inlineStr">
        <is>
          <t>Elektrikli aydınlatma ekipmanlarının imalatı</t>
        </is>
      </c>
      <c r="D127" s="38" t="inlineStr">
        <is>
          <t>27</t>
        </is>
      </c>
      <c r="E127" s="40" t="inlineStr">
        <is>
          <t>Elektrikli teçhizat imalatı</t>
        </is>
      </c>
    </row>
    <row r="128" ht="28" customHeight="1">
      <c r="A128" s="28" t="n">
        <v>127</v>
      </c>
      <c r="B128" s="37" t="inlineStr">
        <is>
          <t>27.51</t>
        </is>
      </c>
      <c r="C128" s="30" t="inlineStr">
        <is>
          <t>Elektrikli ev aletlerinin imalatı</t>
        </is>
      </c>
      <c r="D128" s="28" t="inlineStr">
        <is>
          <t>27</t>
        </is>
      </c>
      <c r="E128" s="30" t="inlineStr">
        <is>
          <t>Elektrikli teçhizat imalatı</t>
        </is>
      </c>
    </row>
    <row r="129" ht="28" customHeight="1">
      <c r="A129" s="38" t="n">
        <v>128</v>
      </c>
      <c r="B129" s="39" t="inlineStr">
        <is>
          <t>28.12</t>
        </is>
      </c>
      <c r="C129" s="40" t="inlineStr">
        <is>
          <t>Akışkan gücü ile çalışan ekipmanların imalatı</t>
        </is>
      </c>
      <c r="D129" s="38" t="inlineStr">
        <is>
          <t>28</t>
        </is>
      </c>
      <c r="E129" s="40" t="inlineStr">
        <is>
          <t>Başka yerde sınıflandırılmamış makine ve ekipman imalatı</t>
        </is>
      </c>
    </row>
    <row r="130" ht="28" customHeight="1">
      <c r="A130" s="28" t="n">
        <v>129</v>
      </c>
      <c r="B130" s="37" t="inlineStr">
        <is>
          <t>28.14</t>
        </is>
      </c>
      <c r="C130" s="30" t="inlineStr">
        <is>
          <t>Diğer musluk ve valf/vana imalatı</t>
        </is>
      </c>
      <c r="D130" s="28" t="inlineStr">
        <is>
          <t>28</t>
        </is>
      </c>
      <c r="E130" s="30" t="inlineStr">
        <is>
          <t>Başka yerde sınıflandırılmamış makine ve ekipman imalatı</t>
        </is>
      </c>
    </row>
    <row r="131" ht="28" customHeight="1">
      <c r="A131" s="38" t="n">
        <v>130</v>
      </c>
      <c r="B131" s="39" t="inlineStr">
        <is>
          <t>28.15</t>
        </is>
      </c>
      <c r="C131" s="40" t="inlineStr">
        <is>
          <t>Rulman, dişli/dişli takımı, şanzıman ve tahrik elemanlarının imalatı</t>
        </is>
      </c>
      <c r="D131" s="38" t="inlineStr">
        <is>
          <t>28</t>
        </is>
      </c>
      <c r="E131" s="40" t="inlineStr">
        <is>
          <t>Başka yerde sınıflandırılmamış makine ve ekipman imalatı</t>
        </is>
      </c>
    </row>
    <row r="132" ht="28" customHeight="1">
      <c r="A132" s="28" t="n">
        <v>131</v>
      </c>
      <c r="B132" s="37" t="inlineStr">
        <is>
          <t>28.22</t>
        </is>
      </c>
      <c r="C132" s="30" t="inlineStr">
        <is>
          <t>Kaldırma ve taşıma ekipmanları imalatı</t>
        </is>
      </c>
      <c r="D132" s="28" t="inlineStr">
        <is>
          <t>28</t>
        </is>
      </c>
      <c r="E132" s="30" t="inlineStr">
        <is>
          <t>Başka yerde sınıflandırılmamış makine ve ekipman imalatı</t>
        </is>
      </c>
    </row>
    <row r="133" ht="28" customHeight="1">
      <c r="A133" s="38" t="n">
        <v>132</v>
      </c>
      <c r="B133" s="39" t="inlineStr">
        <is>
          <t>28.25</t>
        </is>
      </c>
      <c r="C133" s="40" t="inlineStr">
        <is>
          <t>Soğutma ve havalandırma donanımlarının imalatı, evde kullanılanlar hariç</t>
        </is>
      </c>
      <c r="D133" s="38" t="inlineStr">
        <is>
          <t>28</t>
        </is>
      </c>
      <c r="E133" s="40" t="inlineStr">
        <is>
          <t>Başka yerde sınıflandırılmamış makine ve ekipman imalatı</t>
        </is>
      </c>
    </row>
    <row r="134" ht="28" customHeight="1">
      <c r="A134" s="28" t="n">
        <v>133</v>
      </c>
      <c r="B134" s="37" t="inlineStr">
        <is>
          <t>28.92</t>
        </is>
      </c>
      <c r="C134" s="30" t="inlineStr">
        <is>
          <t>Maden, taş ocağı ve inşaat makineleri imalatı</t>
        </is>
      </c>
      <c r="D134" s="28" t="inlineStr">
        <is>
          <t>28</t>
        </is>
      </c>
      <c r="E134" s="30" t="inlineStr">
        <is>
          <t>Başka yerde sınıflandırılmamış makine ve ekipman imalatı</t>
        </is>
      </c>
    </row>
    <row r="135" ht="28" customHeight="1">
      <c r="A135" s="38" t="n">
        <v>134</v>
      </c>
      <c r="B135" s="39" t="inlineStr">
        <is>
          <t>28.94</t>
        </is>
      </c>
      <c r="C135" s="40" t="inlineStr">
        <is>
          <t>Tekstil, giyim eşyası ve deri üretiminde kullanılan makinelerin imalatı</t>
        </is>
      </c>
      <c r="D135" s="38" t="inlineStr">
        <is>
          <t>28</t>
        </is>
      </c>
      <c r="E135" s="40" t="inlineStr">
        <is>
          <t>Başka yerde sınıflandırılmamış makine ve ekipman imalatı</t>
        </is>
      </c>
    </row>
    <row r="136" ht="28" customHeight="1">
      <c r="A136" s="28" t="n">
        <v>135</v>
      </c>
      <c r="B136" s="37" t="inlineStr">
        <is>
          <t>28.99</t>
        </is>
      </c>
      <c r="C136" s="30" t="inlineStr">
        <is>
          <t>Başka yerde sınıflandırılmamış diğer özel amaçlı makinelerin imalatı</t>
        </is>
      </c>
      <c r="D136" s="28" t="inlineStr">
        <is>
          <t>28</t>
        </is>
      </c>
      <c r="E136" s="30" t="inlineStr">
        <is>
          <t>Başka yerde sınıflandırılmamış makine ve ekipman imalatı</t>
        </is>
      </c>
    </row>
    <row r="137" ht="28" customHeight="1">
      <c r="A137" s="38" t="n">
        <v>136</v>
      </c>
      <c r="B137" s="39" t="inlineStr">
        <is>
          <t>29.10</t>
        </is>
      </c>
      <c r="C137" s="40" t="inlineStr">
        <is>
          <t>Motorlu kara taşıtlarının imalatı</t>
        </is>
      </c>
      <c r="D137" s="38" t="inlineStr">
        <is>
          <t>29</t>
        </is>
      </c>
      <c r="E137" s="40" t="inlineStr">
        <is>
          <t>Motorlu kara taşıtı, treyler (römork) ve yarı treyler (yarı römork) imalatı</t>
        </is>
      </c>
    </row>
    <row r="138" ht="28" customHeight="1">
      <c r="A138" s="28" t="n">
        <v>137</v>
      </c>
      <c r="B138" s="37" t="inlineStr">
        <is>
          <t>29.20</t>
        </is>
      </c>
      <c r="C138" s="30" t="inlineStr">
        <is>
          <t>Motorlu kara taşıtları karoseri (kaporta) imalatı; treyler (römork) ve yarı treyler (yarı römork) imalatı</t>
        </is>
      </c>
      <c r="D138" s="28" t="inlineStr">
        <is>
          <t>29</t>
        </is>
      </c>
      <c r="E138" s="30" t="inlineStr">
        <is>
          <t>Motorlu kara taşıtı, treyler (römork) ve yarı treyler (yarı römork) imalatı</t>
        </is>
      </c>
    </row>
    <row r="139" ht="28" customHeight="1">
      <c r="A139" s="38" t="n">
        <v>138</v>
      </c>
      <c r="B139" s="39" t="inlineStr">
        <is>
          <t>29.32</t>
        </is>
      </c>
      <c r="C139" s="40" t="inlineStr">
        <is>
          <t>Motorlu kara taşıtları için diğer parça ve aksesuarların imalatı</t>
        </is>
      </c>
      <c r="D139" s="38" t="inlineStr">
        <is>
          <t>29</t>
        </is>
      </c>
      <c r="E139" s="40" t="inlineStr">
        <is>
          <t>Motorlu kara taşıtı, treyler (römork) ve yarı treyler (yarı römork) imalatı</t>
        </is>
      </c>
    </row>
    <row r="140" ht="28" customHeight="1">
      <c r="A140" s="28" t="n">
        <v>139</v>
      </c>
      <c r="B140" s="37" t="inlineStr">
        <is>
          <t>30.11</t>
        </is>
      </c>
      <c r="C140" s="30" t="inlineStr">
        <is>
          <t>Gemilerin ve yüzen yapıların inşası</t>
        </is>
      </c>
      <c r="D140" s="28" t="inlineStr">
        <is>
          <t>30</t>
        </is>
      </c>
      <c r="E140" s="30" t="inlineStr">
        <is>
          <t>Diğer ulaşım araçlarının imalatı</t>
        </is>
      </c>
    </row>
    <row r="141" ht="28" customHeight="1">
      <c r="A141" s="38" t="n">
        <v>140</v>
      </c>
      <c r="B141" s="39" t="inlineStr">
        <is>
          <t>30.20</t>
        </is>
      </c>
      <c r="C141" s="40" t="inlineStr">
        <is>
          <t>Demir yolu lokomotifleri ve vagonlarının imalatı</t>
        </is>
      </c>
      <c r="D141" s="38" t="inlineStr">
        <is>
          <t>30</t>
        </is>
      </c>
      <c r="E141" s="40" t="inlineStr">
        <is>
          <t>Diğer ulaşım araçlarının imalatı</t>
        </is>
      </c>
    </row>
    <row r="142" ht="28" customHeight="1">
      <c r="A142" s="28" t="n">
        <v>141</v>
      </c>
      <c r="B142" s="37" t="inlineStr">
        <is>
          <t>32.12</t>
        </is>
      </c>
      <c r="C142" s="30" t="inlineStr">
        <is>
          <t>Mücevher ve benzeri eşyaların imalatı</t>
        </is>
      </c>
      <c r="D142" s="28" t="inlineStr">
        <is>
          <t>32</t>
        </is>
      </c>
      <c r="E142" s="30" t="inlineStr">
        <is>
          <t>Diğer imalatlar</t>
        </is>
      </c>
    </row>
    <row r="143" ht="28" customHeight="1">
      <c r="A143" s="38" t="n">
        <v>142</v>
      </c>
      <c r="B143" s="39" t="inlineStr">
        <is>
          <t>32.40</t>
        </is>
      </c>
      <c r="C143" s="40" t="inlineStr">
        <is>
          <t>Oyun ve oyuncak imalatı</t>
        </is>
      </c>
      <c r="D143" s="38" t="inlineStr">
        <is>
          <t>32</t>
        </is>
      </c>
      <c r="E143" s="40" t="inlineStr">
        <is>
          <t>Diğer imalatlar</t>
        </is>
      </c>
    </row>
    <row r="144" ht="28" customHeight="1">
      <c r="A144" s="28" t="n">
        <v>143</v>
      </c>
      <c r="B144" s="37" t="inlineStr">
        <is>
          <t>33.16</t>
        </is>
      </c>
      <c r="C144" s="30" t="inlineStr">
        <is>
          <t>Hava taşıtlarının ve uzay araçlarının bakım ve onarımı</t>
        </is>
      </c>
      <c r="D144" s="28" t="inlineStr">
        <is>
          <t>33</t>
        </is>
      </c>
      <c r="E144" s="30" t="inlineStr">
        <is>
          <t>Makine ve ekipmanların kurulumu ve onarımı</t>
        </is>
      </c>
    </row>
    <row r="145" ht="28" customHeight="1">
      <c r="A145" s="38" t="n">
        <v>144</v>
      </c>
      <c r="B145" s="39" t="inlineStr">
        <is>
          <t>33.20</t>
        </is>
      </c>
      <c r="C145" s="40" t="inlineStr">
        <is>
          <t>Sanayi makine ve ekipmanlarının kurulumu</t>
        </is>
      </c>
      <c r="D145" s="38" t="inlineStr">
        <is>
          <t>33</t>
        </is>
      </c>
      <c r="E145" s="40" t="inlineStr">
        <is>
          <t>Makine ve ekipmanların kurulumu ve onarımı</t>
        </is>
      </c>
    </row>
    <row r="146" ht="28" customHeight="1">
      <c r="A146" s="28" t="n">
        <v>145</v>
      </c>
      <c r="B146" s="37" t="inlineStr">
        <is>
          <t>35.11</t>
        </is>
      </c>
      <c r="C146" s="30" t="inlineStr">
        <is>
          <t>Elektrik enerjisi üretimi</t>
        </is>
      </c>
      <c r="D146" s="28" t="inlineStr">
        <is>
          <t>35</t>
        </is>
      </c>
      <c r="E146" s="30" t="inlineStr">
        <is>
          <t>Elektrik, gaz, buhar ve havalandırma sistemi üretim ve dağıtımı</t>
        </is>
      </c>
    </row>
    <row r="147" ht="28" customHeight="1">
      <c r="A147" s="38" t="n">
        <v>146</v>
      </c>
      <c r="B147" s="39" t="inlineStr">
        <is>
          <t>35.30</t>
        </is>
      </c>
      <c r="C147" s="40" t="inlineStr">
        <is>
          <t>Buhar ve iklimlendirme temini</t>
        </is>
      </c>
      <c r="D147" s="38" t="inlineStr">
        <is>
          <t>35</t>
        </is>
      </c>
      <c r="E147" s="40" t="inlineStr">
        <is>
          <t>Elektrik, gaz, buhar ve havalandırma sistemi üretim ve dağıtımı</t>
        </is>
      </c>
    </row>
    <row r="148" ht="28" customHeight="1">
      <c r="A148" s="28" t="n">
        <v>147</v>
      </c>
      <c r="B148" s="37" t="inlineStr">
        <is>
          <t>38.32</t>
        </is>
      </c>
      <c r="C148" s="30" t="inlineStr">
        <is>
          <t>Tasnif edilmiş materyallerin geri kazanımı</t>
        </is>
      </c>
      <c r="D148" s="28" t="inlineStr">
        <is>
          <t>38</t>
        </is>
      </c>
      <c r="E148" s="30" t="inlineStr">
        <is>
          <t>Atığın toplanması, ıslahı ve bertarafı faaliyetleri; maddelerin geri kazanımı</t>
        </is>
      </c>
    </row>
    <row r="149" ht="28" customHeight="1">
      <c r="A149" s="38" t="n">
        <v>148</v>
      </c>
      <c r="B149" s="39" t="inlineStr">
        <is>
          <t>42.12</t>
        </is>
      </c>
      <c r="C149" s="40" t="inlineStr">
        <is>
          <t>Demir yolları ve metroların inşaatı</t>
        </is>
      </c>
      <c r="D149" s="38" t="inlineStr">
        <is>
          <t>42</t>
        </is>
      </c>
      <c r="E149" s="40" t="inlineStr">
        <is>
          <t>Bina dışı yapıların inşaatı</t>
        </is>
      </c>
    </row>
  </sheetData>
  <autoFilter ref="A1:E149"/>
  <pageMargins left="0.75" right="0.75" top="1" bottom="1" header="0.5" footer="0.5"/>
  <pageSetup orientation="landscape" fitToHeight="0" fitToWidth="1"/>
  <headerFooter>
    <oddHeader>&amp;LSu Verimliliği Yönetmeliği Ek-2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6" customHeight="1">
      <c r="A1" s="41" t="inlineStr">
        <is>
          <t>Su Verimliliği Yönetmeliği — Kapsam Kontrol Tablosu Kullanım Kılavuzu</t>
        </is>
      </c>
    </row>
    <row r="3" ht="22" customHeight="1">
      <c r="A3" s="42" t="inlineStr">
        <is>
          <t>Kural</t>
        </is>
      </c>
    </row>
    <row r="4" ht="78" customHeight="1">
      <c r="A4" s="43" t="inlineStr">
        <is>
          <t>Firma KAPSAMDA sayılır ancak şu iki şart birlikte sağlanır:
1) NACE kodu, 27.12.2024 tarihli Su Verimliliği Yönetmeliği Ek-2 listesinde yer alır.
2) Çalışan sayısı 50 ve üzeridir (yönetmelikteki “50 ve üzeri çalışan” ifadesi).
Aksi halde sonuç KAPSAM DIŞI olur.</t>
        </is>
      </c>
    </row>
    <row r="6" ht="22" customHeight="1">
      <c r="A6" s="42" t="inlineStr">
        <is>
          <t>Nasıl doldurulur?</t>
        </is>
      </c>
    </row>
    <row r="7" ht="78" customHeight="1">
      <c r="A7" s="43" t="inlineStr">
        <is>
          <t>Sadece “Firma Kontrolü” sayfasındaki sarı hücrelere yazın:
• Firma Adı
• NACE Kodu (ör. 10.11 veya 10.11.01 — tablo ilk dört haneyi kullanır)
• Çalışan Sayısı
Kapsam Durumu, gerekçe ve faaliyet açıklaması otomatik dolar. Formül hücrelerini değiştirmeyin.</t>
        </is>
      </c>
    </row>
    <row r="9" ht="22" customHeight="1">
      <c r="A9" s="42" t="inlineStr">
        <is>
          <t>Renkler</t>
        </is>
      </c>
    </row>
    <row r="10" ht="78" customHeight="1">
      <c r="A10" s="43" t="inlineStr">
        <is>
          <t>Kırmızı / KAPSAMDA = NACE listede + çalışan sayısı ≥ 50.
Yeşil / KAPSAM DIŞI = NACE listede değil veya çalışan sayısı 50’nin altında.</t>
        </is>
      </c>
    </row>
    <row r="12" ht="22" customHeight="1">
      <c r="A12" s="42" t="inlineStr">
        <is>
          <t>Kaynak</t>
        </is>
      </c>
    </row>
    <row r="13" ht="78" customHeight="1">
      <c r="A13" s="43" t="inlineStr">
        <is>
          <t>Resmî Gazete: 27 Aralık 2024, Sayı 32765 — Su Verimliliği Yönetmeliği, Ek-2 NACE Kodu Listesi (148 kod).
Endüstriyel tesisler için sistem kurulum süresi yönetmelik yayımından itibaren 18 aydır.</t>
        </is>
      </c>
    </row>
    <row r="15" ht="22" customHeight="1">
      <c r="A15" s="42" t="inlineStr">
        <is>
          <t>Not</t>
        </is>
      </c>
    </row>
    <row r="16" ht="92" customHeight="1">
      <c r="A16" s="43" t="inlineStr">
        <is>
          <t>Organize sanayi bölgeleri, serbest bölgeler ve endüstri bölgeleri NACE/çalışan sayısından bağımsız olarak ayrıca yükümlüdür. Bu tablo münferit endüstriyel işletmeler içindir.
13 Mart 2025 tarihli kılavuz güncellemesinde bazı Ek-2 kodları gönüllü statüsüne alınmıştır. Bu dosya yönetmeliğin Ek-2 listesine ve sizin belirttiğiniz iki şarta göre çalışır.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 Verimliliği Kapsam Tablosu</dc:creator>
  <dc:title>Su Verimliliği Yönetmeliği Firma Kapsam Kontrolü</dc:title>
  <dc:subject>Ek-2 NACE listesi ve 50+ çalışan kuralı</dc:subject>
  <dcterms:created xsi:type="dcterms:W3CDTF">2026-09-17T07:44:53Z</dcterms:created>
  <dcterms:modified xsi:type="dcterms:W3CDTF">2026-09-17T07:44:53Z</dcterms:modified>
</cp:coreProperties>
</file>
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kip Paneli" sheetId="1" state="visible" r:id="rId1"/>
    <sheet name="Özet" sheetId="2" state="visible" r:id="rId2"/>
    <sheet name="Listeler" sheetId="3" state="hidden" r:id="rId3"/>
  </sheets>
  <definedNames>
    <definedName name="VarYok">Listeler!$A$2:$A$3</definedName>
    <definedName name="Guncel">Listeler!$B$2:$B$4</definedName>
    <definedName name="Uygun">Listeler!$C$2:$C$4</definedName>
    <definedName name="Mevcut">Listeler!$D$2:$D$4</definedName>
    <definedName name="Mulkiyet">Listeler!$E$2:$E$4</definedName>
    <definedName name="CedVar">Listeler!$F$2:$F$4</definedName>
    <definedName name="CedTur">Listeler!$G$2:$G$5</definedName>
    <definedName name="CedEk">Listeler!$H$2:$H$4</definedName>
    <definedName name="Taahhut">Listeler!$I$2:$I$5</definedName>
    <definedName name="Degisim">Listeler!$J$2:$J$4</definedName>
    <definedName name="IzinGorus">Listeler!$K$2:$K$5</definedName>
    <definedName name="IzinEk">Listeler!$L$2:$L$5</definedName>
    <definedName name="IzinVar">Listeler!$M$2:$M$5</definedName>
    <definedName name="Yenileme">Listeler!$N$2:$N$6</definedName>
    <definedName name="Gfb">Listeler!$O$2:$O$4</definedName>
    <definedName name="Rapor">Listeler!$P$2:$P$5</definedName>
    <definedName name="SifirKontrol">Listeler!$Q$2:$Q$5</definedName>
    <definedName name="Beyan">Listeler!$R$2:$R$4</definedName>
    <definedName name="Gerekli">Listeler!$S$2:$S$4</definedName>
    <definedName name="Gekap">Listeler!$T$2:$T$4</definedName>
    <definedName name="BekraKapsam">Listeler!$U$2:$U$4</definedName>
    <definedName name="BekraSeviye">Listeler!$V$2:$V$4</definedName>
    <definedName name="BekraGuncel">Listeler!$W$2:$W$4</definedName>
    <definedName name="HatAyri">Listeler!$X$2:$X$4</definedName>
    <definedName name="Kapanis">Listeler!$Y$2:$Y$4</definedName>
    <definedName name="Tutanak">Listeler!$Z$2:$Z$4</definedName>
    <definedName name="Iller">Listeler!$AA$2:$AA$82</definedName>
    <definedName name="_xlnm.Print_Titles" localSheetId="0">'Takip Paneli'!$1:$4,'Takip Paneli'!$A:$B</definedName>
    <definedName name="_xlnm._FilterDatabase" localSheetId="1" hidden="1">'Özet'!$A$4:$K$34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21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b val="1"/>
      <color rgb="00FFFFFF"/>
      <sz val="18"/>
    </font>
    <font>
      <name val="Calibri"/>
      <color rgb="001F2933"/>
      <sz val="11"/>
    </font>
    <font>
      <name val="Calibri"/>
      <b val="1"/>
      <color rgb="00FFFFFF"/>
      <sz val="11"/>
    </font>
    <font>
      <name val="Calibri"/>
      <b val="1"/>
      <color rgb="001F4E3D"/>
      <sz val="12"/>
    </font>
    <font>
      <name val="Calibri"/>
      <color rgb="00374151"/>
      <sz val="10"/>
    </font>
    <font>
      <name val="Calibri"/>
      <b val="1"/>
      <color rgb="00FFFFFF"/>
      <sz val="12"/>
    </font>
    <font>
      <name val="Calibri"/>
      <b val="1"/>
      <color rgb="001F2933"/>
      <sz val="11"/>
    </font>
    <font>
      <name val="Calibri"/>
      <color rgb="004B5563"/>
      <sz val="10"/>
    </font>
    <font>
      <name val="Calibri"/>
      <b val="1"/>
      <color rgb="001D4E89"/>
      <sz val="10"/>
    </font>
    <font>
      <name val="Calibri"/>
      <b val="1"/>
      <color rgb="000F766E"/>
      <sz val="10"/>
    </font>
    <font>
      <name val="Calibri"/>
      <b val="1"/>
      <color rgb="001D4ED8"/>
      <sz val="10"/>
    </font>
    <font>
      <name val="Calibri"/>
      <i val="1"/>
      <color rgb="001E3A5F"/>
      <sz val="11"/>
    </font>
    <font>
      <name val="Calibri"/>
      <b val="1"/>
      <color rgb="001E3A5F"/>
      <sz val="14"/>
    </font>
    <font>
      <name val="Calibri"/>
      <b val="1"/>
      <color rgb="00FFFFFF"/>
    </font>
    <font>
      <name val="Calibri"/>
      <b val="1"/>
      <color rgb="001F4E3D"/>
      <sz val="14"/>
    </font>
    <font>
      <name val="Calibri"/>
      <b val="1"/>
      <color rgb="007C2D12"/>
    </font>
    <font>
      <name val="Calibri"/>
      <b val="1"/>
      <color rgb="009C0006"/>
      <sz val="16"/>
    </font>
    <font>
      <name val="Calibri"/>
      <i val="1"/>
      <color rgb="004B5563"/>
      <sz val="10"/>
    </font>
    <font>
      <name val="Calibri"/>
      <b val="1"/>
      <color rgb="006B7280"/>
    </font>
  </fonts>
  <fills count="32">
    <fill>
      <patternFill/>
    </fill>
    <fill>
      <patternFill patternType="gray125"/>
    </fill>
    <fill>
      <patternFill patternType="solid">
        <fgColor rgb="00143D32"/>
      </patternFill>
    </fill>
    <fill>
      <patternFill patternType="solid">
        <fgColor rgb="00F8FAF8"/>
      </patternFill>
    </fill>
    <fill>
      <patternFill patternType="solid">
        <fgColor rgb="001F4E3D"/>
      </patternFill>
    </fill>
    <fill>
      <patternFill patternType="solid">
        <fgColor rgb="00D1FAE5"/>
      </patternFill>
    </fill>
    <fill>
      <patternFill patternType="solid">
        <fgColor rgb="00F3F4F6"/>
      </patternFill>
    </fill>
    <fill>
      <patternFill patternType="solid">
        <fgColor rgb="001F2933"/>
      </patternFill>
    </fill>
    <fill>
      <patternFill patternType="solid">
        <fgColor rgb="001B4332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1D4E89"/>
      </patternFill>
    </fill>
    <fill>
      <patternFill patternType="solid">
        <fgColor rgb="00E8F1FB"/>
      </patternFill>
    </fill>
    <fill>
      <patternFill patternType="solid">
        <fgColor rgb="007A3E12"/>
      </patternFill>
    </fill>
    <fill>
      <patternFill patternType="solid">
        <fgColor rgb="00FBF1E6"/>
      </patternFill>
    </fill>
    <fill>
      <patternFill patternType="solid">
        <fgColor rgb="003F4C6B"/>
      </patternFill>
    </fill>
    <fill>
      <patternFill patternType="solid">
        <fgColor rgb="00EEF0F6"/>
      </patternFill>
    </fill>
    <fill>
      <patternFill patternType="solid">
        <fgColor rgb="000E7490"/>
      </patternFill>
    </fill>
    <fill>
      <patternFill patternType="solid">
        <fgColor rgb="00E7F6F9"/>
      </patternFill>
    </fill>
    <fill>
      <patternFill patternType="solid">
        <fgColor rgb="003F6212"/>
      </patternFill>
    </fill>
    <fill>
      <patternFill patternType="solid">
        <fgColor rgb="00F1F6E8"/>
      </patternFill>
    </fill>
    <fill>
      <patternFill patternType="solid">
        <fgColor rgb="006B4F2A"/>
      </patternFill>
    </fill>
    <fill>
      <patternFill patternType="solid">
        <fgColor rgb="00F8F1E7"/>
      </patternFill>
    </fill>
    <fill>
      <patternFill patternType="solid">
        <fgColor rgb="005B3A6E"/>
      </patternFill>
    </fill>
    <fill>
      <patternFill patternType="solid">
        <fgColor rgb="00F6F0FA"/>
      </patternFill>
    </fill>
    <fill>
      <patternFill patternType="solid">
        <fgColor rgb="007F1D1D"/>
      </patternFill>
    </fill>
    <fill>
      <patternFill patternType="solid">
        <fgColor rgb="00FDECEC"/>
      </patternFill>
    </fill>
    <fill>
      <patternFill patternType="solid">
        <fgColor rgb="001E3A5F"/>
      </patternFill>
    </fill>
    <fill>
      <patternFill patternType="solid">
        <fgColor rgb="00E7F0FA"/>
      </patternFill>
    </fill>
    <fill>
      <patternFill patternType="solid">
        <fgColor rgb="00DBEAFE"/>
      </patternFill>
    </fill>
    <fill>
      <patternFill patternType="solid">
        <fgColor rgb="00BFDBFE"/>
      </patternFill>
    </fill>
    <fill>
      <patternFill patternType="solid">
        <fgColor rgb="007C2D12"/>
      </patternFill>
    </fill>
  </fills>
  <borders count="3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3" fillId="3" borderId="0" applyAlignment="1" pivotButton="0" quotePrefix="0" xfId="0">
      <alignment horizontal="left" vertical="center" wrapText="1" indent="1"/>
    </xf>
    <xf numFmtId="0" fontId="0" fillId="3" borderId="0" pivotButton="0" quotePrefix="0" xfId="0"/>
    <xf numFmtId="0" fontId="4" fillId="4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left" vertical="center" indent="1"/>
    </xf>
    <xf numFmtId="0" fontId="0" fillId="8" borderId="2" pivotButton="0" quotePrefix="0" xfId="0"/>
    <xf numFmtId="0" fontId="8" fillId="9" borderId="1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/>
    </xf>
    <xf numFmtId="0" fontId="3" fillId="10" borderId="1" applyAlignment="1" applyProtection="1" pivotButton="0" quotePrefix="0" xfId="0">
      <alignment horizontal="left" vertical="center" wrapText="1"/>
      <protection locked="0" hidden="0"/>
    </xf>
    <xf numFmtId="0" fontId="10" fillId="9" borderId="1" applyAlignment="1" pivotButton="0" quotePrefix="0" xfId="0">
      <alignment horizontal="center" vertical="center"/>
    </xf>
    <xf numFmtId="0" fontId="3" fillId="10" borderId="1" applyAlignment="1" applyProtection="1" pivotButton="0" quotePrefix="0" xfId="0">
      <alignment horizontal="center" vertical="center" wrapText="1"/>
      <protection locked="0" hidden="0"/>
    </xf>
    <xf numFmtId="49" fontId="3" fillId="10" borderId="1" applyAlignment="1" applyProtection="1" pivotButton="0" quotePrefix="0" xfId="0">
      <alignment horizontal="center" vertical="center"/>
      <protection locked="0" hidden="0"/>
    </xf>
    <xf numFmtId="0" fontId="11" fillId="9" borderId="1" applyAlignment="1" pivotButton="0" quotePrefix="0" xfId="0">
      <alignment horizontal="center" vertical="center"/>
    </xf>
    <xf numFmtId="164" fontId="3" fillId="10" borderId="1" applyAlignment="1" applyProtection="1" pivotButton="0" quotePrefix="0" xfId="0">
      <alignment horizontal="center" vertical="center" wrapText="1"/>
      <protection locked="0" hidden="0"/>
    </xf>
    <xf numFmtId="0" fontId="7" fillId="11" borderId="0" applyAlignment="1" pivotButton="0" quotePrefix="0" xfId="0">
      <alignment horizontal="left" vertical="center" indent="1"/>
    </xf>
    <xf numFmtId="0" fontId="0" fillId="11" borderId="2" pivotButton="0" quotePrefix="0" xfId="0"/>
    <xf numFmtId="0" fontId="8" fillId="12" borderId="1" applyAlignment="1" pivotButton="0" quotePrefix="0" xfId="0">
      <alignment horizontal="left" vertical="center" wrapText="1" indent="1"/>
    </xf>
    <xf numFmtId="0" fontId="10" fillId="12" borderId="1" applyAlignment="1" pivotButton="0" quotePrefix="0" xfId="0">
      <alignment horizontal="center" vertical="center"/>
    </xf>
    <xf numFmtId="0" fontId="7" fillId="13" borderId="0" applyAlignment="1" pivotButton="0" quotePrefix="0" xfId="0">
      <alignment horizontal="left" vertical="center" indent="1"/>
    </xf>
    <xf numFmtId="0" fontId="0" fillId="13" borderId="2" pivotButton="0" quotePrefix="0" xfId="0"/>
    <xf numFmtId="0" fontId="8" fillId="14" borderId="1" applyAlignment="1" pivotButton="0" quotePrefix="0" xfId="0">
      <alignment horizontal="left" vertical="center" wrapText="1" indent="1"/>
    </xf>
    <xf numFmtId="0" fontId="10" fillId="14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7" fillId="15" borderId="0" applyAlignment="1" pivotButton="0" quotePrefix="0" xfId="0">
      <alignment horizontal="left" vertical="center" indent="1"/>
    </xf>
    <xf numFmtId="0" fontId="0" fillId="15" borderId="2" pivotButton="0" quotePrefix="0" xfId="0"/>
    <xf numFmtId="0" fontId="8" fillId="16" borderId="1" applyAlignment="1" pivotButton="0" quotePrefix="0" xfId="0">
      <alignment horizontal="left" vertical="center" wrapText="1" indent="1"/>
    </xf>
    <xf numFmtId="0" fontId="10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1" fontId="3" fillId="10" borderId="1" applyAlignment="1" applyProtection="1" pivotButton="0" quotePrefix="0" xfId="0">
      <alignment horizontal="center" vertical="center" wrapText="1"/>
      <protection locked="0" hidden="0"/>
    </xf>
    <xf numFmtId="0" fontId="11" fillId="16" borderId="1" applyAlignment="1" pivotButton="0" quotePrefix="0" xfId="0">
      <alignment horizontal="center" vertical="center"/>
    </xf>
    <xf numFmtId="0" fontId="7" fillId="17" borderId="0" applyAlignment="1" pivotButton="0" quotePrefix="0" xfId="0">
      <alignment horizontal="left" vertical="center" indent="1"/>
    </xf>
    <xf numFmtId="0" fontId="0" fillId="17" borderId="2" pivotButton="0" quotePrefix="0" xfId="0"/>
    <xf numFmtId="0" fontId="8" fillId="18" borderId="1" applyAlignment="1" pivotButton="0" quotePrefix="0" xfId="0">
      <alignment horizontal="left" vertical="center" wrapText="1" indent="1"/>
    </xf>
    <xf numFmtId="0" fontId="10" fillId="18" borderId="1" applyAlignment="1" pivotButton="0" quotePrefix="0" xfId="0">
      <alignment horizontal="center" vertical="center"/>
    </xf>
    <xf numFmtId="0" fontId="9" fillId="18" borderId="1" applyAlignment="1" pivotButton="0" quotePrefix="0" xfId="0">
      <alignment horizontal="center" vertical="center"/>
    </xf>
    <xf numFmtId="0" fontId="11" fillId="18" borderId="1" applyAlignment="1" pivotButton="0" quotePrefix="0" xfId="0">
      <alignment horizontal="center" vertical="center"/>
    </xf>
    <xf numFmtId="0" fontId="7" fillId="19" borderId="0" applyAlignment="1" pivotButton="0" quotePrefix="0" xfId="0">
      <alignment horizontal="left" vertical="center" indent="1"/>
    </xf>
    <xf numFmtId="0" fontId="0" fillId="19" borderId="2" pivotButton="0" quotePrefix="0" xfId="0"/>
    <xf numFmtId="0" fontId="8" fillId="20" borderId="1" applyAlignment="1" pivotButton="0" quotePrefix="0" xfId="0">
      <alignment horizontal="left" vertical="center" wrapText="1" indent="1"/>
    </xf>
    <xf numFmtId="0" fontId="10" fillId="20" borderId="1" applyAlignment="1" pivotButton="0" quotePrefix="0" xfId="0">
      <alignment horizontal="center" vertical="center"/>
    </xf>
    <xf numFmtId="0" fontId="11" fillId="20" borderId="1" applyAlignment="1" pivotButton="0" quotePrefix="0" xfId="0">
      <alignment horizontal="center" vertical="center"/>
    </xf>
    <xf numFmtId="0" fontId="9" fillId="20" borderId="1" applyAlignment="1" pivotButton="0" quotePrefix="0" xfId="0">
      <alignment horizontal="center" vertical="center"/>
    </xf>
    <xf numFmtId="0" fontId="7" fillId="21" borderId="0" applyAlignment="1" pivotButton="0" quotePrefix="0" xfId="0">
      <alignment horizontal="left" vertical="center" indent="1"/>
    </xf>
    <xf numFmtId="0" fontId="0" fillId="21" borderId="2" pivotButton="0" quotePrefix="0" xfId="0"/>
    <xf numFmtId="0" fontId="8" fillId="22" borderId="1" applyAlignment="1" pivotButton="0" quotePrefix="0" xfId="0">
      <alignment horizontal="left" vertical="center" wrapText="1" indent="1"/>
    </xf>
    <xf numFmtId="0" fontId="10" fillId="22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7" fillId="23" borderId="0" applyAlignment="1" pivotButton="0" quotePrefix="0" xfId="0">
      <alignment horizontal="left" vertical="center" indent="1"/>
    </xf>
    <xf numFmtId="0" fontId="0" fillId="23" borderId="2" pivotButton="0" quotePrefix="0" xfId="0"/>
    <xf numFmtId="0" fontId="8" fillId="24" borderId="1" applyAlignment="1" pivotButton="0" quotePrefix="0" xfId="0">
      <alignment horizontal="left" vertical="center" wrapText="1" indent="1"/>
    </xf>
    <xf numFmtId="0" fontId="11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7" fillId="25" borderId="0" applyAlignment="1" pivotButton="0" quotePrefix="0" xfId="0">
      <alignment horizontal="left" vertical="center" indent="1"/>
    </xf>
    <xf numFmtId="0" fontId="0" fillId="25" borderId="2" pivotButton="0" quotePrefix="0" xfId="0"/>
    <xf numFmtId="0" fontId="8" fillId="26" borderId="1" applyAlignment="1" pivotButton="0" quotePrefix="0" xfId="0">
      <alignment horizontal="left" vertical="center" wrapText="1" indent="1"/>
    </xf>
    <xf numFmtId="0" fontId="10" fillId="26" borderId="1" applyAlignment="1" pivotButton="0" quotePrefix="0" xfId="0">
      <alignment horizontal="center" vertical="center"/>
    </xf>
    <xf numFmtId="0" fontId="11" fillId="26" borderId="1" applyAlignment="1" pivotButton="0" quotePrefix="0" xfId="0">
      <alignment horizontal="center" vertical="center"/>
    </xf>
    <xf numFmtId="0" fontId="9" fillId="26" borderId="1" applyAlignment="1" pivotButton="0" quotePrefix="0" xfId="0">
      <alignment horizontal="center" vertical="center"/>
    </xf>
    <xf numFmtId="0" fontId="7" fillId="27" borderId="0" applyAlignment="1" pivotButton="0" quotePrefix="0" xfId="0">
      <alignment horizontal="left" vertical="center" indent="1"/>
    </xf>
    <xf numFmtId="0" fontId="0" fillId="27" borderId="2" pivotButton="0" quotePrefix="0" xfId="0"/>
    <xf numFmtId="0" fontId="8" fillId="28" borderId="1" applyAlignment="1" pivotButton="0" quotePrefix="0" xfId="0">
      <alignment horizontal="left" vertical="center" wrapText="1" indent="1"/>
    </xf>
    <xf numFmtId="0" fontId="12" fillId="28" borderId="1" applyAlignment="1" pivotButton="0" quotePrefix="0" xfId="0">
      <alignment horizontal="center" vertical="center"/>
    </xf>
    <xf numFmtId="164" fontId="13" fillId="29" borderId="1" applyAlignment="1" pivotButton="0" quotePrefix="0" xfId="0">
      <alignment horizontal="center" vertical="center" wrapText="1"/>
    </xf>
    <xf numFmtId="0" fontId="13" fillId="29" borderId="1" applyAlignment="1" pivotButton="0" quotePrefix="0" xfId="0">
      <alignment horizontal="center" vertical="center" wrapText="1"/>
    </xf>
    <xf numFmtId="0" fontId="11" fillId="28" borderId="1" applyAlignment="1" pivotButton="0" quotePrefix="0" xfId="0">
      <alignment horizontal="center" vertical="center"/>
    </xf>
    <xf numFmtId="0" fontId="10" fillId="28" borderId="1" applyAlignment="1" pivotButton="0" quotePrefix="0" xfId="0">
      <alignment horizontal="center" vertical="center"/>
    </xf>
    <xf numFmtId="0" fontId="9" fillId="28" borderId="1" applyAlignment="1" pivotButton="0" quotePrefix="0" xfId="0">
      <alignment horizontal="center" vertical="center"/>
    </xf>
    <xf numFmtId="1" fontId="14" fillId="30" borderId="1" applyAlignment="1" pivotButton="0" quotePrefix="0" xfId="0">
      <alignment horizontal="center" vertical="center" wrapText="1"/>
    </xf>
    <xf numFmtId="0" fontId="2" fillId="31" borderId="0" applyAlignment="1" pivotButton="0" quotePrefix="0" xfId="0">
      <alignment horizontal="left" vertical="center" indent="1"/>
    </xf>
    <xf numFmtId="0" fontId="0" fillId="31" borderId="0" pivotButton="0" quotePrefix="0" xfId="0"/>
    <xf numFmtId="0" fontId="15" fillId="4" borderId="0" applyAlignment="1" pivotButton="0" quotePrefix="0" xfId="0">
      <alignment horizontal="center"/>
    </xf>
    <xf numFmtId="164" fontId="16" fillId="5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2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dxfs count="5">
    <dxf>
      <font>
        <name val="Calibri"/>
        <b val="1"/>
        <color rgb="00006100"/>
        <sz val="11"/>
      </font>
      <fill>
        <patternFill patternType="solid">
          <fgColor rgb="00C6EFCE"/>
        </patternFill>
      </fill>
    </dxf>
    <dxf>
      <font>
        <name val="Calibri"/>
        <b val="1"/>
        <color rgb="009C0006"/>
        <sz val="11"/>
      </font>
      <fill>
        <patternFill patternType="solid">
          <fgColor rgb="00FFC7CE"/>
        </patternFill>
      </fill>
    </dxf>
    <dxf>
      <font>
        <name val="Calibri"/>
        <b val="1"/>
        <color rgb="007A5800"/>
        <sz val="11"/>
      </font>
      <fill>
        <patternFill patternType="solid">
          <fgColor rgb="00FFE699"/>
        </patternFill>
      </fill>
    </dxf>
    <dxf>
      <font>
        <name val="Calibri"/>
        <i val="1"/>
        <color rgb="006B7280"/>
        <sz val="11"/>
      </font>
      <fill>
        <patternFill patternType="solid">
          <fgColor rgb="00F3F4F6"/>
        </patternFill>
      </fill>
    </dxf>
    <dxf>
      <font>
        <name val="Calibri"/>
        <b val="1"/>
        <color rgb="009C0006"/>
        <sz val="11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Takip</author>
  </authors>
  <commentList>
    <comment ref="C4" authorId="0" shapeId="0">
      <text>
        <t>Sütun başlığı, 'Firma / tesis adı' satırına yazdığınız addan gelir. Boşsa FİRMA 01 yazar.</t>
      </text>
    </comment>
    <comment ref="A134" authorId="0" shapeId="0">
      <text>
        <t>İç tetkik ve çevre eğitimi: son tarihe 1 yıl eklenir, uyarı 1 ay önce başlar.
Sıfır Atık belgesi: belge tarihine 5 yıl, uyarı 3 ay önce.
Atık yönetim planı: onay tarihine 3 yıl, uyarı 3 ay önce.
Emisyon teyidi: son ölçüme 2 yıl, uyarı 45 gün önce.
Çevre izni: bitiş tarihinden 180 gün önce başvuru uyarısı.
Aktif uyarı; süresi geçen ve yaklaşan hatırlatıcıları sayar.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B4332"/>
    <outlinePr summaryBelow="0" summaryRight="1"/>
    <pageSetUpPr fitToPage="1"/>
  </sheetPr>
  <dimension ref="A1:AF159"/>
  <sheetViews>
    <sheetView showGridLines="0" showOutlineSymbols="1" zoomScale="110" workbookViewId="0">
      <pane xSplit="2" ySplit="4" topLeftCell="C5" activePane="bottomRight" state="frozen"/>
      <selection pane="topRight" activeCell="C6" sqref="C6"/>
      <selection pane="bottomLeft"/>
      <selection pane="bottomRight" activeCell="A1" sqref="A1"/>
    </sheetView>
  </sheetViews>
  <sheetFormatPr baseColWidth="8" defaultRowHeight="15"/>
  <cols>
    <col width="78" customWidth="1" min="1" max="1"/>
    <col width="1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</cols>
  <sheetData>
    <row r="1" ht="32" customHeight="1">
      <c r="A1" s="1" t="inlineStr">
        <is>
          <t>ÇEVRE DANIŞMANLIĞI  |  TÜM FİRMALAR TAKİP PANELİ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32" customHeight="1">
      <c r="A2" s="3" t="inlineStr">
        <is>
          <t>Her sütun bir firmadır. Açılır menülerden seçim yapın; tarih ve kimlik numaralarını ilgili satıra yazın. Mavi satırlar otomatik hesaplanır, üzerine yazmayın. Beyaz hücrelere firma bilgisini girin. Firma adını yazınca sütun başlığı kendisi değişir.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</row>
    <row r="3" ht="22" customHeight="1">
      <c r="A3" s="5" t="inlineStr">
        <is>
          <t>Bugün</t>
        </is>
      </c>
      <c r="B3" s="6">
        <f>TODAY()</f>
        <v/>
      </c>
      <c r="C3" s="7" t="inlineStr">
        <is>
          <t>Yeşil: uygun    Sarı: yaklaşıyor veya kontrol gerekli    Kırmızı: yok / süresi geçti    Gri: tarih girilmedi    Mavi satır: otomatik    Elle girilen son tarihler 45 gün kala sararır.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</row>
    <row r="4" ht="36" customHeight="1">
      <c r="A4" s="9" t="inlineStr">
        <is>
          <t>KONU</t>
        </is>
      </c>
      <c r="B4" s="9" t="inlineStr">
        <is>
          <t>GİRİŞ TÜRÜ</t>
        </is>
      </c>
      <c r="C4" s="10">
        <f>IF(C6="","FİRMA 01",C6)</f>
        <v/>
      </c>
      <c r="D4" s="10">
        <f>IF(D6="","FİRMA 02",D6)</f>
        <v/>
      </c>
      <c r="E4" s="10">
        <f>IF(E6="","FİRMA 03",E6)</f>
        <v/>
      </c>
      <c r="F4" s="10">
        <f>IF(F6="","FİRMA 04",F6)</f>
        <v/>
      </c>
      <c r="G4" s="10">
        <f>IF(G6="","FİRMA 05",G6)</f>
        <v/>
      </c>
      <c r="H4" s="10">
        <f>IF(H6="","FİRMA 06",H6)</f>
        <v/>
      </c>
      <c r="I4" s="10">
        <f>IF(I6="","FİRMA 07",I6)</f>
        <v/>
      </c>
      <c r="J4" s="10">
        <f>IF(J6="","FİRMA 08",J6)</f>
        <v/>
      </c>
      <c r="K4" s="10">
        <f>IF(K6="","FİRMA 09",K6)</f>
        <v/>
      </c>
      <c r="L4" s="10">
        <f>IF(L6="","FİRMA 10",L6)</f>
        <v/>
      </c>
      <c r="M4" s="10">
        <f>IF(M6="","FİRMA 11",M6)</f>
        <v/>
      </c>
      <c r="N4" s="10">
        <f>IF(N6="","FİRMA 12",N6)</f>
        <v/>
      </c>
      <c r="O4" s="10">
        <f>IF(O6="","FİRMA 13",O6)</f>
        <v/>
      </c>
      <c r="P4" s="10">
        <f>IF(P6="","FİRMA 14",P6)</f>
        <v/>
      </c>
      <c r="Q4" s="10">
        <f>IF(Q6="","FİRMA 15",Q6)</f>
        <v/>
      </c>
      <c r="R4" s="10">
        <f>IF(R6="","FİRMA 16",R6)</f>
        <v/>
      </c>
      <c r="S4" s="10">
        <f>IF(S6="","FİRMA 17",S6)</f>
        <v/>
      </c>
      <c r="T4" s="10">
        <f>IF(T6="","FİRMA 18",T6)</f>
        <v/>
      </c>
      <c r="U4" s="10">
        <f>IF(U6="","FİRMA 19",U6)</f>
        <v/>
      </c>
      <c r="V4" s="10">
        <f>IF(V6="","FİRMA 20",V6)</f>
        <v/>
      </c>
      <c r="W4" s="10">
        <f>IF(W6="","FİRMA 21",W6)</f>
        <v/>
      </c>
      <c r="X4" s="10">
        <f>IF(X6="","FİRMA 22",X6)</f>
        <v/>
      </c>
      <c r="Y4" s="10">
        <f>IF(Y6="","FİRMA 23",Y6)</f>
        <v/>
      </c>
      <c r="Z4" s="10">
        <f>IF(Z6="","FİRMA 24",Z6)</f>
        <v/>
      </c>
      <c r="AA4" s="10">
        <f>IF(AA6="","FİRMA 25",AA6)</f>
        <v/>
      </c>
      <c r="AB4" s="10">
        <f>IF(AB6="","FİRMA 26",AB6)</f>
        <v/>
      </c>
      <c r="AC4" s="10">
        <f>IF(AC6="","FİRMA 27",AC6)</f>
        <v/>
      </c>
      <c r="AD4" s="10">
        <f>IF(AD6="","FİRMA 28",AD6)</f>
        <v/>
      </c>
      <c r="AE4" s="10">
        <f>IF(AE6="","FİRMA 29",AE6)</f>
        <v/>
      </c>
      <c r="AF4" s="10">
        <f>IF(AF6="","FİRMA 30",AF6)</f>
        <v/>
      </c>
    </row>
    <row r="5" ht="24" customHeight="1">
      <c r="A5" s="11" t="inlineStr">
        <is>
          <t>01   FİRMA KİMLİK VE İLETİŞİM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</row>
    <row r="6" outlineLevel="1" ht="22" customHeight="1">
      <c r="A6" s="13" t="inlineStr">
        <is>
          <t>Firma / tesis adı</t>
        </is>
      </c>
      <c r="B6" s="14" t="inlineStr">
        <is>
          <t>Bilgi</t>
        </is>
      </c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 outlineLevel="1" ht="22" customHeight="1">
      <c r="A7" s="13" t="inlineStr">
        <is>
          <t>Ticari unvan</t>
        </is>
      </c>
      <c r="B7" s="14" t="inlineStr">
        <is>
          <t>Bilgi</t>
        </is>
      </c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 outlineLevel="1" ht="22" customHeight="1">
      <c r="A8" s="13" t="inlineStr">
        <is>
          <t>Bulunduğu il</t>
        </is>
      </c>
      <c r="B8" s="16" t="inlineStr">
        <is>
          <t>Seçim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</row>
    <row r="9" outlineLevel="1" ht="22" customHeight="1">
      <c r="A9" s="13" t="inlineStr">
        <is>
          <t>Bulunduğu ilçe</t>
        </is>
      </c>
      <c r="B9" s="14" t="inlineStr">
        <is>
          <t>Bilgi</t>
        </is>
      </c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 outlineLevel="1" ht="22" customHeight="1">
      <c r="A10" s="13" t="inlineStr">
        <is>
          <t>Tesis adresi</t>
        </is>
      </c>
      <c r="B10" s="14" t="inlineStr">
        <is>
          <t>Bilgi</t>
        </is>
      </c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 outlineLevel="1" ht="22" customHeight="1">
      <c r="A11" s="13" t="inlineStr">
        <is>
          <t>Faaliyet konusu</t>
        </is>
      </c>
      <c r="B11" s="14" t="inlineStr">
        <is>
          <t>Bilgi</t>
        </is>
      </c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 outlineLevel="1" ht="22" customHeight="1">
      <c r="A12" s="13" t="inlineStr">
        <is>
          <t>NACE kodu</t>
        </is>
      </c>
      <c r="B12" s="14" t="inlineStr">
        <is>
          <t>Bilgi</t>
        </is>
      </c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 outlineLevel="1" ht="22" customHeight="1">
      <c r="A13" s="13" t="inlineStr">
        <is>
          <t>Vergi dairesi</t>
        </is>
      </c>
      <c r="B13" s="14" t="inlineStr">
        <is>
          <t>Bilgi</t>
        </is>
      </c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 outlineLevel="1" ht="22" customHeight="1">
      <c r="A14" s="13" t="inlineStr">
        <is>
          <t>Vergi numarası</t>
        </is>
      </c>
      <c r="B14" s="14" t="inlineStr">
        <is>
          <t>Numara / Metin</t>
        </is>
      </c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</row>
    <row r="15" outlineLevel="1" ht="22" customHeight="1">
      <c r="A15" s="13" t="inlineStr">
        <is>
          <t>MERSİS numarası</t>
        </is>
      </c>
      <c r="B15" s="14" t="inlineStr">
        <is>
          <t>Numara / Metin</t>
        </is>
      </c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</row>
    <row r="16" outlineLevel="1" ht="22" customHeight="1">
      <c r="A16" s="13" t="inlineStr">
        <is>
          <t>ÇKN numarası</t>
        </is>
      </c>
      <c r="B16" s="14" t="inlineStr">
        <is>
          <t>Numara / Metin</t>
        </is>
      </c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</row>
    <row r="17" outlineLevel="1" ht="22" customHeight="1">
      <c r="A17" s="13" t="inlineStr">
        <is>
          <t>Mülkiyet durumu (kira / tapu)</t>
        </is>
      </c>
      <c r="B17" s="16" t="inlineStr">
        <is>
          <t>Seçim</t>
        </is>
      </c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</row>
    <row r="18" outlineLevel="1" ht="22" customHeight="1">
      <c r="A18" s="13" t="inlineStr">
        <is>
          <t>Kira sözleşmesi / tapu belgesi mevcut mu?</t>
        </is>
      </c>
      <c r="B18" s="16" t="inlineStr">
        <is>
          <t>Seçim</t>
        </is>
      </c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</row>
    <row r="19" outlineLevel="1" ht="22" customHeight="1">
      <c r="A19" s="13" t="inlineStr">
        <is>
          <t>Firma yetkilisi / sorumlu kişi</t>
        </is>
      </c>
      <c r="B19" s="14" t="inlineStr">
        <is>
          <t>Bilgi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 outlineLevel="1" ht="22" customHeight="1">
      <c r="A20" s="13" t="inlineStr">
        <is>
          <t>Yetkili unvanı</t>
        </is>
      </c>
      <c r="B20" s="14" t="inlineStr">
        <is>
          <t>Bilgi</t>
        </is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 outlineLevel="1" ht="22" customHeight="1">
      <c r="A21" s="13" t="inlineStr">
        <is>
          <t>Yetkili telefon numarası</t>
        </is>
      </c>
      <c r="B21" s="14" t="inlineStr">
        <is>
          <t>Numara / Metin</t>
        </is>
      </c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</row>
    <row r="22" outlineLevel="1" ht="22" customHeight="1">
      <c r="A22" s="13" t="inlineStr">
        <is>
          <t>Yetkili e-posta adresi</t>
        </is>
      </c>
      <c r="B22" s="14" t="inlineStr">
        <is>
          <t>Bilgi</t>
        </is>
      </c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 outlineLevel="1" ht="22" customHeight="1">
      <c r="A23" s="13" t="inlineStr">
        <is>
          <t>Tesis sabit telefon</t>
        </is>
      </c>
      <c r="B23" s="14" t="inlineStr">
        <is>
          <t>Numara / Metin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</row>
    <row r="24" outlineLevel="1" ht="22" customHeight="1">
      <c r="A24" s="13" t="inlineStr">
        <is>
          <t>Tesis e-posta adresi</t>
        </is>
      </c>
      <c r="B24" s="14" t="inlineStr">
        <is>
          <t>Bilgi</t>
        </is>
      </c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  <row r="25" outlineLevel="1" ht="22" customHeight="1">
      <c r="A25" s="13" t="inlineStr">
        <is>
          <t>Danışmanlık sözleşmesi başlangıç tarihi</t>
        </is>
      </c>
      <c r="B25" s="19" t="inlineStr">
        <is>
          <t>Tarih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  <c r="AE25" s="20" t="n"/>
      <c r="AF25" s="20" t="n"/>
    </row>
    <row r="26" outlineLevel="1" ht="22" customHeight="1">
      <c r="A26" s="13" t="inlineStr">
        <is>
          <t>Danışmanlık sözleşmesi bitiş tarihi</t>
        </is>
      </c>
      <c r="B26" s="19" t="inlineStr">
        <is>
          <t>Tarih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  <c r="AE26" s="20" t="n"/>
      <c r="AF26" s="20" t="n"/>
    </row>
    <row r="27" outlineLevel="1" ht="22" customHeight="1">
      <c r="A27" s="13" t="inlineStr">
        <is>
          <t>Firma irtibat / özel not</t>
        </is>
      </c>
      <c r="B27" s="14" t="inlineStr">
        <is>
          <t>Bilgi</t>
        </is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</row>
    <row r="28" ht="24" customHeight="1">
      <c r="A28" s="21" t="inlineStr">
        <is>
          <t>02   TEMEL TESİS BELGELERİ VE PROJELER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outlineLevel="1" ht="22" customHeight="1">
      <c r="A29" s="23" t="inlineStr">
        <is>
          <t>İş akım şeması var mı?</t>
        </is>
      </c>
      <c r="B29" s="24" t="inlineStr">
        <is>
          <t>Seçim</t>
        </is>
      </c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</row>
    <row r="30" outlineLevel="1" ht="22" customHeight="1">
      <c r="A30" s="23" t="inlineStr">
        <is>
          <t>İş akım şeması güncel mi?</t>
        </is>
      </c>
      <c r="B30" s="24" t="inlineStr">
        <is>
          <t>Seçim</t>
        </is>
      </c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</row>
    <row r="31" outlineLevel="1" ht="22" customHeight="1">
      <c r="A31" s="23" t="inlineStr">
        <is>
          <t>Vaziyet planı var mı?</t>
        </is>
      </c>
      <c r="B31" s="24" t="inlineStr">
        <is>
          <t>Seçim</t>
        </is>
      </c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</row>
    <row r="32" outlineLevel="1" ht="22" customHeight="1">
      <c r="A32" s="23" t="inlineStr">
        <is>
          <t>Vaziyet planı güncel mi?</t>
        </is>
      </c>
      <c r="B32" s="24" t="inlineStr">
        <is>
          <t>Seçim</t>
        </is>
      </c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</row>
    <row r="33" outlineLevel="1" ht="22" customHeight="1">
      <c r="A33" s="23" t="inlineStr">
        <is>
          <t>Kapasite raporu var mı?</t>
        </is>
      </c>
      <c r="B33" s="24" t="inlineStr">
        <is>
          <t>Seçim</t>
        </is>
      </c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</row>
    <row r="34" outlineLevel="1" ht="22" customHeight="1">
      <c r="A34" s="23" t="inlineStr">
        <is>
          <t>Proses / ekipman listesi var mı?</t>
        </is>
      </c>
      <c r="B34" s="24" t="inlineStr">
        <is>
          <t>Seçim</t>
        </is>
      </c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</row>
    <row r="35" outlineLevel="1" ht="22" customHeight="1">
      <c r="A35" s="23" t="inlineStr">
        <is>
          <t>Tapu / kira belgesi güncel mi?</t>
        </is>
      </c>
      <c r="B35" s="24" t="inlineStr">
        <is>
          <t>Seçim</t>
        </is>
      </c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</row>
    <row r="36" outlineLevel="1" ht="22" customHeight="1">
      <c r="A36" s="23" t="inlineStr">
        <is>
          <t>Tesis faaliyet değişikliği var mı?</t>
        </is>
      </c>
      <c r="B36" s="24" t="inlineStr">
        <is>
          <t>Seçim</t>
        </is>
      </c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</row>
    <row r="37" ht="24" customHeight="1">
      <c r="A37" s="25" t="inlineStr">
        <is>
          <t>03   ÇED, ÇEVRE İZNİ VE RESMİ GÖRÜŞLER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  <c r="AA37" s="26" t="n"/>
      <c r="AB37" s="26" t="n"/>
      <c r="AC37" s="26" t="n"/>
      <c r="AD37" s="26" t="n"/>
      <c r="AE37" s="26" t="n"/>
      <c r="AF37" s="26" t="n"/>
    </row>
    <row r="38" outlineLevel="1" ht="22" customHeight="1">
      <c r="A38" s="27" t="inlineStr">
        <is>
          <t>ÇED görüşü / kararı var mı?</t>
        </is>
      </c>
      <c r="B38" s="28" t="inlineStr">
        <is>
          <t>Seçim</t>
        </is>
      </c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</row>
    <row r="39" outlineLevel="1" ht="22" customHeight="1">
      <c r="A39" s="27" t="inlineStr">
        <is>
          <t>ÇED kararı türü</t>
        </is>
      </c>
      <c r="B39" s="28" t="inlineStr">
        <is>
          <t>Seçim</t>
        </is>
      </c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</row>
    <row r="40" outlineLevel="1" ht="22" customHeight="1">
      <c r="A40" s="27" t="inlineStr">
        <is>
          <t>ÇED görüş / karar tarihi</t>
        </is>
      </c>
      <c r="B40" s="29" t="inlineStr">
        <is>
          <t>Tarih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  <c r="AE40" s="20" t="n"/>
      <c r="AF40" s="20" t="n"/>
    </row>
    <row r="41" outlineLevel="1" ht="22" customHeight="1">
      <c r="A41" s="27" t="inlineStr">
        <is>
          <t>ÇED kapsamına ilişkin değişiklik var mı?</t>
        </is>
      </c>
      <c r="B41" s="28" t="inlineStr">
        <is>
          <t>Seçim</t>
        </is>
      </c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</row>
    <row r="42" outlineLevel="1" ht="22" customHeight="1">
      <c r="A42" s="27" t="inlineStr">
        <is>
          <t>Çevre izin muafiyet / kapsam görüşü var mı?</t>
        </is>
      </c>
      <c r="B42" s="28" t="inlineStr">
        <is>
          <t>Seçim</t>
        </is>
      </c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</row>
    <row r="43" outlineLevel="1" ht="22" customHeight="1">
      <c r="A43" s="27" t="inlineStr">
        <is>
          <t>Çevre izin görüşünün tarihi</t>
        </is>
      </c>
      <c r="B43" s="29" t="inlineStr">
        <is>
          <t>Tarih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  <c r="AE43" s="20" t="n"/>
      <c r="AF43" s="20" t="n"/>
    </row>
    <row r="44" outlineLevel="1" ht="22" customHeight="1">
      <c r="A44" s="27" t="inlineStr">
        <is>
          <t>Çevre İzin ve Lisans Yönetmeliği kapsamı</t>
        </is>
      </c>
      <c r="B44" s="28" t="inlineStr">
        <is>
          <t>Seçim</t>
        </is>
      </c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</row>
    <row r="45" outlineLevel="1" ht="22" customHeight="1">
      <c r="A45" s="27" t="inlineStr">
        <is>
          <t>Çevre izin/lisans belgesi var mı?</t>
        </is>
      </c>
      <c r="B45" s="28" t="inlineStr">
        <is>
          <t>Seçim</t>
        </is>
      </c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</row>
    <row r="46" outlineLevel="1" ht="22" customHeight="1">
      <c r="A46" s="27" t="inlineStr">
        <is>
          <t>Çevre izin/lisans kapsamı</t>
        </is>
      </c>
      <c r="B46" s="30" t="inlineStr">
        <is>
          <t>Bilgi</t>
        </is>
      </c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</row>
    <row r="47" outlineLevel="1" ht="22" customHeight="1">
      <c r="A47" s="27" t="inlineStr">
        <is>
          <t>Çevre izin/lisans bitiş tarihi</t>
        </is>
      </c>
      <c r="B47" s="29" t="inlineStr">
        <is>
          <t>Tarih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  <c r="AE47" s="20" t="n"/>
      <c r="AF47" s="20" t="n"/>
    </row>
    <row r="48" outlineLevel="1" ht="22" customHeight="1">
      <c r="A48" s="27" t="inlineStr">
        <is>
          <t>Çevre izin/lisans yenileme takibi</t>
        </is>
      </c>
      <c r="B48" s="28" t="inlineStr">
        <is>
          <t>Seçim</t>
        </is>
      </c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</row>
    <row r="49" outlineLevel="1" ht="22" customHeight="1">
      <c r="A49" s="27" t="inlineStr">
        <is>
          <t>Geçici faaliyet belgesi var mı?</t>
        </is>
      </c>
      <c r="B49" s="28" t="inlineStr">
        <is>
          <t>Seçim</t>
        </is>
      </c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</row>
    <row r="50" outlineLevel="1" ht="22" customHeight="1">
      <c r="A50" s="27" t="inlineStr">
        <is>
          <t>GFB bitiş tarihi</t>
        </is>
      </c>
      <c r="B50" s="29" t="inlineStr">
        <is>
          <t>Tarih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  <c r="AE50" s="20" t="n"/>
      <c r="AF50" s="20" t="n"/>
    </row>
    <row r="51" outlineLevel="1" ht="22" customHeight="1">
      <c r="A51" s="27" t="inlineStr">
        <is>
          <t>İlgili kurum başvurusu / bekleyen görüş</t>
        </is>
      </c>
      <c r="B51" s="30" t="inlineStr">
        <is>
          <t>Bilgi</t>
        </is>
      </c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</row>
    <row r="52" ht="24" customHeight="1">
      <c r="A52" s="31" t="inlineStr">
        <is>
          <t>04   HAVA EMİSYONU VE BACA ÖLÇÜMLERİ</t>
        </is>
      </c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W52" s="32" t="n"/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</row>
    <row r="53" outlineLevel="1" ht="22" customHeight="1">
      <c r="A53" s="33" t="inlineStr">
        <is>
          <t>Emisyon bacası var mı?</t>
        </is>
      </c>
      <c r="B53" s="34" t="inlineStr">
        <is>
          <t>Seçim</t>
        </is>
      </c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</row>
    <row r="54" outlineLevel="1" ht="22" customHeight="1">
      <c r="A54" s="33" t="inlineStr">
        <is>
          <t>Ölçüme tabi baca sayısı</t>
        </is>
      </c>
      <c r="B54" s="35" t="inlineStr">
        <is>
          <t>Adet</t>
        </is>
      </c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  <c r="AB54" s="36" t="n"/>
      <c r="AC54" s="36" t="n"/>
      <c r="AD54" s="36" t="n"/>
      <c r="AE54" s="36" t="n"/>
      <c r="AF54" s="36" t="n"/>
    </row>
    <row r="55" outlineLevel="1" ht="22" customHeight="1">
      <c r="A55" s="33" t="inlineStr">
        <is>
          <t>Son emisyon ölçüm tarihi</t>
        </is>
      </c>
      <c r="B55" s="37" t="inlineStr">
        <is>
          <t>Tarih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  <c r="AE55" s="20" t="n"/>
      <c r="AF55" s="20" t="n"/>
    </row>
    <row r="56" outlineLevel="1" ht="22" customHeight="1">
      <c r="A56" s="33" t="inlineStr">
        <is>
          <t>Bir sonraki emisyon ölçüm tarihi</t>
        </is>
      </c>
      <c r="B56" s="37" t="inlineStr">
        <is>
          <t>Tarih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  <c r="AE56" s="20" t="n"/>
      <c r="AF56" s="20" t="n"/>
    </row>
    <row r="57" outlineLevel="1" ht="22" customHeight="1">
      <c r="A57" s="33" t="inlineStr">
        <is>
          <t>Emisyon ölçüm raporu uygun mu?</t>
        </is>
      </c>
      <c r="B57" s="34" t="inlineStr">
        <is>
          <t>Seçim</t>
        </is>
      </c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</row>
    <row r="58" outlineLevel="1" ht="22" customHeight="1">
      <c r="A58" s="33" t="inlineStr">
        <is>
          <t>Ölçüme tabi baca listesi güncel mi?</t>
        </is>
      </c>
      <c r="B58" s="34" t="inlineStr">
        <is>
          <t>Seçim</t>
        </is>
      </c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</row>
    <row r="59" outlineLevel="1" ht="22" customHeight="1">
      <c r="A59" s="33" t="inlineStr">
        <is>
          <t>Baca / proses değişikliği var mı?</t>
        </is>
      </c>
      <c r="B59" s="34" t="inlineStr">
        <is>
          <t>Seçim</t>
        </is>
      </c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</row>
    <row r="60" outlineLevel="1" ht="22" customHeight="1">
      <c r="A60" s="33" t="inlineStr">
        <is>
          <t>Sürekli emisyon ölçüm sistemi var mı?</t>
        </is>
      </c>
      <c r="B60" s="34" t="inlineStr">
        <is>
          <t>Seçim</t>
        </is>
      </c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</row>
    <row r="61" outlineLevel="1" ht="22" customHeight="1">
      <c r="A61" s="33" t="inlineStr">
        <is>
          <t>Emisyonla ilgili açık uygunsuzluk</t>
        </is>
      </c>
      <c r="B61" s="35" t="inlineStr">
        <is>
          <t>Bilgi</t>
        </is>
      </c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</row>
    <row r="62" ht="24" customHeight="1">
      <c r="A62" s="38" t="inlineStr">
        <is>
          <t>05   SU, ATIKSU VE ARITMA</t>
        </is>
      </c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63" outlineLevel="1" ht="22" customHeight="1">
      <c r="A63" s="40" t="inlineStr">
        <is>
          <t>Atıksu oluşuyor mu?</t>
        </is>
      </c>
      <c r="B63" s="41" t="inlineStr">
        <is>
          <t>Seçim</t>
        </is>
      </c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</row>
    <row r="64" outlineLevel="1" ht="22" customHeight="1">
      <c r="A64" s="40" t="inlineStr">
        <is>
          <t>Atıksu deşarj noktası / alıcı ortam</t>
        </is>
      </c>
      <c r="B64" s="42" t="inlineStr">
        <is>
          <t>Bilgi</t>
        </is>
      </c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</row>
    <row r="65" outlineLevel="1" ht="22" customHeight="1">
      <c r="A65" s="40" t="inlineStr">
        <is>
          <t>Kanal bağlantı belgesi var mı?</t>
        </is>
      </c>
      <c r="B65" s="41" t="inlineStr">
        <is>
          <t>Seçim</t>
        </is>
      </c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</row>
    <row r="66" outlineLevel="1" ht="22" customHeight="1">
      <c r="A66" s="40" t="inlineStr">
        <is>
          <t>Kanal bağlantı belge bitiş tarihi</t>
        </is>
      </c>
      <c r="B66" s="43" t="inlineStr">
        <is>
          <t>Tarih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</row>
    <row r="67" outlineLevel="1" ht="22" customHeight="1">
      <c r="A67" s="40" t="inlineStr">
        <is>
          <t>Bağlantı kalite kontrol / deşarj izni var mı?</t>
        </is>
      </c>
      <c r="B67" s="41" t="inlineStr">
        <is>
          <t>Seçim</t>
        </is>
      </c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</row>
    <row r="68" outlineLevel="1" ht="22" customHeight="1">
      <c r="A68" s="40" t="inlineStr">
        <is>
          <t>Deşarj izni bitiş tarihi</t>
        </is>
      </c>
      <c r="B68" s="43" t="inlineStr">
        <is>
          <t>Tarih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</row>
    <row r="69" outlineLevel="1" ht="22" customHeight="1">
      <c r="A69" s="40" t="inlineStr">
        <is>
          <t>Atıksu arıtma tesisi var mı?</t>
        </is>
      </c>
      <c r="B69" s="41" t="inlineStr">
        <is>
          <t>Seçim</t>
        </is>
      </c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</row>
    <row r="70" outlineLevel="1" ht="22" customHeight="1">
      <c r="A70" s="40" t="inlineStr">
        <is>
          <t>AAT kimlik belgesi var mı?</t>
        </is>
      </c>
      <c r="B70" s="41" t="inlineStr">
        <is>
          <t>Seçim</t>
        </is>
      </c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</row>
    <row r="71" outlineLevel="1" ht="22" customHeight="1">
      <c r="A71" s="40" t="inlineStr">
        <is>
          <t>Son atıksu analiz tarihi</t>
        </is>
      </c>
      <c r="B71" s="43" t="inlineStr">
        <is>
          <t>Tarih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</row>
    <row r="72" outlineLevel="1" ht="22" customHeight="1">
      <c r="A72" s="40" t="inlineStr">
        <is>
          <t>Sonraki atıksu analiz tarihi</t>
        </is>
      </c>
      <c r="B72" s="43" t="inlineStr">
        <is>
          <t>Tarih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</row>
    <row r="73" outlineLevel="1" ht="22" customHeight="1">
      <c r="A73" s="40" t="inlineStr">
        <is>
          <t>Arıtma çamuru yönetimi uygun mu?</t>
        </is>
      </c>
      <c r="B73" s="41" t="inlineStr">
        <is>
          <t>Seçim</t>
        </is>
      </c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</row>
    <row r="74" ht="24" customHeight="1">
      <c r="A74" s="44" t="inlineStr">
        <is>
          <t>06   ATIK YÖNETİMİ VE SIFIR ATIK</t>
        </is>
      </c>
      <c r="B74" s="45" t="n"/>
      <c r="C74" s="45" t="n"/>
      <c r="D74" s="45" t="n"/>
      <c r="E74" s="45" t="n"/>
      <c r="F74" s="45" t="n"/>
      <c r="G74" s="45" t="n"/>
      <c r="H74" s="45" t="n"/>
      <c r="I74" s="45" t="n"/>
      <c r="J74" s="45" t="n"/>
      <c r="K74" s="45" t="n"/>
      <c r="L74" s="45" t="n"/>
      <c r="M74" s="45" t="n"/>
      <c r="N74" s="45" t="n"/>
      <c r="O74" s="45" t="n"/>
      <c r="P74" s="45" t="n"/>
      <c r="Q74" s="45" t="n"/>
      <c r="R74" s="45" t="n"/>
      <c r="S74" s="45" t="n"/>
      <c r="T74" s="45" t="n"/>
      <c r="U74" s="45" t="n"/>
      <c r="V74" s="45" t="n"/>
      <c r="W74" s="45" t="n"/>
      <c r="X74" s="45" t="n"/>
      <c r="Y74" s="45" t="n"/>
      <c r="Z74" s="45" t="n"/>
      <c r="AA74" s="45" t="n"/>
      <c r="AB74" s="45" t="n"/>
      <c r="AC74" s="45" t="n"/>
      <c r="AD74" s="45" t="n"/>
      <c r="AE74" s="45" t="n"/>
      <c r="AF74" s="45" t="n"/>
    </row>
    <row r="75" outlineLevel="1" ht="22" customHeight="1">
      <c r="A75" s="46" t="inlineStr">
        <is>
          <t>Sıfır Atık Belgesi var mı?</t>
        </is>
      </c>
      <c r="B75" s="47" t="inlineStr">
        <is>
          <t>Seçim</t>
        </is>
      </c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</row>
    <row r="76" outlineLevel="1" ht="22" customHeight="1">
      <c r="A76" s="46" t="inlineStr">
        <is>
          <t>Sıfır Atık Belgesi tarihi</t>
        </is>
      </c>
      <c r="B76" s="48" t="inlineStr">
        <is>
          <t>Tarih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</row>
    <row r="77" outlineLevel="1" ht="22" customHeight="1">
      <c r="A77" s="46" t="inlineStr">
        <is>
          <t>Sıfır Atık Belgesi yenileme / geçerlilik kontrolü</t>
        </is>
      </c>
      <c r="B77" s="47" t="inlineStr">
        <is>
          <t>Seçim</t>
        </is>
      </c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</row>
    <row r="78" outlineLevel="1" ht="22" customHeight="1">
      <c r="A78" s="46" t="inlineStr">
        <is>
          <t>Atık alanı var mı?</t>
        </is>
      </c>
      <c r="B78" s="47" t="inlineStr">
        <is>
          <t>Seçim</t>
        </is>
      </c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</row>
    <row r="79" outlineLevel="1" ht="22" customHeight="1">
      <c r="A79" s="46" t="inlineStr">
        <is>
          <t>Tehlikeli atık geçici depolama alanı var mı?</t>
        </is>
      </c>
      <c r="B79" s="47" t="inlineStr">
        <is>
          <t>Seçim</t>
        </is>
      </c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</row>
    <row r="80" outlineLevel="1" ht="22" customHeight="1">
      <c r="A80" s="46" t="inlineStr">
        <is>
          <t>Atık alanı uygun mu?</t>
        </is>
      </c>
      <c r="B80" s="47" t="inlineStr">
        <is>
          <t>Seçim</t>
        </is>
      </c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</row>
    <row r="81" outlineLevel="1" ht="22" customHeight="1">
      <c r="A81" s="46" t="inlineStr">
        <is>
          <t>Sıfır atık ayrıştırma kutuları var mı?</t>
        </is>
      </c>
      <c r="B81" s="47" t="inlineStr">
        <is>
          <t>Seçim</t>
        </is>
      </c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</row>
    <row r="82" outlineLevel="1" ht="22" customHeight="1">
      <c r="A82" s="46" t="inlineStr">
        <is>
          <t>Atık kutuları etiketli / uygun mu?</t>
        </is>
      </c>
      <c r="B82" s="47" t="inlineStr">
        <is>
          <t>Seçim</t>
        </is>
      </c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</row>
    <row r="83" outlineLevel="1" ht="22" customHeight="1">
      <c r="A83" s="46" t="inlineStr">
        <is>
          <t>Atık yönetim planı var mı?</t>
        </is>
      </c>
      <c r="B83" s="47" t="inlineStr">
        <is>
          <t>Seçim</t>
        </is>
      </c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</row>
    <row r="84" outlineLevel="1" ht="22" customHeight="1">
      <c r="A84" s="46" t="inlineStr">
        <is>
          <t>Atık yönetim planı güncel mi?</t>
        </is>
      </c>
      <c r="B84" s="47" t="inlineStr">
        <is>
          <t>Seçim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</row>
    <row r="85" outlineLevel="1" ht="22" customHeight="1">
      <c r="A85" s="46" t="inlineStr">
        <is>
          <t>Atık sözleşmeleri güncel mi?</t>
        </is>
      </c>
      <c r="B85" s="47" t="inlineStr">
        <is>
          <t>Seçim</t>
        </is>
      </c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</row>
    <row r="86" outlineLevel="1" ht="22" customHeight="1">
      <c r="A86" s="46" t="inlineStr">
        <is>
          <t>MOTAT / atık sevki takibi yapılıyor mu?</t>
        </is>
      </c>
      <c r="B86" s="47" t="inlineStr">
        <is>
          <t>Seçim</t>
        </is>
      </c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</row>
    <row r="87" outlineLevel="1" ht="22" customHeight="1">
      <c r="A87" s="46" t="inlineStr">
        <is>
          <t>Yıllık atık beyanı (TABS) yapıldı mı?</t>
        </is>
      </c>
      <c r="B87" s="47" t="inlineStr">
        <is>
          <t>Seçim</t>
        </is>
      </c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</row>
    <row r="88" outlineLevel="1" ht="22" customHeight="1">
      <c r="A88" s="46" t="inlineStr">
        <is>
          <t>Son atık beyan yılı</t>
        </is>
      </c>
      <c r="B88" s="49" t="inlineStr">
        <is>
          <t>Yıl</t>
        </is>
      </c>
      <c r="C88" s="36" t="n"/>
      <c r="D88" s="36" t="n"/>
      <c r="E88" s="36" t="n"/>
      <c r="F88" s="36" t="n"/>
      <c r="G88" s="36" t="n"/>
      <c r="H88" s="36" t="n"/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  <c r="AB88" s="36" t="n"/>
      <c r="AC88" s="36" t="n"/>
      <c r="AD88" s="36" t="n"/>
      <c r="AE88" s="36" t="n"/>
      <c r="AF88" s="36" t="n"/>
    </row>
    <row r="89" ht="24" customHeight="1">
      <c r="A89" s="50" t="inlineStr">
        <is>
          <t>07   TOPRAK, KİMYASAL VE DİĞER YÜKÜMLÜLÜKLER</t>
        </is>
      </c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</row>
    <row r="90" outlineLevel="1" ht="22" customHeight="1">
      <c r="A90" s="52" t="inlineStr">
        <is>
          <t>Kirlenmiş Sahalar Bilgi Sistemi kaydı var mı?</t>
        </is>
      </c>
      <c r="B90" s="53" t="inlineStr">
        <is>
          <t>Seçim</t>
        </is>
      </c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</row>
    <row r="91" outlineLevel="1" ht="22" customHeight="1">
      <c r="A91" s="52" t="inlineStr">
        <is>
          <t>Kirlenmiş sahalar sistemi giriş / bildirimleri yapıldı mı?</t>
        </is>
      </c>
      <c r="B91" s="53" t="inlineStr">
        <is>
          <t>Seçim</t>
        </is>
      </c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</row>
    <row r="92" outlineLevel="1" ht="22" customHeight="1">
      <c r="A92" s="52" t="inlineStr">
        <is>
          <t>Kirlenmiş sahalar son bildirim tarihi</t>
        </is>
      </c>
      <c r="B92" s="54" t="inlineStr">
        <is>
          <t>Tarih</t>
        </is>
      </c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  <c r="AE92" s="20" t="n"/>
      <c r="AF92" s="20" t="n"/>
    </row>
    <row r="93" outlineLevel="1" ht="22" customHeight="1">
      <c r="A93" s="52" t="inlineStr">
        <is>
          <t>Kimyasal depolama kontrolü uygun mu?</t>
        </is>
      </c>
      <c r="B93" s="53" t="inlineStr">
        <is>
          <t>Seçim</t>
        </is>
      </c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</row>
    <row r="94" outlineLevel="1" ht="22" customHeight="1">
      <c r="A94" s="52" t="inlineStr">
        <is>
          <t>Dökülme müdahale ekipmanları var mı?</t>
        </is>
      </c>
      <c r="B94" s="53" t="inlineStr">
        <is>
          <t>Seçim</t>
        </is>
      </c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</row>
    <row r="95" outlineLevel="1" ht="22" customHeight="1">
      <c r="A95" s="52" t="inlineStr">
        <is>
          <t>Gürültüye ilişkin değerlendirme gerekli mi?</t>
        </is>
      </c>
      <c r="B95" s="53" t="inlineStr">
        <is>
          <t>Seçim</t>
        </is>
      </c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</row>
    <row r="96" outlineLevel="1" ht="22" customHeight="1">
      <c r="A96" s="52" t="inlineStr">
        <is>
          <t>Gürültü ölçümü / raporu mevcut mu?</t>
        </is>
      </c>
      <c r="B96" s="53" t="inlineStr">
        <is>
          <t>Seçim</t>
        </is>
      </c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</row>
    <row r="97" outlineLevel="1" ht="22" customHeight="1">
      <c r="A97" s="52" t="inlineStr">
        <is>
          <t>GEKAP yükümlülüğü var mı?</t>
        </is>
      </c>
      <c r="B97" s="53" t="inlineStr">
        <is>
          <t>Seçim</t>
        </is>
      </c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</row>
    <row r="98" outlineLevel="1" ht="22" customHeight="1">
      <c r="A98" s="52" t="inlineStr">
        <is>
          <t>Son GEKAP beyan dönemi</t>
        </is>
      </c>
      <c r="B98" s="55" t="inlineStr">
        <is>
          <t>Bilgi</t>
        </is>
      </c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</row>
    <row r="99" outlineLevel="1" ht="22" customHeight="1">
      <c r="A99" s="52" t="inlineStr">
        <is>
          <t>Diğer beyan / bildirim yükümlülüğü</t>
        </is>
      </c>
      <c r="B99" s="55" t="inlineStr">
        <is>
          <t>Bilgi</t>
        </is>
      </c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</row>
    <row r="100" ht="24" customHeight="1">
      <c r="A100" s="56" t="inlineStr">
        <is>
          <t>08   DENETİM, EĞİTİM VE SAHA ZİYARETLERİ</t>
        </is>
      </c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</row>
    <row r="101" outlineLevel="1" ht="22" customHeight="1">
      <c r="A101" s="58" t="inlineStr">
        <is>
          <t>Son saha ziyareti tarihi</t>
        </is>
      </c>
      <c r="B101" s="59" t="inlineStr">
        <is>
          <t>Tarih</t>
        </is>
      </c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  <c r="AE101" s="20" t="n"/>
      <c r="AF101" s="20" t="n"/>
    </row>
    <row r="102" outlineLevel="1" ht="22" customHeight="1">
      <c r="A102" s="58" t="inlineStr">
        <is>
          <t>Bir sonraki saha ziyareti tarihi</t>
        </is>
      </c>
      <c r="B102" s="59" t="inlineStr">
        <is>
          <t>Tarih</t>
        </is>
      </c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  <c r="AE102" s="20" t="n"/>
      <c r="AF102" s="20" t="n"/>
    </row>
    <row r="103" outlineLevel="1" ht="22" customHeight="1">
      <c r="A103" s="58" t="inlineStr">
        <is>
          <t>Saha ziyaret tutanağı tamam mı?</t>
        </is>
      </c>
      <c r="B103" s="60" t="inlineStr">
        <is>
          <t>Seçim</t>
        </is>
      </c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</row>
    <row r="104" outlineLevel="1" ht="22" customHeight="1">
      <c r="A104" s="58" t="inlineStr">
        <is>
          <t>Son iç tetkik tarihi</t>
        </is>
      </c>
      <c r="B104" s="59" t="inlineStr">
        <is>
          <t>Tarih</t>
        </is>
      </c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  <c r="AE104" s="20" t="n"/>
      <c r="AF104" s="20" t="n"/>
    </row>
    <row r="105" outlineLevel="1" ht="22" customHeight="1">
      <c r="A105" s="58" t="inlineStr">
        <is>
          <t>Bir sonraki iç tetkik tarihi</t>
        </is>
      </c>
      <c r="B105" s="59" t="inlineStr">
        <is>
          <t>Tarih</t>
        </is>
      </c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  <c r="AE105" s="20" t="n"/>
      <c r="AF105" s="20" t="n"/>
    </row>
    <row r="106" outlineLevel="1" ht="22" customHeight="1">
      <c r="A106" s="58" t="inlineStr">
        <is>
          <t>İç tetkik uygunsuzlukları kapatıldı mı?</t>
        </is>
      </c>
      <c r="B106" s="60" t="inlineStr">
        <is>
          <t>Seçim</t>
        </is>
      </c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</row>
    <row r="107" outlineLevel="1" ht="22" customHeight="1">
      <c r="A107" s="58" t="inlineStr">
        <is>
          <t>Son çevre eğitimi tarihi</t>
        </is>
      </c>
      <c r="B107" s="59" t="inlineStr">
        <is>
          <t>Tarih</t>
        </is>
      </c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  <c r="AE107" s="20" t="n"/>
      <c r="AF107" s="20" t="n"/>
    </row>
    <row r="108" outlineLevel="1" ht="22" customHeight="1">
      <c r="A108" s="58" t="inlineStr">
        <is>
          <t>Bir sonraki çevre eğitimi tarihi</t>
        </is>
      </c>
      <c r="B108" s="59" t="inlineStr">
        <is>
          <t>Tarih</t>
        </is>
      </c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  <c r="AE108" s="20" t="n"/>
      <c r="AF108" s="20" t="n"/>
    </row>
    <row r="109" outlineLevel="1" ht="22" customHeight="1">
      <c r="A109" s="58" t="inlineStr">
        <is>
          <t>Eğitim katılım tutanakları var mı?</t>
        </is>
      </c>
      <c r="B109" s="60" t="inlineStr">
        <is>
          <t>Seçim</t>
        </is>
      </c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</row>
    <row r="110" outlineLevel="1" ht="22" customHeight="1">
      <c r="A110" s="58" t="inlineStr">
        <is>
          <t>Açık uygunsuzluk / eksik evrak</t>
        </is>
      </c>
      <c r="B110" s="61" t="inlineStr">
        <is>
          <t>Bilgi</t>
        </is>
      </c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</row>
    <row r="111" outlineLevel="1" ht="22" customHeight="1">
      <c r="A111" s="58" t="inlineStr">
        <is>
          <t>Firmadan beklenen işlem / evrak</t>
        </is>
      </c>
      <c r="B111" s="61" t="inlineStr">
        <is>
          <t>Bilgi</t>
        </is>
      </c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</row>
    <row r="112" outlineLevel="1" ht="22" customHeight="1">
      <c r="A112" s="58" t="inlineStr">
        <is>
          <t>Danışman tarafından yapılacak işlem</t>
        </is>
      </c>
      <c r="B112" s="61" t="inlineStr">
        <is>
          <t>Bilgi</t>
        </is>
      </c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</row>
    <row r="113" outlineLevel="1" ht="22" customHeight="1">
      <c r="A113" s="58" t="inlineStr">
        <is>
          <t>Öncelikli takip / genel not</t>
        </is>
      </c>
      <c r="B113" s="61" t="inlineStr">
        <is>
          <t>Bilgi</t>
        </is>
      </c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</row>
    <row r="114" ht="24" customHeight="1">
      <c r="A114" s="62" t="inlineStr">
        <is>
          <t>09   İLAVE MEVZUAT VE RESMİ DENETİM TAKİBİ</t>
        </is>
      </c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  <c r="AC114" s="63" t="n"/>
      <c r="AD114" s="63" t="n"/>
      <c r="AE114" s="63" t="n"/>
      <c r="AF114" s="63" t="n"/>
    </row>
    <row r="115" outlineLevel="1" ht="22" customHeight="1">
      <c r="A115" s="64" t="inlineStr">
        <is>
          <t>ÇED Yönetmeliği kapsamı (Ek-1 / Ek-2 / Kapsam dışı)</t>
        </is>
      </c>
      <c r="B115" s="65" t="inlineStr">
        <is>
          <t>Seçim</t>
        </is>
      </c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</row>
    <row r="116" outlineLevel="1" ht="22" customHeight="1">
      <c r="A116" s="64" t="inlineStr">
        <is>
          <t>ÇED kararına / taahhütlerine uygunluk</t>
        </is>
      </c>
      <c r="B116" s="65" t="inlineStr">
        <is>
          <t>Seçim</t>
        </is>
      </c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</row>
    <row r="117" outlineLevel="1" ht="22" customHeight="1">
      <c r="A117" s="64" t="inlineStr">
        <is>
          <t>Kapasite artışı / proses değişikliği planı</t>
        </is>
      </c>
      <c r="B117" s="65" t="inlineStr">
        <is>
          <t>Seçim</t>
        </is>
      </c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</row>
    <row r="118" outlineLevel="1" ht="22" customHeight="1">
      <c r="A118" s="64" t="inlineStr">
        <is>
          <t>Çevre izni yenileme başvuru tarihi</t>
        </is>
      </c>
      <c r="B118" s="66" t="inlineStr">
        <is>
          <t>Tarih</t>
        </is>
      </c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  <c r="AE118" s="20" t="n"/>
      <c r="AF118" s="20" t="n"/>
    </row>
    <row r="119" outlineLevel="1" ht="22" customHeight="1">
      <c r="A119" s="64" t="inlineStr">
        <is>
          <t>Son İl Müdürlüğü denetim tarihi</t>
        </is>
      </c>
      <c r="B119" s="66" t="inlineStr">
        <is>
          <t>Tarih</t>
        </is>
      </c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  <c r="AE119" s="20" t="n"/>
      <c r="AF119" s="20" t="n"/>
    </row>
    <row r="120" outlineLevel="1" ht="22" customHeight="1">
      <c r="A120" s="64" t="inlineStr">
        <is>
          <t>İl Müdürlüğü denetimi sonrası eksikler</t>
        </is>
      </c>
      <c r="B120" s="67" t="inlineStr">
        <is>
          <t>Bilgi</t>
        </is>
      </c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</row>
    <row r="121" outlineLevel="1" ht="22" customHeight="1">
      <c r="A121" s="64" t="inlineStr">
        <is>
          <t>İdari yaptırım / çevre cezası var mı?</t>
        </is>
      </c>
      <c r="B121" s="65" t="inlineStr">
        <is>
          <t>Seçim</t>
        </is>
      </c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</row>
    <row r="122" outlineLevel="1" ht="22" customHeight="1">
      <c r="A122" s="64" t="inlineStr">
        <is>
          <t>Resmî yazışma / cevap bekleyen konu</t>
        </is>
      </c>
      <c r="B122" s="67" t="inlineStr">
        <is>
          <t>Bilgi</t>
        </is>
      </c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</row>
    <row r="123" outlineLevel="1" ht="22" customHeight="1">
      <c r="A123" s="64" t="inlineStr">
        <is>
          <t>Resmî yazışma cevap son tarihi</t>
        </is>
      </c>
      <c r="B123" s="66" t="inlineStr">
        <is>
          <t>Tarih</t>
        </is>
      </c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  <c r="AE123" s="20" t="n"/>
      <c r="AF123" s="20" t="n"/>
    </row>
    <row r="124" outlineLevel="1" ht="22" customHeight="1">
      <c r="A124" s="64" t="inlineStr">
        <is>
          <t>Son TABS beyan kontrol tarihi</t>
        </is>
      </c>
      <c r="B124" s="66" t="inlineStr">
        <is>
          <t>Tarih</t>
        </is>
      </c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  <c r="AE124" s="20" t="n"/>
      <c r="AF124" s="20" t="n"/>
    </row>
    <row r="125" outlineLevel="1" ht="22" customHeight="1">
      <c r="A125" s="64" t="inlineStr">
        <is>
          <t>Atık alanı uyarı levhaları / etiketleri uygun mu?</t>
        </is>
      </c>
      <c r="B125" s="65" t="inlineStr">
        <is>
          <t>Seçim</t>
        </is>
      </c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</row>
    <row r="126" outlineLevel="1" ht="22" customHeight="1">
      <c r="A126" s="64" t="inlineStr">
        <is>
          <t>Atık alanı zemin sızdırmazlığı uygun mu?</t>
        </is>
      </c>
      <c r="B126" s="65" t="inlineStr">
        <is>
          <t>Seçim</t>
        </is>
      </c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</row>
    <row r="127" outlineLevel="1" ht="22" customHeight="1">
      <c r="A127" s="64" t="inlineStr">
        <is>
          <t>Atık taşıma / bertaraf sözleşmeleri ayrı ayrı kontrol edildi mi?</t>
        </is>
      </c>
      <c r="B127" s="65" t="inlineStr">
        <is>
          <t>Seçim</t>
        </is>
      </c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</row>
    <row r="128" outlineLevel="1" ht="22" customHeight="1">
      <c r="A128" s="64" t="inlineStr">
        <is>
          <t>Yağmur suyu / atıksu hatları ayrı mı?</t>
        </is>
      </c>
      <c r="B128" s="65" t="inlineStr">
        <is>
          <t>Seçim</t>
        </is>
      </c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</row>
    <row r="129" outlineLevel="1" ht="22" customHeight="1">
      <c r="A129" s="64" t="inlineStr">
        <is>
          <t>Atıksu deşarj noktası sayısı</t>
        </is>
      </c>
      <c r="B129" s="67" t="inlineStr">
        <is>
          <t>Adet</t>
        </is>
      </c>
      <c r="C129" s="36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  <c r="AB129" s="36" t="n"/>
      <c r="AC129" s="36" t="n"/>
      <c r="AD129" s="36" t="n"/>
      <c r="AE129" s="36" t="n"/>
      <c r="AF129" s="36" t="n"/>
    </row>
    <row r="130" outlineLevel="1" ht="22" customHeight="1">
      <c r="A130" s="64" t="inlineStr">
        <is>
          <t>Çevresel şikâyet var mı?</t>
        </is>
      </c>
      <c r="B130" s="65" t="inlineStr">
        <is>
          <t>Seçim</t>
        </is>
      </c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</row>
    <row r="131" outlineLevel="1" ht="22" customHeight="1">
      <c r="A131" s="64" t="inlineStr">
        <is>
          <t>Açık uygunsuzluk kapanış hedef tarihi</t>
        </is>
      </c>
      <c r="B131" s="66" t="inlineStr">
        <is>
          <t>Tarih</t>
        </is>
      </c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  <c r="AE131" s="20" t="n"/>
      <c r="AF131" s="20" t="n"/>
    </row>
    <row r="132" outlineLevel="1" ht="22" customHeight="1">
      <c r="A132" s="64" t="inlineStr">
        <is>
          <t>Açık uygunsuzluk sayısı</t>
        </is>
      </c>
      <c r="B132" s="67" t="inlineStr">
        <is>
          <t>Adet</t>
        </is>
      </c>
      <c r="C132" s="36" t="n"/>
      <c r="D132" s="36" t="n"/>
      <c r="E132" s="36" t="n"/>
      <c r="F132" s="36" t="n"/>
      <c r="G132" s="36" t="n"/>
      <c r="H132" s="36" t="n"/>
      <c r="I132" s="36" t="n"/>
      <c r="J132" s="36" t="n"/>
      <c r="K132" s="36" t="n"/>
      <c r="L132" s="36" t="n"/>
      <c r="M132" s="36" t="n"/>
      <c r="N132" s="36" t="n"/>
      <c r="O132" s="36" t="n"/>
      <c r="P132" s="36" t="n"/>
      <c r="Q132" s="36" t="n"/>
      <c r="R132" s="36" t="n"/>
      <c r="S132" s="36" t="n"/>
      <c r="T132" s="36" t="n"/>
      <c r="U132" s="36" t="n"/>
      <c r="V132" s="36" t="n"/>
      <c r="W132" s="36" t="n"/>
      <c r="X132" s="36" t="n"/>
      <c r="Y132" s="36" t="n"/>
      <c r="Z132" s="36" t="n"/>
      <c r="AA132" s="36" t="n"/>
      <c r="AB132" s="36" t="n"/>
      <c r="AC132" s="36" t="n"/>
      <c r="AD132" s="36" t="n"/>
      <c r="AE132" s="36" t="n"/>
      <c r="AF132" s="36" t="n"/>
    </row>
    <row r="133" outlineLevel="1" ht="22" customHeight="1">
      <c r="A133" s="64" t="inlineStr">
        <is>
          <t>Öncelikli işlemin son tarihi</t>
        </is>
      </c>
      <c r="B133" s="66" t="inlineStr">
        <is>
          <t>Tarih</t>
        </is>
      </c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  <c r="AE133" s="20" t="n"/>
      <c r="AF133" s="20" t="n"/>
    </row>
    <row r="134" ht="24" customHeight="1">
      <c r="A134" s="68" t="inlineStr">
        <is>
          <t>10   OTOMATİK TAKVİM VE BEKRA</t>
        </is>
      </c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  <c r="Z134" s="69" t="n"/>
      <c r="AA134" s="69" t="n"/>
      <c r="AB134" s="69" t="n"/>
      <c r="AC134" s="69" t="n"/>
      <c r="AD134" s="69" t="n"/>
      <c r="AE134" s="69" t="n"/>
      <c r="AF134" s="69" t="n"/>
    </row>
    <row r="135" outlineLevel="1" ht="22" customHeight="1">
      <c r="A135" s="70" t="inlineStr">
        <is>
          <t>İç tetkik sonraki tarih (otomatik, +1 yıl)</t>
        </is>
      </c>
      <c r="B135" s="71" t="inlineStr">
        <is>
          <t>Otomatik</t>
        </is>
      </c>
      <c r="C135" s="72">
        <f>IF(C104="","Tarih girilmedi",IFERROR(EDATE(C104,12),"Tarih hatalı"))</f>
        <v/>
      </c>
      <c r="D135" s="72">
        <f>IF(D104="","Tarih girilmedi",IFERROR(EDATE(D104,12),"Tarih hatalı"))</f>
        <v/>
      </c>
      <c r="E135" s="72">
        <f>IF(E104="","Tarih girilmedi",IFERROR(EDATE(E104,12),"Tarih hatalı"))</f>
        <v/>
      </c>
      <c r="F135" s="72">
        <f>IF(F104="","Tarih girilmedi",IFERROR(EDATE(F104,12),"Tarih hatalı"))</f>
        <v/>
      </c>
      <c r="G135" s="72">
        <f>IF(G104="","Tarih girilmedi",IFERROR(EDATE(G104,12),"Tarih hatalı"))</f>
        <v/>
      </c>
      <c r="H135" s="72">
        <f>IF(H104="","Tarih girilmedi",IFERROR(EDATE(H104,12),"Tarih hatalı"))</f>
        <v/>
      </c>
      <c r="I135" s="72">
        <f>IF(I104="","Tarih girilmedi",IFERROR(EDATE(I104,12),"Tarih hatalı"))</f>
        <v/>
      </c>
      <c r="J135" s="72">
        <f>IF(J104="","Tarih girilmedi",IFERROR(EDATE(J104,12),"Tarih hatalı"))</f>
        <v/>
      </c>
      <c r="K135" s="72">
        <f>IF(K104="","Tarih girilmedi",IFERROR(EDATE(K104,12),"Tarih hatalı"))</f>
        <v/>
      </c>
      <c r="L135" s="72">
        <f>IF(L104="","Tarih girilmedi",IFERROR(EDATE(L104,12),"Tarih hatalı"))</f>
        <v/>
      </c>
      <c r="M135" s="72">
        <f>IF(M104="","Tarih girilmedi",IFERROR(EDATE(M104,12),"Tarih hatalı"))</f>
        <v/>
      </c>
      <c r="N135" s="72">
        <f>IF(N104="","Tarih girilmedi",IFERROR(EDATE(N104,12),"Tarih hatalı"))</f>
        <v/>
      </c>
      <c r="O135" s="72">
        <f>IF(O104="","Tarih girilmedi",IFERROR(EDATE(O104,12),"Tarih hatalı"))</f>
        <v/>
      </c>
      <c r="P135" s="72">
        <f>IF(P104="","Tarih girilmedi",IFERROR(EDATE(P104,12),"Tarih hatalı"))</f>
        <v/>
      </c>
      <c r="Q135" s="72">
        <f>IF(Q104="","Tarih girilmedi",IFERROR(EDATE(Q104,12),"Tarih hatalı"))</f>
        <v/>
      </c>
      <c r="R135" s="72">
        <f>IF(R104="","Tarih girilmedi",IFERROR(EDATE(R104,12),"Tarih hatalı"))</f>
        <v/>
      </c>
      <c r="S135" s="72">
        <f>IF(S104="","Tarih girilmedi",IFERROR(EDATE(S104,12),"Tarih hatalı"))</f>
        <v/>
      </c>
      <c r="T135" s="72">
        <f>IF(T104="","Tarih girilmedi",IFERROR(EDATE(T104,12),"Tarih hatalı"))</f>
        <v/>
      </c>
      <c r="U135" s="72">
        <f>IF(U104="","Tarih girilmedi",IFERROR(EDATE(U104,12),"Tarih hatalı"))</f>
        <v/>
      </c>
      <c r="V135" s="72">
        <f>IF(V104="","Tarih girilmedi",IFERROR(EDATE(V104,12),"Tarih hatalı"))</f>
        <v/>
      </c>
      <c r="W135" s="72">
        <f>IF(W104="","Tarih girilmedi",IFERROR(EDATE(W104,12),"Tarih hatalı"))</f>
        <v/>
      </c>
      <c r="X135" s="72">
        <f>IF(X104="","Tarih girilmedi",IFERROR(EDATE(X104,12),"Tarih hatalı"))</f>
        <v/>
      </c>
      <c r="Y135" s="72">
        <f>IF(Y104="","Tarih girilmedi",IFERROR(EDATE(Y104,12),"Tarih hatalı"))</f>
        <v/>
      </c>
      <c r="Z135" s="72">
        <f>IF(Z104="","Tarih girilmedi",IFERROR(EDATE(Z104,12),"Tarih hatalı"))</f>
        <v/>
      </c>
      <c r="AA135" s="72">
        <f>IF(AA104="","Tarih girilmedi",IFERROR(EDATE(AA104,12),"Tarih hatalı"))</f>
        <v/>
      </c>
      <c r="AB135" s="72">
        <f>IF(AB104="","Tarih girilmedi",IFERROR(EDATE(AB104,12),"Tarih hatalı"))</f>
        <v/>
      </c>
      <c r="AC135" s="72">
        <f>IF(AC104="","Tarih girilmedi",IFERROR(EDATE(AC104,12),"Tarih hatalı"))</f>
        <v/>
      </c>
      <c r="AD135" s="72">
        <f>IF(AD104="","Tarih girilmedi",IFERROR(EDATE(AD104,12),"Tarih hatalı"))</f>
        <v/>
      </c>
      <c r="AE135" s="72">
        <f>IF(AE104="","Tarih girilmedi",IFERROR(EDATE(AE104,12),"Tarih hatalı"))</f>
        <v/>
      </c>
      <c r="AF135" s="72">
        <f>IF(AF104="","Tarih girilmedi",IFERROR(EDATE(AF104,12),"Tarih hatalı"))</f>
        <v/>
      </c>
    </row>
    <row r="136" outlineLevel="1" ht="22" customHeight="1">
      <c r="A136" s="70" t="inlineStr">
        <is>
          <t>İç tetkik uyarı başlangıcı (1 ay önce)</t>
        </is>
      </c>
      <c r="B136" s="71" t="inlineStr">
        <is>
          <t>Otomatik</t>
        </is>
      </c>
      <c r="C136" s="72">
        <f>IF(C104="","Tarih girilmedi",IFERROR(EDATE(C104,11),"Tarih hatalı"))</f>
        <v/>
      </c>
      <c r="D136" s="72">
        <f>IF(D104="","Tarih girilmedi",IFERROR(EDATE(D104,11),"Tarih hatalı"))</f>
        <v/>
      </c>
      <c r="E136" s="72">
        <f>IF(E104="","Tarih girilmedi",IFERROR(EDATE(E104,11),"Tarih hatalı"))</f>
        <v/>
      </c>
      <c r="F136" s="72">
        <f>IF(F104="","Tarih girilmedi",IFERROR(EDATE(F104,11),"Tarih hatalı"))</f>
        <v/>
      </c>
      <c r="G136" s="72">
        <f>IF(G104="","Tarih girilmedi",IFERROR(EDATE(G104,11),"Tarih hatalı"))</f>
        <v/>
      </c>
      <c r="H136" s="72">
        <f>IF(H104="","Tarih girilmedi",IFERROR(EDATE(H104,11),"Tarih hatalı"))</f>
        <v/>
      </c>
      <c r="I136" s="72">
        <f>IF(I104="","Tarih girilmedi",IFERROR(EDATE(I104,11),"Tarih hatalı"))</f>
        <v/>
      </c>
      <c r="J136" s="72">
        <f>IF(J104="","Tarih girilmedi",IFERROR(EDATE(J104,11),"Tarih hatalı"))</f>
        <v/>
      </c>
      <c r="K136" s="72">
        <f>IF(K104="","Tarih girilmedi",IFERROR(EDATE(K104,11),"Tarih hatalı"))</f>
        <v/>
      </c>
      <c r="L136" s="72">
        <f>IF(L104="","Tarih girilmedi",IFERROR(EDATE(L104,11),"Tarih hatalı"))</f>
        <v/>
      </c>
      <c r="M136" s="72">
        <f>IF(M104="","Tarih girilmedi",IFERROR(EDATE(M104,11),"Tarih hatalı"))</f>
        <v/>
      </c>
      <c r="N136" s="72">
        <f>IF(N104="","Tarih girilmedi",IFERROR(EDATE(N104,11),"Tarih hatalı"))</f>
        <v/>
      </c>
      <c r="O136" s="72">
        <f>IF(O104="","Tarih girilmedi",IFERROR(EDATE(O104,11),"Tarih hatalı"))</f>
        <v/>
      </c>
      <c r="P136" s="72">
        <f>IF(P104="","Tarih girilmedi",IFERROR(EDATE(P104,11),"Tarih hatalı"))</f>
        <v/>
      </c>
      <c r="Q136" s="72">
        <f>IF(Q104="","Tarih girilmedi",IFERROR(EDATE(Q104,11),"Tarih hatalı"))</f>
        <v/>
      </c>
      <c r="R136" s="72">
        <f>IF(R104="","Tarih girilmedi",IFERROR(EDATE(R104,11),"Tarih hatalı"))</f>
        <v/>
      </c>
      <c r="S136" s="72">
        <f>IF(S104="","Tarih girilmedi",IFERROR(EDATE(S104,11),"Tarih hatalı"))</f>
        <v/>
      </c>
      <c r="T136" s="72">
        <f>IF(T104="","Tarih girilmedi",IFERROR(EDATE(T104,11),"Tarih hatalı"))</f>
        <v/>
      </c>
      <c r="U136" s="72">
        <f>IF(U104="","Tarih girilmedi",IFERROR(EDATE(U104,11),"Tarih hatalı"))</f>
        <v/>
      </c>
      <c r="V136" s="72">
        <f>IF(V104="","Tarih girilmedi",IFERROR(EDATE(V104,11),"Tarih hatalı"))</f>
        <v/>
      </c>
      <c r="W136" s="72">
        <f>IF(W104="","Tarih girilmedi",IFERROR(EDATE(W104,11),"Tarih hatalı"))</f>
        <v/>
      </c>
      <c r="X136" s="72">
        <f>IF(X104="","Tarih girilmedi",IFERROR(EDATE(X104,11),"Tarih hatalı"))</f>
        <v/>
      </c>
      <c r="Y136" s="72">
        <f>IF(Y104="","Tarih girilmedi",IFERROR(EDATE(Y104,11),"Tarih hatalı"))</f>
        <v/>
      </c>
      <c r="Z136" s="72">
        <f>IF(Z104="","Tarih girilmedi",IFERROR(EDATE(Z104,11),"Tarih hatalı"))</f>
        <v/>
      </c>
      <c r="AA136" s="72">
        <f>IF(AA104="","Tarih girilmedi",IFERROR(EDATE(AA104,11),"Tarih hatalı"))</f>
        <v/>
      </c>
      <c r="AB136" s="72">
        <f>IF(AB104="","Tarih girilmedi",IFERROR(EDATE(AB104,11),"Tarih hatalı"))</f>
        <v/>
      </c>
      <c r="AC136" s="72">
        <f>IF(AC104="","Tarih girilmedi",IFERROR(EDATE(AC104,11),"Tarih hatalı"))</f>
        <v/>
      </c>
      <c r="AD136" s="72">
        <f>IF(AD104="","Tarih girilmedi",IFERROR(EDATE(AD104,11),"Tarih hatalı"))</f>
        <v/>
      </c>
      <c r="AE136" s="72">
        <f>IF(AE104="","Tarih girilmedi",IFERROR(EDATE(AE104,11),"Tarih hatalı"))</f>
        <v/>
      </c>
      <c r="AF136" s="72">
        <f>IF(AF104="","Tarih girilmedi",IFERROR(EDATE(AF104,11),"Tarih hatalı"))</f>
        <v/>
      </c>
    </row>
    <row r="137" outlineLevel="1" ht="22" customHeight="1">
      <c r="A137" s="70" t="inlineStr">
        <is>
          <t>İç tetkik hatırlatıcı</t>
        </is>
      </c>
      <c r="B137" s="71" t="inlineStr">
        <is>
          <t>Otomatik</t>
        </is>
      </c>
      <c r="C137" s="73">
        <f>IF(C104="","Tarih girilmedi",IFERROR(IF(TODAY()&gt;EDATE(C104,12),"Süresi geçti",IF(TODAY()&gt;=EDATE(C104,11),"Yaklaşıyor","Takipte")),"Tarih hatalı"))</f>
        <v/>
      </c>
      <c r="D137" s="73">
        <f>IF(D104="","Tarih girilmedi",IFERROR(IF(TODAY()&gt;EDATE(D104,12),"Süresi geçti",IF(TODAY()&gt;=EDATE(D104,11),"Yaklaşıyor","Takipte")),"Tarih hatalı"))</f>
        <v/>
      </c>
      <c r="E137" s="73">
        <f>IF(E104="","Tarih girilmedi",IFERROR(IF(TODAY()&gt;EDATE(E104,12),"Süresi geçti",IF(TODAY()&gt;=EDATE(E104,11),"Yaklaşıyor","Takipte")),"Tarih hatalı"))</f>
        <v/>
      </c>
      <c r="F137" s="73">
        <f>IF(F104="","Tarih girilmedi",IFERROR(IF(TODAY()&gt;EDATE(F104,12),"Süresi geçti",IF(TODAY()&gt;=EDATE(F104,11),"Yaklaşıyor","Takipte")),"Tarih hatalı"))</f>
        <v/>
      </c>
      <c r="G137" s="73">
        <f>IF(G104="","Tarih girilmedi",IFERROR(IF(TODAY()&gt;EDATE(G104,12),"Süresi geçti",IF(TODAY()&gt;=EDATE(G104,11),"Yaklaşıyor","Takipte")),"Tarih hatalı"))</f>
        <v/>
      </c>
      <c r="H137" s="73">
        <f>IF(H104="","Tarih girilmedi",IFERROR(IF(TODAY()&gt;EDATE(H104,12),"Süresi geçti",IF(TODAY()&gt;=EDATE(H104,11),"Yaklaşıyor","Takipte")),"Tarih hatalı"))</f>
        <v/>
      </c>
      <c r="I137" s="73">
        <f>IF(I104="","Tarih girilmedi",IFERROR(IF(TODAY()&gt;EDATE(I104,12),"Süresi geçti",IF(TODAY()&gt;=EDATE(I104,11),"Yaklaşıyor","Takipte")),"Tarih hatalı"))</f>
        <v/>
      </c>
      <c r="J137" s="73">
        <f>IF(J104="","Tarih girilmedi",IFERROR(IF(TODAY()&gt;EDATE(J104,12),"Süresi geçti",IF(TODAY()&gt;=EDATE(J104,11),"Yaklaşıyor","Takipte")),"Tarih hatalı"))</f>
        <v/>
      </c>
      <c r="K137" s="73">
        <f>IF(K104="","Tarih girilmedi",IFERROR(IF(TODAY()&gt;EDATE(K104,12),"Süresi geçti",IF(TODAY()&gt;=EDATE(K104,11),"Yaklaşıyor","Takipte")),"Tarih hatalı"))</f>
        <v/>
      </c>
      <c r="L137" s="73">
        <f>IF(L104="","Tarih girilmedi",IFERROR(IF(TODAY()&gt;EDATE(L104,12),"Süresi geçti",IF(TODAY()&gt;=EDATE(L104,11),"Yaklaşıyor","Takipte")),"Tarih hatalı"))</f>
        <v/>
      </c>
      <c r="M137" s="73">
        <f>IF(M104="","Tarih girilmedi",IFERROR(IF(TODAY()&gt;EDATE(M104,12),"Süresi geçti",IF(TODAY()&gt;=EDATE(M104,11),"Yaklaşıyor","Takipte")),"Tarih hatalı"))</f>
        <v/>
      </c>
      <c r="N137" s="73">
        <f>IF(N104="","Tarih girilmedi",IFERROR(IF(TODAY()&gt;EDATE(N104,12),"Süresi geçti",IF(TODAY()&gt;=EDATE(N104,11),"Yaklaşıyor","Takipte")),"Tarih hatalı"))</f>
        <v/>
      </c>
      <c r="O137" s="73">
        <f>IF(O104="","Tarih girilmedi",IFERROR(IF(TODAY()&gt;EDATE(O104,12),"Süresi geçti",IF(TODAY()&gt;=EDATE(O104,11),"Yaklaşıyor","Takipte")),"Tarih hatalı"))</f>
        <v/>
      </c>
      <c r="P137" s="73">
        <f>IF(P104="","Tarih girilmedi",IFERROR(IF(TODAY()&gt;EDATE(P104,12),"Süresi geçti",IF(TODAY()&gt;=EDATE(P104,11),"Yaklaşıyor","Takipte")),"Tarih hatalı"))</f>
        <v/>
      </c>
      <c r="Q137" s="73">
        <f>IF(Q104="","Tarih girilmedi",IFERROR(IF(TODAY()&gt;EDATE(Q104,12),"Süresi geçti",IF(TODAY()&gt;=EDATE(Q104,11),"Yaklaşıyor","Takipte")),"Tarih hatalı"))</f>
        <v/>
      </c>
      <c r="R137" s="73">
        <f>IF(R104="","Tarih girilmedi",IFERROR(IF(TODAY()&gt;EDATE(R104,12),"Süresi geçti",IF(TODAY()&gt;=EDATE(R104,11),"Yaklaşıyor","Takipte")),"Tarih hatalı"))</f>
        <v/>
      </c>
      <c r="S137" s="73">
        <f>IF(S104="","Tarih girilmedi",IFERROR(IF(TODAY()&gt;EDATE(S104,12),"Süresi geçti",IF(TODAY()&gt;=EDATE(S104,11),"Yaklaşıyor","Takipte")),"Tarih hatalı"))</f>
        <v/>
      </c>
      <c r="T137" s="73">
        <f>IF(T104="","Tarih girilmedi",IFERROR(IF(TODAY()&gt;EDATE(T104,12),"Süresi geçti",IF(TODAY()&gt;=EDATE(T104,11),"Yaklaşıyor","Takipte")),"Tarih hatalı"))</f>
        <v/>
      </c>
      <c r="U137" s="73">
        <f>IF(U104="","Tarih girilmedi",IFERROR(IF(TODAY()&gt;EDATE(U104,12),"Süresi geçti",IF(TODAY()&gt;=EDATE(U104,11),"Yaklaşıyor","Takipte")),"Tarih hatalı"))</f>
        <v/>
      </c>
      <c r="V137" s="73">
        <f>IF(V104="","Tarih girilmedi",IFERROR(IF(TODAY()&gt;EDATE(V104,12),"Süresi geçti",IF(TODAY()&gt;=EDATE(V104,11),"Yaklaşıyor","Takipte")),"Tarih hatalı"))</f>
        <v/>
      </c>
      <c r="W137" s="73">
        <f>IF(W104="","Tarih girilmedi",IFERROR(IF(TODAY()&gt;EDATE(W104,12),"Süresi geçti",IF(TODAY()&gt;=EDATE(W104,11),"Yaklaşıyor","Takipte")),"Tarih hatalı"))</f>
        <v/>
      </c>
      <c r="X137" s="73">
        <f>IF(X104="","Tarih girilmedi",IFERROR(IF(TODAY()&gt;EDATE(X104,12),"Süresi geçti",IF(TODAY()&gt;=EDATE(X104,11),"Yaklaşıyor","Takipte")),"Tarih hatalı"))</f>
        <v/>
      </c>
      <c r="Y137" s="73">
        <f>IF(Y104="","Tarih girilmedi",IFERROR(IF(TODAY()&gt;EDATE(Y104,12),"Süresi geçti",IF(TODAY()&gt;=EDATE(Y104,11),"Yaklaşıyor","Takipte")),"Tarih hatalı"))</f>
        <v/>
      </c>
      <c r="Z137" s="73">
        <f>IF(Z104="","Tarih girilmedi",IFERROR(IF(TODAY()&gt;EDATE(Z104,12),"Süresi geçti",IF(TODAY()&gt;=EDATE(Z104,11),"Yaklaşıyor","Takipte")),"Tarih hatalı"))</f>
        <v/>
      </c>
      <c r="AA137" s="73">
        <f>IF(AA104="","Tarih girilmedi",IFERROR(IF(TODAY()&gt;EDATE(AA104,12),"Süresi geçti",IF(TODAY()&gt;=EDATE(AA104,11),"Yaklaşıyor","Takipte")),"Tarih hatalı"))</f>
        <v/>
      </c>
      <c r="AB137" s="73">
        <f>IF(AB104="","Tarih girilmedi",IFERROR(IF(TODAY()&gt;EDATE(AB104,12),"Süresi geçti",IF(TODAY()&gt;=EDATE(AB104,11),"Yaklaşıyor","Takipte")),"Tarih hatalı"))</f>
        <v/>
      </c>
      <c r="AC137" s="73">
        <f>IF(AC104="","Tarih girilmedi",IFERROR(IF(TODAY()&gt;EDATE(AC104,12),"Süresi geçti",IF(TODAY()&gt;=EDATE(AC104,11),"Yaklaşıyor","Takipte")),"Tarih hatalı"))</f>
        <v/>
      </c>
      <c r="AD137" s="73">
        <f>IF(AD104="","Tarih girilmedi",IFERROR(IF(TODAY()&gt;EDATE(AD104,12),"Süresi geçti",IF(TODAY()&gt;=EDATE(AD104,11),"Yaklaşıyor","Takipte")),"Tarih hatalı"))</f>
        <v/>
      </c>
      <c r="AE137" s="73">
        <f>IF(AE104="","Tarih girilmedi",IFERROR(IF(TODAY()&gt;EDATE(AE104,12),"Süresi geçti",IF(TODAY()&gt;=EDATE(AE104,11),"Yaklaşıyor","Takipte")),"Tarih hatalı"))</f>
        <v/>
      </c>
      <c r="AF137" s="73">
        <f>IF(AF104="","Tarih girilmedi",IFERROR(IF(TODAY()&gt;EDATE(AF104,12),"Süresi geçti",IF(TODAY()&gt;=EDATE(AF104,11),"Yaklaşıyor","Takipte")),"Tarih hatalı"))</f>
        <v/>
      </c>
    </row>
    <row r="138" outlineLevel="1" ht="22" customHeight="1">
      <c r="A138" s="70" t="inlineStr">
        <is>
          <t>Çevre eğitimi sonraki tarih (otomatik, +1 yıl)</t>
        </is>
      </c>
      <c r="B138" s="71" t="inlineStr">
        <is>
          <t>Otomatik</t>
        </is>
      </c>
      <c r="C138" s="72">
        <f>IF(C107="","Tarih girilmedi",IFERROR(EDATE(C107,12),"Tarih hatalı"))</f>
        <v/>
      </c>
      <c r="D138" s="72">
        <f>IF(D107="","Tarih girilmedi",IFERROR(EDATE(D107,12),"Tarih hatalı"))</f>
        <v/>
      </c>
      <c r="E138" s="72">
        <f>IF(E107="","Tarih girilmedi",IFERROR(EDATE(E107,12),"Tarih hatalı"))</f>
        <v/>
      </c>
      <c r="F138" s="72">
        <f>IF(F107="","Tarih girilmedi",IFERROR(EDATE(F107,12),"Tarih hatalı"))</f>
        <v/>
      </c>
      <c r="G138" s="72">
        <f>IF(G107="","Tarih girilmedi",IFERROR(EDATE(G107,12),"Tarih hatalı"))</f>
        <v/>
      </c>
      <c r="H138" s="72">
        <f>IF(H107="","Tarih girilmedi",IFERROR(EDATE(H107,12),"Tarih hatalı"))</f>
        <v/>
      </c>
      <c r="I138" s="72">
        <f>IF(I107="","Tarih girilmedi",IFERROR(EDATE(I107,12),"Tarih hatalı"))</f>
        <v/>
      </c>
      <c r="J138" s="72">
        <f>IF(J107="","Tarih girilmedi",IFERROR(EDATE(J107,12),"Tarih hatalı"))</f>
        <v/>
      </c>
      <c r="K138" s="72">
        <f>IF(K107="","Tarih girilmedi",IFERROR(EDATE(K107,12),"Tarih hatalı"))</f>
        <v/>
      </c>
      <c r="L138" s="72">
        <f>IF(L107="","Tarih girilmedi",IFERROR(EDATE(L107,12),"Tarih hatalı"))</f>
        <v/>
      </c>
      <c r="M138" s="72">
        <f>IF(M107="","Tarih girilmedi",IFERROR(EDATE(M107,12),"Tarih hatalı"))</f>
        <v/>
      </c>
      <c r="N138" s="72">
        <f>IF(N107="","Tarih girilmedi",IFERROR(EDATE(N107,12),"Tarih hatalı"))</f>
        <v/>
      </c>
      <c r="O138" s="72">
        <f>IF(O107="","Tarih girilmedi",IFERROR(EDATE(O107,12),"Tarih hatalı"))</f>
        <v/>
      </c>
      <c r="P138" s="72">
        <f>IF(P107="","Tarih girilmedi",IFERROR(EDATE(P107,12),"Tarih hatalı"))</f>
        <v/>
      </c>
      <c r="Q138" s="72">
        <f>IF(Q107="","Tarih girilmedi",IFERROR(EDATE(Q107,12),"Tarih hatalı"))</f>
        <v/>
      </c>
      <c r="R138" s="72">
        <f>IF(R107="","Tarih girilmedi",IFERROR(EDATE(R107,12),"Tarih hatalı"))</f>
        <v/>
      </c>
      <c r="S138" s="72">
        <f>IF(S107="","Tarih girilmedi",IFERROR(EDATE(S107,12),"Tarih hatalı"))</f>
        <v/>
      </c>
      <c r="T138" s="72">
        <f>IF(T107="","Tarih girilmedi",IFERROR(EDATE(T107,12),"Tarih hatalı"))</f>
        <v/>
      </c>
      <c r="U138" s="72">
        <f>IF(U107="","Tarih girilmedi",IFERROR(EDATE(U107,12),"Tarih hatalı"))</f>
        <v/>
      </c>
      <c r="V138" s="72">
        <f>IF(V107="","Tarih girilmedi",IFERROR(EDATE(V107,12),"Tarih hatalı"))</f>
        <v/>
      </c>
      <c r="W138" s="72">
        <f>IF(W107="","Tarih girilmedi",IFERROR(EDATE(W107,12),"Tarih hatalı"))</f>
        <v/>
      </c>
      <c r="X138" s="72">
        <f>IF(X107="","Tarih girilmedi",IFERROR(EDATE(X107,12),"Tarih hatalı"))</f>
        <v/>
      </c>
      <c r="Y138" s="72">
        <f>IF(Y107="","Tarih girilmedi",IFERROR(EDATE(Y107,12),"Tarih hatalı"))</f>
        <v/>
      </c>
      <c r="Z138" s="72">
        <f>IF(Z107="","Tarih girilmedi",IFERROR(EDATE(Z107,12),"Tarih hatalı"))</f>
        <v/>
      </c>
      <c r="AA138" s="72">
        <f>IF(AA107="","Tarih girilmedi",IFERROR(EDATE(AA107,12),"Tarih hatalı"))</f>
        <v/>
      </c>
      <c r="AB138" s="72">
        <f>IF(AB107="","Tarih girilmedi",IFERROR(EDATE(AB107,12),"Tarih hatalı"))</f>
        <v/>
      </c>
      <c r="AC138" s="72">
        <f>IF(AC107="","Tarih girilmedi",IFERROR(EDATE(AC107,12),"Tarih hatalı"))</f>
        <v/>
      </c>
      <c r="AD138" s="72">
        <f>IF(AD107="","Tarih girilmedi",IFERROR(EDATE(AD107,12),"Tarih hatalı"))</f>
        <v/>
      </c>
      <c r="AE138" s="72">
        <f>IF(AE107="","Tarih girilmedi",IFERROR(EDATE(AE107,12),"Tarih hatalı"))</f>
        <v/>
      </c>
      <c r="AF138" s="72">
        <f>IF(AF107="","Tarih girilmedi",IFERROR(EDATE(AF107,12),"Tarih hatalı"))</f>
        <v/>
      </c>
    </row>
    <row r="139" outlineLevel="1" ht="22" customHeight="1">
      <c r="A139" s="70" t="inlineStr">
        <is>
          <t>Çevre eğitimi uyarı başlangıcı (1 ay önce)</t>
        </is>
      </c>
      <c r="B139" s="71" t="inlineStr">
        <is>
          <t>Otomatik</t>
        </is>
      </c>
      <c r="C139" s="72">
        <f>IF(C107="","Tarih girilmedi",IFERROR(EDATE(C107,11),"Tarih hatalı"))</f>
        <v/>
      </c>
      <c r="D139" s="72">
        <f>IF(D107="","Tarih girilmedi",IFERROR(EDATE(D107,11),"Tarih hatalı"))</f>
        <v/>
      </c>
      <c r="E139" s="72">
        <f>IF(E107="","Tarih girilmedi",IFERROR(EDATE(E107,11),"Tarih hatalı"))</f>
        <v/>
      </c>
      <c r="F139" s="72">
        <f>IF(F107="","Tarih girilmedi",IFERROR(EDATE(F107,11),"Tarih hatalı"))</f>
        <v/>
      </c>
      <c r="G139" s="72">
        <f>IF(G107="","Tarih girilmedi",IFERROR(EDATE(G107,11),"Tarih hatalı"))</f>
        <v/>
      </c>
      <c r="H139" s="72">
        <f>IF(H107="","Tarih girilmedi",IFERROR(EDATE(H107,11),"Tarih hatalı"))</f>
        <v/>
      </c>
      <c r="I139" s="72">
        <f>IF(I107="","Tarih girilmedi",IFERROR(EDATE(I107,11),"Tarih hatalı"))</f>
        <v/>
      </c>
      <c r="J139" s="72">
        <f>IF(J107="","Tarih girilmedi",IFERROR(EDATE(J107,11),"Tarih hatalı"))</f>
        <v/>
      </c>
      <c r="K139" s="72">
        <f>IF(K107="","Tarih girilmedi",IFERROR(EDATE(K107,11),"Tarih hatalı"))</f>
        <v/>
      </c>
      <c r="L139" s="72">
        <f>IF(L107="","Tarih girilmedi",IFERROR(EDATE(L107,11),"Tarih hatalı"))</f>
        <v/>
      </c>
      <c r="M139" s="72">
        <f>IF(M107="","Tarih girilmedi",IFERROR(EDATE(M107,11),"Tarih hatalı"))</f>
        <v/>
      </c>
      <c r="N139" s="72">
        <f>IF(N107="","Tarih girilmedi",IFERROR(EDATE(N107,11),"Tarih hatalı"))</f>
        <v/>
      </c>
      <c r="O139" s="72">
        <f>IF(O107="","Tarih girilmedi",IFERROR(EDATE(O107,11),"Tarih hatalı"))</f>
        <v/>
      </c>
      <c r="P139" s="72">
        <f>IF(P107="","Tarih girilmedi",IFERROR(EDATE(P107,11),"Tarih hatalı"))</f>
        <v/>
      </c>
      <c r="Q139" s="72">
        <f>IF(Q107="","Tarih girilmedi",IFERROR(EDATE(Q107,11),"Tarih hatalı"))</f>
        <v/>
      </c>
      <c r="R139" s="72">
        <f>IF(R107="","Tarih girilmedi",IFERROR(EDATE(R107,11),"Tarih hatalı"))</f>
        <v/>
      </c>
      <c r="S139" s="72">
        <f>IF(S107="","Tarih girilmedi",IFERROR(EDATE(S107,11),"Tarih hatalı"))</f>
        <v/>
      </c>
      <c r="T139" s="72">
        <f>IF(T107="","Tarih girilmedi",IFERROR(EDATE(T107,11),"Tarih hatalı"))</f>
        <v/>
      </c>
      <c r="U139" s="72">
        <f>IF(U107="","Tarih girilmedi",IFERROR(EDATE(U107,11),"Tarih hatalı"))</f>
        <v/>
      </c>
      <c r="V139" s="72">
        <f>IF(V107="","Tarih girilmedi",IFERROR(EDATE(V107,11),"Tarih hatalı"))</f>
        <v/>
      </c>
      <c r="W139" s="72">
        <f>IF(W107="","Tarih girilmedi",IFERROR(EDATE(W107,11),"Tarih hatalı"))</f>
        <v/>
      </c>
      <c r="X139" s="72">
        <f>IF(X107="","Tarih girilmedi",IFERROR(EDATE(X107,11),"Tarih hatalı"))</f>
        <v/>
      </c>
      <c r="Y139" s="72">
        <f>IF(Y107="","Tarih girilmedi",IFERROR(EDATE(Y107,11),"Tarih hatalı"))</f>
        <v/>
      </c>
      <c r="Z139" s="72">
        <f>IF(Z107="","Tarih girilmedi",IFERROR(EDATE(Z107,11),"Tarih hatalı"))</f>
        <v/>
      </c>
      <c r="AA139" s="72">
        <f>IF(AA107="","Tarih girilmedi",IFERROR(EDATE(AA107,11),"Tarih hatalı"))</f>
        <v/>
      </c>
      <c r="AB139" s="72">
        <f>IF(AB107="","Tarih girilmedi",IFERROR(EDATE(AB107,11),"Tarih hatalı"))</f>
        <v/>
      </c>
      <c r="AC139" s="72">
        <f>IF(AC107="","Tarih girilmedi",IFERROR(EDATE(AC107,11),"Tarih hatalı"))</f>
        <v/>
      </c>
      <c r="AD139" s="72">
        <f>IF(AD107="","Tarih girilmedi",IFERROR(EDATE(AD107,11),"Tarih hatalı"))</f>
        <v/>
      </c>
      <c r="AE139" s="72">
        <f>IF(AE107="","Tarih girilmedi",IFERROR(EDATE(AE107,11),"Tarih hatalı"))</f>
        <v/>
      </c>
      <c r="AF139" s="72">
        <f>IF(AF107="","Tarih girilmedi",IFERROR(EDATE(AF107,11),"Tarih hatalı"))</f>
        <v/>
      </c>
    </row>
    <row r="140" outlineLevel="1" ht="22" customHeight="1">
      <c r="A140" s="70" t="inlineStr">
        <is>
          <t>Çevre eğitimi hatırlatıcı</t>
        </is>
      </c>
      <c r="B140" s="71" t="inlineStr">
        <is>
          <t>Otomatik</t>
        </is>
      </c>
      <c r="C140" s="73">
        <f>IF(C107="","Tarih girilmedi",IFERROR(IF(TODAY()&gt;EDATE(C107,12),"Süresi geçti",IF(TODAY()&gt;=EDATE(C107,11),"Yaklaşıyor","Takipte")),"Tarih hatalı"))</f>
        <v/>
      </c>
      <c r="D140" s="73">
        <f>IF(D107="","Tarih girilmedi",IFERROR(IF(TODAY()&gt;EDATE(D107,12),"Süresi geçti",IF(TODAY()&gt;=EDATE(D107,11),"Yaklaşıyor","Takipte")),"Tarih hatalı"))</f>
        <v/>
      </c>
      <c r="E140" s="73">
        <f>IF(E107="","Tarih girilmedi",IFERROR(IF(TODAY()&gt;EDATE(E107,12),"Süresi geçti",IF(TODAY()&gt;=EDATE(E107,11),"Yaklaşıyor","Takipte")),"Tarih hatalı"))</f>
        <v/>
      </c>
      <c r="F140" s="73">
        <f>IF(F107="","Tarih girilmedi",IFERROR(IF(TODAY()&gt;EDATE(F107,12),"Süresi geçti",IF(TODAY()&gt;=EDATE(F107,11),"Yaklaşıyor","Takipte")),"Tarih hatalı"))</f>
        <v/>
      </c>
      <c r="G140" s="73">
        <f>IF(G107="","Tarih girilmedi",IFERROR(IF(TODAY()&gt;EDATE(G107,12),"Süresi geçti",IF(TODAY()&gt;=EDATE(G107,11),"Yaklaşıyor","Takipte")),"Tarih hatalı"))</f>
        <v/>
      </c>
      <c r="H140" s="73">
        <f>IF(H107="","Tarih girilmedi",IFERROR(IF(TODAY()&gt;EDATE(H107,12),"Süresi geçti",IF(TODAY()&gt;=EDATE(H107,11),"Yaklaşıyor","Takipte")),"Tarih hatalı"))</f>
        <v/>
      </c>
      <c r="I140" s="73">
        <f>IF(I107="","Tarih girilmedi",IFERROR(IF(TODAY()&gt;EDATE(I107,12),"Süresi geçti",IF(TODAY()&gt;=EDATE(I107,11),"Yaklaşıyor","Takipte")),"Tarih hatalı"))</f>
        <v/>
      </c>
      <c r="J140" s="73">
        <f>IF(J107="","Tarih girilmedi",IFERROR(IF(TODAY()&gt;EDATE(J107,12),"Süresi geçti",IF(TODAY()&gt;=EDATE(J107,11),"Yaklaşıyor","Takipte")),"Tarih hatalı"))</f>
        <v/>
      </c>
      <c r="K140" s="73">
        <f>IF(K107="","Tarih girilmedi",IFERROR(IF(TODAY()&gt;EDATE(K107,12),"Süresi geçti",IF(TODAY()&gt;=EDATE(K107,11),"Yaklaşıyor","Takipte")),"Tarih hatalı"))</f>
        <v/>
      </c>
      <c r="L140" s="73">
        <f>IF(L107="","Tarih girilmedi",IFERROR(IF(TODAY()&gt;EDATE(L107,12),"Süresi geçti",IF(TODAY()&gt;=EDATE(L107,11),"Yaklaşıyor","Takipte")),"Tarih hatalı"))</f>
        <v/>
      </c>
      <c r="M140" s="73">
        <f>IF(M107="","Tarih girilmedi",IFERROR(IF(TODAY()&gt;EDATE(M107,12),"Süresi geçti",IF(TODAY()&gt;=EDATE(M107,11),"Yaklaşıyor","Takipte")),"Tarih hatalı"))</f>
        <v/>
      </c>
      <c r="N140" s="73">
        <f>IF(N107="","Tarih girilmedi",IFERROR(IF(TODAY()&gt;EDATE(N107,12),"Süresi geçti",IF(TODAY()&gt;=EDATE(N107,11),"Yaklaşıyor","Takipte")),"Tarih hatalı"))</f>
        <v/>
      </c>
      <c r="O140" s="73">
        <f>IF(O107="","Tarih girilmedi",IFERROR(IF(TODAY()&gt;EDATE(O107,12),"Süresi geçti",IF(TODAY()&gt;=EDATE(O107,11),"Yaklaşıyor","Takipte")),"Tarih hatalı"))</f>
        <v/>
      </c>
      <c r="P140" s="73">
        <f>IF(P107="","Tarih girilmedi",IFERROR(IF(TODAY()&gt;EDATE(P107,12),"Süresi geçti",IF(TODAY()&gt;=EDATE(P107,11),"Yaklaşıyor","Takipte")),"Tarih hatalı"))</f>
        <v/>
      </c>
      <c r="Q140" s="73">
        <f>IF(Q107="","Tarih girilmedi",IFERROR(IF(TODAY()&gt;EDATE(Q107,12),"Süresi geçti",IF(TODAY()&gt;=EDATE(Q107,11),"Yaklaşıyor","Takipte")),"Tarih hatalı"))</f>
        <v/>
      </c>
      <c r="R140" s="73">
        <f>IF(R107="","Tarih girilmedi",IFERROR(IF(TODAY()&gt;EDATE(R107,12),"Süresi geçti",IF(TODAY()&gt;=EDATE(R107,11),"Yaklaşıyor","Takipte")),"Tarih hatalı"))</f>
        <v/>
      </c>
      <c r="S140" s="73">
        <f>IF(S107="","Tarih girilmedi",IFERROR(IF(TODAY()&gt;EDATE(S107,12),"Süresi geçti",IF(TODAY()&gt;=EDATE(S107,11),"Yaklaşıyor","Takipte")),"Tarih hatalı"))</f>
        <v/>
      </c>
      <c r="T140" s="73">
        <f>IF(T107="","Tarih girilmedi",IFERROR(IF(TODAY()&gt;EDATE(T107,12),"Süresi geçti",IF(TODAY()&gt;=EDATE(T107,11),"Yaklaşıyor","Takipte")),"Tarih hatalı"))</f>
        <v/>
      </c>
      <c r="U140" s="73">
        <f>IF(U107="","Tarih girilmedi",IFERROR(IF(TODAY()&gt;EDATE(U107,12),"Süresi geçti",IF(TODAY()&gt;=EDATE(U107,11),"Yaklaşıyor","Takipte")),"Tarih hatalı"))</f>
        <v/>
      </c>
      <c r="V140" s="73">
        <f>IF(V107="","Tarih girilmedi",IFERROR(IF(TODAY()&gt;EDATE(V107,12),"Süresi geçti",IF(TODAY()&gt;=EDATE(V107,11),"Yaklaşıyor","Takipte")),"Tarih hatalı"))</f>
        <v/>
      </c>
      <c r="W140" s="73">
        <f>IF(W107="","Tarih girilmedi",IFERROR(IF(TODAY()&gt;EDATE(W107,12),"Süresi geçti",IF(TODAY()&gt;=EDATE(W107,11),"Yaklaşıyor","Takipte")),"Tarih hatalı"))</f>
        <v/>
      </c>
      <c r="X140" s="73">
        <f>IF(X107="","Tarih girilmedi",IFERROR(IF(TODAY()&gt;EDATE(X107,12),"Süresi geçti",IF(TODAY()&gt;=EDATE(X107,11),"Yaklaşıyor","Takipte")),"Tarih hatalı"))</f>
        <v/>
      </c>
      <c r="Y140" s="73">
        <f>IF(Y107="","Tarih girilmedi",IFERROR(IF(TODAY()&gt;EDATE(Y107,12),"Süresi geçti",IF(TODAY()&gt;=EDATE(Y107,11),"Yaklaşıyor","Takipte")),"Tarih hatalı"))</f>
        <v/>
      </c>
      <c r="Z140" s="73">
        <f>IF(Z107="","Tarih girilmedi",IFERROR(IF(TODAY()&gt;EDATE(Z107,12),"Süresi geçti",IF(TODAY()&gt;=EDATE(Z107,11),"Yaklaşıyor","Takipte")),"Tarih hatalı"))</f>
        <v/>
      </c>
      <c r="AA140" s="73">
        <f>IF(AA107="","Tarih girilmedi",IFERROR(IF(TODAY()&gt;EDATE(AA107,12),"Süresi geçti",IF(TODAY()&gt;=EDATE(AA107,11),"Yaklaşıyor","Takipte")),"Tarih hatalı"))</f>
        <v/>
      </c>
      <c r="AB140" s="73">
        <f>IF(AB107="","Tarih girilmedi",IFERROR(IF(TODAY()&gt;EDATE(AB107,12),"Süresi geçti",IF(TODAY()&gt;=EDATE(AB107,11),"Yaklaşıyor","Takipte")),"Tarih hatalı"))</f>
        <v/>
      </c>
      <c r="AC140" s="73">
        <f>IF(AC107="","Tarih girilmedi",IFERROR(IF(TODAY()&gt;EDATE(AC107,12),"Süresi geçti",IF(TODAY()&gt;=EDATE(AC107,11),"Yaklaşıyor","Takipte")),"Tarih hatalı"))</f>
        <v/>
      </c>
      <c r="AD140" s="73">
        <f>IF(AD107="","Tarih girilmedi",IFERROR(IF(TODAY()&gt;EDATE(AD107,12),"Süresi geçti",IF(TODAY()&gt;=EDATE(AD107,11),"Yaklaşıyor","Takipte")),"Tarih hatalı"))</f>
        <v/>
      </c>
      <c r="AE140" s="73">
        <f>IF(AE107="","Tarih girilmedi",IFERROR(IF(TODAY()&gt;EDATE(AE107,12),"Süresi geçti",IF(TODAY()&gt;=EDATE(AE107,11),"Yaklaşıyor","Takipte")),"Tarih hatalı"))</f>
        <v/>
      </c>
      <c r="AF140" s="73">
        <f>IF(AF107="","Tarih girilmedi",IFERROR(IF(TODAY()&gt;EDATE(AF107,12),"Süresi geçti",IF(TODAY()&gt;=EDATE(AF107,11),"Yaklaşıyor","Takipte")),"Tarih hatalı"))</f>
        <v/>
      </c>
    </row>
    <row r="141" outlineLevel="1" ht="22" customHeight="1">
      <c r="A141" s="70" t="inlineStr">
        <is>
          <t>Sıfır Atık Belgesi bitiş tarihi (otomatik, +5 yıl)</t>
        </is>
      </c>
      <c r="B141" s="71" t="inlineStr">
        <is>
          <t>Otomatik</t>
        </is>
      </c>
      <c r="C141" s="72">
        <f>IF(C76="","Tarih girilmedi",IFERROR(EDATE(C76,60),"Tarih hatalı"))</f>
        <v/>
      </c>
      <c r="D141" s="72">
        <f>IF(D76="","Tarih girilmedi",IFERROR(EDATE(D76,60),"Tarih hatalı"))</f>
        <v/>
      </c>
      <c r="E141" s="72">
        <f>IF(E76="","Tarih girilmedi",IFERROR(EDATE(E76,60),"Tarih hatalı"))</f>
        <v/>
      </c>
      <c r="F141" s="72">
        <f>IF(F76="","Tarih girilmedi",IFERROR(EDATE(F76,60),"Tarih hatalı"))</f>
        <v/>
      </c>
      <c r="G141" s="72">
        <f>IF(G76="","Tarih girilmedi",IFERROR(EDATE(G76,60),"Tarih hatalı"))</f>
        <v/>
      </c>
      <c r="H141" s="72">
        <f>IF(H76="","Tarih girilmedi",IFERROR(EDATE(H76,60),"Tarih hatalı"))</f>
        <v/>
      </c>
      <c r="I141" s="72">
        <f>IF(I76="","Tarih girilmedi",IFERROR(EDATE(I76,60),"Tarih hatalı"))</f>
        <v/>
      </c>
      <c r="J141" s="72">
        <f>IF(J76="","Tarih girilmedi",IFERROR(EDATE(J76,60),"Tarih hatalı"))</f>
        <v/>
      </c>
      <c r="K141" s="72">
        <f>IF(K76="","Tarih girilmedi",IFERROR(EDATE(K76,60),"Tarih hatalı"))</f>
        <v/>
      </c>
      <c r="L141" s="72">
        <f>IF(L76="","Tarih girilmedi",IFERROR(EDATE(L76,60),"Tarih hatalı"))</f>
        <v/>
      </c>
      <c r="M141" s="72">
        <f>IF(M76="","Tarih girilmedi",IFERROR(EDATE(M76,60),"Tarih hatalı"))</f>
        <v/>
      </c>
      <c r="N141" s="72">
        <f>IF(N76="","Tarih girilmedi",IFERROR(EDATE(N76,60),"Tarih hatalı"))</f>
        <v/>
      </c>
      <c r="O141" s="72">
        <f>IF(O76="","Tarih girilmedi",IFERROR(EDATE(O76,60),"Tarih hatalı"))</f>
        <v/>
      </c>
      <c r="P141" s="72">
        <f>IF(P76="","Tarih girilmedi",IFERROR(EDATE(P76,60),"Tarih hatalı"))</f>
        <v/>
      </c>
      <c r="Q141" s="72">
        <f>IF(Q76="","Tarih girilmedi",IFERROR(EDATE(Q76,60),"Tarih hatalı"))</f>
        <v/>
      </c>
      <c r="R141" s="72">
        <f>IF(R76="","Tarih girilmedi",IFERROR(EDATE(R76,60),"Tarih hatalı"))</f>
        <v/>
      </c>
      <c r="S141" s="72">
        <f>IF(S76="","Tarih girilmedi",IFERROR(EDATE(S76,60),"Tarih hatalı"))</f>
        <v/>
      </c>
      <c r="T141" s="72">
        <f>IF(T76="","Tarih girilmedi",IFERROR(EDATE(T76,60),"Tarih hatalı"))</f>
        <v/>
      </c>
      <c r="U141" s="72">
        <f>IF(U76="","Tarih girilmedi",IFERROR(EDATE(U76,60),"Tarih hatalı"))</f>
        <v/>
      </c>
      <c r="V141" s="72">
        <f>IF(V76="","Tarih girilmedi",IFERROR(EDATE(V76,60),"Tarih hatalı"))</f>
        <v/>
      </c>
      <c r="W141" s="72">
        <f>IF(W76="","Tarih girilmedi",IFERROR(EDATE(W76,60),"Tarih hatalı"))</f>
        <v/>
      </c>
      <c r="X141" s="72">
        <f>IF(X76="","Tarih girilmedi",IFERROR(EDATE(X76,60),"Tarih hatalı"))</f>
        <v/>
      </c>
      <c r="Y141" s="72">
        <f>IF(Y76="","Tarih girilmedi",IFERROR(EDATE(Y76,60),"Tarih hatalı"))</f>
        <v/>
      </c>
      <c r="Z141" s="72">
        <f>IF(Z76="","Tarih girilmedi",IFERROR(EDATE(Z76,60),"Tarih hatalı"))</f>
        <v/>
      </c>
      <c r="AA141" s="72">
        <f>IF(AA76="","Tarih girilmedi",IFERROR(EDATE(AA76,60),"Tarih hatalı"))</f>
        <v/>
      </c>
      <c r="AB141" s="72">
        <f>IF(AB76="","Tarih girilmedi",IFERROR(EDATE(AB76,60),"Tarih hatalı"))</f>
        <v/>
      </c>
      <c r="AC141" s="72">
        <f>IF(AC76="","Tarih girilmedi",IFERROR(EDATE(AC76,60),"Tarih hatalı"))</f>
        <v/>
      </c>
      <c r="AD141" s="72">
        <f>IF(AD76="","Tarih girilmedi",IFERROR(EDATE(AD76,60),"Tarih hatalı"))</f>
        <v/>
      </c>
      <c r="AE141" s="72">
        <f>IF(AE76="","Tarih girilmedi",IFERROR(EDATE(AE76,60),"Tarih hatalı"))</f>
        <v/>
      </c>
      <c r="AF141" s="72">
        <f>IF(AF76="","Tarih girilmedi",IFERROR(EDATE(AF76,60),"Tarih hatalı"))</f>
        <v/>
      </c>
    </row>
    <row r="142" outlineLevel="1" ht="22" customHeight="1">
      <c r="A142" s="70" t="inlineStr">
        <is>
          <t>Sıfır Atık yenileme başvuru tarihi (3 ay önce)</t>
        </is>
      </c>
      <c r="B142" s="71" t="inlineStr">
        <is>
          <t>Otomatik</t>
        </is>
      </c>
      <c r="C142" s="72">
        <f>IF(C76="","Tarih girilmedi",IFERROR(EDATE(C76,57),"Tarih hatalı"))</f>
        <v/>
      </c>
      <c r="D142" s="72">
        <f>IF(D76="","Tarih girilmedi",IFERROR(EDATE(D76,57),"Tarih hatalı"))</f>
        <v/>
      </c>
      <c r="E142" s="72">
        <f>IF(E76="","Tarih girilmedi",IFERROR(EDATE(E76,57),"Tarih hatalı"))</f>
        <v/>
      </c>
      <c r="F142" s="72">
        <f>IF(F76="","Tarih girilmedi",IFERROR(EDATE(F76,57),"Tarih hatalı"))</f>
        <v/>
      </c>
      <c r="G142" s="72">
        <f>IF(G76="","Tarih girilmedi",IFERROR(EDATE(G76,57),"Tarih hatalı"))</f>
        <v/>
      </c>
      <c r="H142" s="72">
        <f>IF(H76="","Tarih girilmedi",IFERROR(EDATE(H76,57),"Tarih hatalı"))</f>
        <v/>
      </c>
      <c r="I142" s="72">
        <f>IF(I76="","Tarih girilmedi",IFERROR(EDATE(I76,57),"Tarih hatalı"))</f>
        <v/>
      </c>
      <c r="J142" s="72">
        <f>IF(J76="","Tarih girilmedi",IFERROR(EDATE(J76,57),"Tarih hatalı"))</f>
        <v/>
      </c>
      <c r="K142" s="72">
        <f>IF(K76="","Tarih girilmedi",IFERROR(EDATE(K76,57),"Tarih hatalı"))</f>
        <v/>
      </c>
      <c r="L142" s="72">
        <f>IF(L76="","Tarih girilmedi",IFERROR(EDATE(L76,57),"Tarih hatalı"))</f>
        <v/>
      </c>
      <c r="M142" s="72">
        <f>IF(M76="","Tarih girilmedi",IFERROR(EDATE(M76,57),"Tarih hatalı"))</f>
        <v/>
      </c>
      <c r="N142" s="72">
        <f>IF(N76="","Tarih girilmedi",IFERROR(EDATE(N76,57),"Tarih hatalı"))</f>
        <v/>
      </c>
      <c r="O142" s="72">
        <f>IF(O76="","Tarih girilmedi",IFERROR(EDATE(O76,57),"Tarih hatalı"))</f>
        <v/>
      </c>
      <c r="P142" s="72">
        <f>IF(P76="","Tarih girilmedi",IFERROR(EDATE(P76,57),"Tarih hatalı"))</f>
        <v/>
      </c>
      <c r="Q142" s="72">
        <f>IF(Q76="","Tarih girilmedi",IFERROR(EDATE(Q76,57),"Tarih hatalı"))</f>
        <v/>
      </c>
      <c r="R142" s="72">
        <f>IF(R76="","Tarih girilmedi",IFERROR(EDATE(R76,57),"Tarih hatalı"))</f>
        <v/>
      </c>
      <c r="S142" s="72">
        <f>IF(S76="","Tarih girilmedi",IFERROR(EDATE(S76,57),"Tarih hatalı"))</f>
        <v/>
      </c>
      <c r="T142" s="72">
        <f>IF(T76="","Tarih girilmedi",IFERROR(EDATE(T76,57),"Tarih hatalı"))</f>
        <v/>
      </c>
      <c r="U142" s="72">
        <f>IF(U76="","Tarih girilmedi",IFERROR(EDATE(U76,57),"Tarih hatalı"))</f>
        <v/>
      </c>
      <c r="V142" s="72">
        <f>IF(V76="","Tarih girilmedi",IFERROR(EDATE(V76,57),"Tarih hatalı"))</f>
        <v/>
      </c>
      <c r="W142" s="72">
        <f>IF(W76="","Tarih girilmedi",IFERROR(EDATE(W76,57),"Tarih hatalı"))</f>
        <v/>
      </c>
      <c r="X142" s="72">
        <f>IF(X76="","Tarih girilmedi",IFERROR(EDATE(X76,57),"Tarih hatalı"))</f>
        <v/>
      </c>
      <c r="Y142" s="72">
        <f>IF(Y76="","Tarih girilmedi",IFERROR(EDATE(Y76,57),"Tarih hatalı"))</f>
        <v/>
      </c>
      <c r="Z142" s="72">
        <f>IF(Z76="","Tarih girilmedi",IFERROR(EDATE(Z76,57),"Tarih hatalı"))</f>
        <v/>
      </c>
      <c r="AA142" s="72">
        <f>IF(AA76="","Tarih girilmedi",IFERROR(EDATE(AA76,57),"Tarih hatalı"))</f>
        <v/>
      </c>
      <c r="AB142" s="72">
        <f>IF(AB76="","Tarih girilmedi",IFERROR(EDATE(AB76,57),"Tarih hatalı"))</f>
        <v/>
      </c>
      <c r="AC142" s="72">
        <f>IF(AC76="","Tarih girilmedi",IFERROR(EDATE(AC76,57),"Tarih hatalı"))</f>
        <v/>
      </c>
      <c r="AD142" s="72">
        <f>IF(AD76="","Tarih girilmedi",IFERROR(EDATE(AD76,57),"Tarih hatalı"))</f>
        <v/>
      </c>
      <c r="AE142" s="72">
        <f>IF(AE76="","Tarih girilmedi",IFERROR(EDATE(AE76,57),"Tarih hatalı"))</f>
        <v/>
      </c>
      <c r="AF142" s="72">
        <f>IF(AF76="","Tarih girilmedi",IFERROR(EDATE(AF76,57),"Tarih hatalı"))</f>
        <v/>
      </c>
    </row>
    <row r="143" outlineLevel="1" ht="22" customHeight="1">
      <c r="A143" s="70" t="inlineStr">
        <is>
          <t>Sıfır Atık hatırlatıcı</t>
        </is>
      </c>
      <c r="B143" s="71" t="inlineStr">
        <is>
          <t>Otomatik</t>
        </is>
      </c>
      <c r="C143" s="73">
        <f>IF(C76="","Tarih girilmedi",IFERROR(IF(TODAY()&gt;EDATE(C76,60),"Süresi geçti",IF(TODAY()&gt;=EDATE(C76,57),"Yaklaşıyor","Takipte")),"Tarih hatalı"))</f>
        <v/>
      </c>
      <c r="D143" s="73">
        <f>IF(D76="","Tarih girilmedi",IFERROR(IF(TODAY()&gt;EDATE(D76,60),"Süresi geçti",IF(TODAY()&gt;=EDATE(D76,57),"Yaklaşıyor","Takipte")),"Tarih hatalı"))</f>
        <v/>
      </c>
      <c r="E143" s="73">
        <f>IF(E76="","Tarih girilmedi",IFERROR(IF(TODAY()&gt;EDATE(E76,60),"Süresi geçti",IF(TODAY()&gt;=EDATE(E76,57),"Yaklaşıyor","Takipte")),"Tarih hatalı"))</f>
        <v/>
      </c>
      <c r="F143" s="73">
        <f>IF(F76="","Tarih girilmedi",IFERROR(IF(TODAY()&gt;EDATE(F76,60),"Süresi geçti",IF(TODAY()&gt;=EDATE(F76,57),"Yaklaşıyor","Takipte")),"Tarih hatalı"))</f>
        <v/>
      </c>
      <c r="G143" s="73">
        <f>IF(G76="","Tarih girilmedi",IFERROR(IF(TODAY()&gt;EDATE(G76,60),"Süresi geçti",IF(TODAY()&gt;=EDATE(G76,57),"Yaklaşıyor","Takipte")),"Tarih hatalı"))</f>
        <v/>
      </c>
      <c r="H143" s="73">
        <f>IF(H76="","Tarih girilmedi",IFERROR(IF(TODAY()&gt;EDATE(H76,60),"Süresi geçti",IF(TODAY()&gt;=EDATE(H76,57),"Yaklaşıyor","Takipte")),"Tarih hatalı"))</f>
        <v/>
      </c>
      <c r="I143" s="73">
        <f>IF(I76="","Tarih girilmedi",IFERROR(IF(TODAY()&gt;EDATE(I76,60),"Süresi geçti",IF(TODAY()&gt;=EDATE(I76,57),"Yaklaşıyor","Takipte")),"Tarih hatalı"))</f>
        <v/>
      </c>
      <c r="J143" s="73">
        <f>IF(J76="","Tarih girilmedi",IFERROR(IF(TODAY()&gt;EDATE(J76,60),"Süresi geçti",IF(TODAY()&gt;=EDATE(J76,57),"Yaklaşıyor","Takipte")),"Tarih hatalı"))</f>
        <v/>
      </c>
      <c r="K143" s="73">
        <f>IF(K76="","Tarih girilmedi",IFERROR(IF(TODAY()&gt;EDATE(K76,60),"Süresi geçti",IF(TODAY()&gt;=EDATE(K76,57),"Yaklaşıyor","Takipte")),"Tarih hatalı"))</f>
        <v/>
      </c>
      <c r="L143" s="73">
        <f>IF(L76="","Tarih girilmedi",IFERROR(IF(TODAY()&gt;EDATE(L76,60),"Süresi geçti",IF(TODAY()&gt;=EDATE(L76,57),"Yaklaşıyor","Takipte")),"Tarih hatalı"))</f>
        <v/>
      </c>
      <c r="M143" s="73">
        <f>IF(M76="","Tarih girilmedi",IFERROR(IF(TODAY()&gt;EDATE(M76,60),"Süresi geçti",IF(TODAY()&gt;=EDATE(M76,57),"Yaklaşıyor","Takipte")),"Tarih hatalı"))</f>
        <v/>
      </c>
      <c r="N143" s="73">
        <f>IF(N76="","Tarih girilmedi",IFERROR(IF(TODAY()&gt;EDATE(N76,60),"Süresi geçti",IF(TODAY()&gt;=EDATE(N76,57),"Yaklaşıyor","Takipte")),"Tarih hatalı"))</f>
        <v/>
      </c>
      <c r="O143" s="73">
        <f>IF(O76="","Tarih girilmedi",IFERROR(IF(TODAY()&gt;EDATE(O76,60),"Süresi geçti",IF(TODAY()&gt;=EDATE(O76,57),"Yaklaşıyor","Takipte")),"Tarih hatalı"))</f>
        <v/>
      </c>
      <c r="P143" s="73">
        <f>IF(P76="","Tarih girilmedi",IFERROR(IF(TODAY()&gt;EDATE(P76,60),"Süresi geçti",IF(TODAY()&gt;=EDATE(P76,57),"Yaklaşıyor","Takipte")),"Tarih hatalı"))</f>
        <v/>
      </c>
      <c r="Q143" s="73">
        <f>IF(Q76="","Tarih girilmedi",IFERROR(IF(TODAY()&gt;EDATE(Q76,60),"Süresi geçti",IF(TODAY()&gt;=EDATE(Q76,57),"Yaklaşıyor","Takipte")),"Tarih hatalı"))</f>
        <v/>
      </c>
      <c r="R143" s="73">
        <f>IF(R76="","Tarih girilmedi",IFERROR(IF(TODAY()&gt;EDATE(R76,60),"Süresi geçti",IF(TODAY()&gt;=EDATE(R76,57),"Yaklaşıyor","Takipte")),"Tarih hatalı"))</f>
        <v/>
      </c>
      <c r="S143" s="73">
        <f>IF(S76="","Tarih girilmedi",IFERROR(IF(TODAY()&gt;EDATE(S76,60),"Süresi geçti",IF(TODAY()&gt;=EDATE(S76,57),"Yaklaşıyor","Takipte")),"Tarih hatalı"))</f>
        <v/>
      </c>
      <c r="T143" s="73">
        <f>IF(T76="","Tarih girilmedi",IFERROR(IF(TODAY()&gt;EDATE(T76,60),"Süresi geçti",IF(TODAY()&gt;=EDATE(T76,57),"Yaklaşıyor","Takipte")),"Tarih hatalı"))</f>
        <v/>
      </c>
      <c r="U143" s="73">
        <f>IF(U76="","Tarih girilmedi",IFERROR(IF(TODAY()&gt;EDATE(U76,60),"Süresi geçti",IF(TODAY()&gt;=EDATE(U76,57),"Yaklaşıyor","Takipte")),"Tarih hatalı"))</f>
        <v/>
      </c>
      <c r="V143" s="73">
        <f>IF(V76="","Tarih girilmedi",IFERROR(IF(TODAY()&gt;EDATE(V76,60),"Süresi geçti",IF(TODAY()&gt;=EDATE(V76,57),"Yaklaşıyor","Takipte")),"Tarih hatalı"))</f>
        <v/>
      </c>
      <c r="W143" s="73">
        <f>IF(W76="","Tarih girilmedi",IFERROR(IF(TODAY()&gt;EDATE(W76,60),"Süresi geçti",IF(TODAY()&gt;=EDATE(W76,57),"Yaklaşıyor","Takipte")),"Tarih hatalı"))</f>
        <v/>
      </c>
      <c r="X143" s="73">
        <f>IF(X76="","Tarih girilmedi",IFERROR(IF(TODAY()&gt;EDATE(X76,60),"Süresi geçti",IF(TODAY()&gt;=EDATE(X76,57),"Yaklaşıyor","Takipte")),"Tarih hatalı"))</f>
        <v/>
      </c>
      <c r="Y143" s="73">
        <f>IF(Y76="","Tarih girilmedi",IFERROR(IF(TODAY()&gt;EDATE(Y76,60),"Süresi geçti",IF(TODAY()&gt;=EDATE(Y76,57),"Yaklaşıyor","Takipte")),"Tarih hatalı"))</f>
        <v/>
      </c>
      <c r="Z143" s="73">
        <f>IF(Z76="","Tarih girilmedi",IFERROR(IF(TODAY()&gt;EDATE(Z76,60),"Süresi geçti",IF(TODAY()&gt;=EDATE(Z76,57),"Yaklaşıyor","Takipte")),"Tarih hatalı"))</f>
        <v/>
      </c>
      <c r="AA143" s="73">
        <f>IF(AA76="","Tarih girilmedi",IFERROR(IF(TODAY()&gt;EDATE(AA76,60),"Süresi geçti",IF(TODAY()&gt;=EDATE(AA76,57),"Yaklaşıyor","Takipte")),"Tarih hatalı"))</f>
        <v/>
      </c>
      <c r="AB143" s="73">
        <f>IF(AB76="","Tarih girilmedi",IFERROR(IF(TODAY()&gt;EDATE(AB76,60),"Süresi geçti",IF(TODAY()&gt;=EDATE(AB76,57),"Yaklaşıyor","Takipte")),"Tarih hatalı"))</f>
        <v/>
      </c>
      <c r="AC143" s="73">
        <f>IF(AC76="","Tarih girilmedi",IFERROR(IF(TODAY()&gt;EDATE(AC76,60),"Süresi geçti",IF(TODAY()&gt;=EDATE(AC76,57),"Yaklaşıyor","Takipte")),"Tarih hatalı"))</f>
        <v/>
      </c>
      <c r="AD143" s="73">
        <f>IF(AD76="","Tarih girilmedi",IFERROR(IF(TODAY()&gt;EDATE(AD76,60),"Süresi geçti",IF(TODAY()&gt;=EDATE(AD76,57),"Yaklaşıyor","Takipte")),"Tarih hatalı"))</f>
        <v/>
      </c>
      <c r="AE143" s="73">
        <f>IF(AE76="","Tarih girilmedi",IFERROR(IF(TODAY()&gt;EDATE(AE76,60),"Süresi geçti",IF(TODAY()&gt;=EDATE(AE76,57),"Yaklaşıyor","Takipte")),"Tarih hatalı"))</f>
        <v/>
      </c>
      <c r="AF143" s="73">
        <f>IF(AF76="","Tarih girilmedi",IFERROR(IF(TODAY()&gt;EDATE(AF76,60),"Süresi geçti",IF(TODAY()&gt;=EDATE(AF76,57),"Yaklaşıyor","Takipte")),"Tarih hatalı"))</f>
        <v/>
      </c>
    </row>
    <row r="144" outlineLevel="1" ht="22" customHeight="1">
      <c r="A144" s="70" t="inlineStr">
        <is>
          <t>Atık yönetim planı onay / başlangıç tarihi</t>
        </is>
      </c>
      <c r="B144" s="74" t="inlineStr">
        <is>
          <t>Tarih</t>
        </is>
      </c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  <c r="AE144" s="20" t="n"/>
      <c r="AF144" s="20" t="n"/>
    </row>
    <row r="145" outlineLevel="1" ht="22" customHeight="1">
      <c r="A145" s="70" t="inlineStr">
        <is>
          <t>Atık yönetim planı bitiş tarihi (otomatik, +3 yıl)</t>
        </is>
      </c>
      <c r="B145" s="71" t="inlineStr">
        <is>
          <t>Otomatik</t>
        </is>
      </c>
      <c r="C145" s="72">
        <f>IF(C144="","Tarih girilmedi",IFERROR(EDATE(C144,36),"Tarih hatalı"))</f>
        <v/>
      </c>
      <c r="D145" s="72">
        <f>IF(D144="","Tarih girilmedi",IFERROR(EDATE(D144,36),"Tarih hatalı"))</f>
        <v/>
      </c>
      <c r="E145" s="72">
        <f>IF(E144="","Tarih girilmedi",IFERROR(EDATE(E144,36),"Tarih hatalı"))</f>
        <v/>
      </c>
      <c r="F145" s="72">
        <f>IF(F144="","Tarih girilmedi",IFERROR(EDATE(F144,36),"Tarih hatalı"))</f>
        <v/>
      </c>
      <c r="G145" s="72">
        <f>IF(G144="","Tarih girilmedi",IFERROR(EDATE(G144,36),"Tarih hatalı"))</f>
        <v/>
      </c>
      <c r="H145" s="72">
        <f>IF(H144="","Tarih girilmedi",IFERROR(EDATE(H144,36),"Tarih hatalı"))</f>
        <v/>
      </c>
      <c r="I145" s="72">
        <f>IF(I144="","Tarih girilmedi",IFERROR(EDATE(I144,36),"Tarih hatalı"))</f>
        <v/>
      </c>
      <c r="J145" s="72">
        <f>IF(J144="","Tarih girilmedi",IFERROR(EDATE(J144,36),"Tarih hatalı"))</f>
        <v/>
      </c>
      <c r="K145" s="72">
        <f>IF(K144="","Tarih girilmedi",IFERROR(EDATE(K144,36),"Tarih hatalı"))</f>
        <v/>
      </c>
      <c r="L145" s="72">
        <f>IF(L144="","Tarih girilmedi",IFERROR(EDATE(L144,36),"Tarih hatalı"))</f>
        <v/>
      </c>
      <c r="M145" s="72">
        <f>IF(M144="","Tarih girilmedi",IFERROR(EDATE(M144,36),"Tarih hatalı"))</f>
        <v/>
      </c>
      <c r="N145" s="72">
        <f>IF(N144="","Tarih girilmedi",IFERROR(EDATE(N144,36),"Tarih hatalı"))</f>
        <v/>
      </c>
      <c r="O145" s="72">
        <f>IF(O144="","Tarih girilmedi",IFERROR(EDATE(O144,36),"Tarih hatalı"))</f>
        <v/>
      </c>
      <c r="P145" s="72">
        <f>IF(P144="","Tarih girilmedi",IFERROR(EDATE(P144,36),"Tarih hatalı"))</f>
        <v/>
      </c>
      <c r="Q145" s="72">
        <f>IF(Q144="","Tarih girilmedi",IFERROR(EDATE(Q144,36),"Tarih hatalı"))</f>
        <v/>
      </c>
      <c r="R145" s="72">
        <f>IF(R144="","Tarih girilmedi",IFERROR(EDATE(R144,36),"Tarih hatalı"))</f>
        <v/>
      </c>
      <c r="S145" s="72">
        <f>IF(S144="","Tarih girilmedi",IFERROR(EDATE(S144,36),"Tarih hatalı"))</f>
        <v/>
      </c>
      <c r="T145" s="72">
        <f>IF(T144="","Tarih girilmedi",IFERROR(EDATE(T144,36),"Tarih hatalı"))</f>
        <v/>
      </c>
      <c r="U145" s="72">
        <f>IF(U144="","Tarih girilmedi",IFERROR(EDATE(U144,36),"Tarih hatalı"))</f>
        <v/>
      </c>
      <c r="V145" s="72">
        <f>IF(V144="","Tarih girilmedi",IFERROR(EDATE(V144,36),"Tarih hatalı"))</f>
        <v/>
      </c>
      <c r="W145" s="72">
        <f>IF(W144="","Tarih girilmedi",IFERROR(EDATE(W144,36),"Tarih hatalı"))</f>
        <v/>
      </c>
      <c r="X145" s="72">
        <f>IF(X144="","Tarih girilmedi",IFERROR(EDATE(X144,36),"Tarih hatalı"))</f>
        <v/>
      </c>
      <c r="Y145" s="72">
        <f>IF(Y144="","Tarih girilmedi",IFERROR(EDATE(Y144,36),"Tarih hatalı"))</f>
        <v/>
      </c>
      <c r="Z145" s="72">
        <f>IF(Z144="","Tarih girilmedi",IFERROR(EDATE(Z144,36),"Tarih hatalı"))</f>
        <v/>
      </c>
      <c r="AA145" s="72">
        <f>IF(AA144="","Tarih girilmedi",IFERROR(EDATE(AA144,36),"Tarih hatalı"))</f>
        <v/>
      </c>
      <c r="AB145" s="72">
        <f>IF(AB144="","Tarih girilmedi",IFERROR(EDATE(AB144,36),"Tarih hatalı"))</f>
        <v/>
      </c>
      <c r="AC145" s="72">
        <f>IF(AC144="","Tarih girilmedi",IFERROR(EDATE(AC144,36),"Tarih hatalı"))</f>
        <v/>
      </c>
      <c r="AD145" s="72">
        <f>IF(AD144="","Tarih girilmedi",IFERROR(EDATE(AD144,36),"Tarih hatalı"))</f>
        <v/>
      </c>
      <c r="AE145" s="72">
        <f>IF(AE144="","Tarih girilmedi",IFERROR(EDATE(AE144,36),"Tarih hatalı"))</f>
        <v/>
      </c>
      <c r="AF145" s="72">
        <f>IF(AF144="","Tarih girilmedi",IFERROR(EDATE(AF144,36),"Tarih hatalı"))</f>
        <v/>
      </c>
    </row>
    <row r="146" outlineLevel="1" ht="22" customHeight="1">
      <c r="A146" s="70" t="inlineStr">
        <is>
          <t>Atık yönetim planı başvuru hedefi (3 ay önce)</t>
        </is>
      </c>
      <c r="B146" s="71" t="inlineStr">
        <is>
          <t>Otomatik</t>
        </is>
      </c>
      <c r="C146" s="72">
        <f>IF(C144="","Tarih girilmedi",IFERROR(EDATE(C144,33),"Tarih hatalı"))</f>
        <v/>
      </c>
      <c r="D146" s="72">
        <f>IF(D144="","Tarih girilmedi",IFERROR(EDATE(D144,33),"Tarih hatalı"))</f>
        <v/>
      </c>
      <c r="E146" s="72">
        <f>IF(E144="","Tarih girilmedi",IFERROR(EDATE(E144,33),"Tarih hatalı"))</f>
        <v/>
      </c>
      <c r="F146" s="72">
        <f>IF(F144="","Tarih girilmedi",IFERROR(EDATE(F144,33),"Tarih hatalı"))</f>
        <v/>
      </c>
      <c r="G146" s="72">
        <f>IF(G144="","Tarih girilmedi",IFERROR(EDATE(G144,33),"Tarih hatalı"))</f>
        <v/>
      </c>
      <c r="H146" s="72">
        <f>IF(H144="","Tarih girilmedi",IFERROR(EDATE(H144,33),"Tarih hatalı"))</f>
        <v/>
      </c>
      <c r="I146" s="72">
        <f>IF(I144="","Tarih girilmedi",IFERROR(EDATE(I144,33),"Tarih hatalı"))</f>
        <v/>
      </c>
      <c r="J146" s="72">
        <f>IF(J144="","Tarih girilmedi",IFERROR(EDATE(J144,33),"Tarih hatalı"))</f>
        <v/>
      </c>
      <c r="K146" s="72">
        <f>IF(K144="","Tarih girilmedi",IFERROR(EDATE(K144,33),"Tarih hatalı"))</f>
        <v/>
      </c>
      <c r="L146" s="72">
        <f>IF(L144="","Tarih girilmedi",IFERROR(EDATE(L144,33),"Tarih hatalı"))</f>
        <v/>
      </c>
      <c r="M146" s="72">
        <f>IF(M144="","Tarih girilmedi",IFERROR(EDATE(M144,33),"Tarih hatalı"))</f>
        <v/>
      </c>
      <c r="N146" s="72">
        <f>IF(N144="","Tarih girilmedi",IFERROR(EDATE(N144,33),"Tarih hatalı"))</f>
        <v/>
      </c>
      <c r="O146" s="72">
        <f>IF(O144="","Tarih girilmedi",IFERROR(EDATE(O144,33),"Tarih hatalı"))</f>
        <v/>
      </c>
      <c r="P146" s="72">
        <f>IF(P144="","Tarih girilmedi",IFERROR(EDATE(P144,33),"Tarih hatalı"))</f>
        <v/>
      </c>
      <c r="Q146" s="72">
        <f>IF(Q144="","Tarih girilmedi",IFERROR(EDATE(Q144,33),"Tarih hatalı"))</f>
        <v/>
      </c>
      <c r="R146" s="72">
        <f>IF(R144="","Tarih girilmedi",IFERROR(EDATE(R144,33),"Tarih hatalı"))</f>
        <v/>
      </c>
      <c r="S146" s="72">
        <f>IF(S144="","Tarih girilmedi",IFERROR(EDATE(S144,33),"Tarih hatalı"))</f>
        <v/>
      </c>
      <c r="T146" s="72">
        <f>IF(T144="","Tarih girilmedi",IFERROR(EDATE(T144,33),"Tarih hatalı"))</f>
        <v/>
      </c>
      <c r="U146" s="72">
        <f>IF(U144="","Tarih girilmedi",IFERROR(EDATE(U144,33),"Tarih hatalı"))</f>
        <v/>
      </c>
      <c r="V146" s="72">
        <f>IF(V144="","Tarih girilmedi",IFERROR(EDATE(V144,33),"Tarih hatalı"))</f>
        <v/>
      </c>
      <c r="W146" s="72">
        <f>IF(W144="","Tarih girilmedi",IFERROR(EDATE(W144,33),"Tarih hatalı"))</f>
        <v/>
      </c>
      <c r="X146" s="72">
        <f>IF(X144="","Tarih girilmedi",IFERROR(EDATE(X144,33),"Tarih hatalı"))</f>
        <v/>
      </c>
      <c r="Y146" s="72">
        <f>IF(Y144="","Tarih girilmedi",IFERROR(EDATE(Y144,33),"Tarih hatalı"))</f>
        <v/>
      </c>
      <c r="Z146" s="72">
        <f>IF(Z144="","Tarih girilmedi",IFERROR(EDATE(Z144,33),"Tarih hatalı"))</f>
        <v/>
      </c>
      <c r="AA146" s="72">
        <f>IF(AA144="","Tarih girilmedi",IFERROR(EDATE(AA144,33),"Tarih hatalı"))</f>
        <v/>
      </c>
      <c r="AB146" s="72">
        <f>IF(AB144="","Tarih girilmedi",IFERROR(EDATE(AB144,33),"Tarih hatalı"))</f>
        <v/>
      </c>
      <c r="AC146" s="72">
        <f>IF(AC144="","Tarih girilmedi",IFERROR(EDATE(AC144,33),"Tarih hatalı"))</f>
        <v/>
      </c>
      <c r="AD146" s="72">
        <f>IF(AD144="","Tarih girilmedi",IFERROR(EDATE(AD144,33),"Tarih hatalı"))</f>
        <v/>
      </c>
      <c r="AE146" s="72">
        <f>IF(AE144="","Tarih girilmedi",IFERROR(EDATE(AE144,33),"Tarih hatalı"))</f>
        <v/>
      </c>
      <c r="AF146" s="72">
        <f>IF(AF144="","Tarih girilmedi",IFERROR(EDATE(AF144,33),"Tarih hatalı"))</f>
        <v/>
      </c>
    </row>
    <row r="147" outlineLevel="1" ht="22" customHeight="1">
      <c r="A147" s="70" t="inlineStr">
        <is>
          <t>Atık yönetim planı hatırlatıcı</t>
        </is>
      </c>
      <c r="B147" s="71" t="inlineStr">
        <is>
          <t>Otomatik</t>
        </is>
      </c>
      <c r="C147" s="73">
        <f>IF(C144="","Tarih girilmedi",IFERROR(IF(TODAY()&gt;EDATE(C144,36),"Süresi geçti",IF(TODAY()&gt;=EDATE(C144,33),"Yaklaşıyor","Takipte")),"Tarih hatalı"))</f>
        <v/>
      </c>
      <c r="D147" s="73">
        <f>IF(D144="","Tarih girilmedi",IFERROR(IF(TODAY()&gt;EDATE(D144,36),"Süresi geçti",IF(TODAY()&gt;=EDATE(D144,33),"Yaklaşıyor","Takipte")),"Tarih hatalı"))</f>
        <v/>
      </c>
      <c r="E147" s="73">
        <f>IF(E144="","Tarih girilmedi",IFERROR(IF(TODAY()&gt;EDATE(E144,36),"Süresi geçti",IF(TODAY()&gt;=EDATE(E144,33),"Yaklaşıyor","Takipte")),"Tarih hatalı"))</f>
        <v/>
      </c>
      <c r="F147" s="73">
        <f>IF(F144="","Tarih girilmedi",IFERROR(IF(TODAY()&gt;EDATE(F144,36),"Süresi geçti",IF(TODAY()&gt;=EDATE(F144,33),"Yaklaşıyor","Takipte")),"Tarih hatalı"))</f>
        <v/>
      </c>
      <c r="G147" s="73">
        <f>IF(G144="","Tarih girilmedi",IFERROR(IF(TODAY()&gt;EDATE(G144,36),"Süresi geçti",IF(TODAY()&gt;=EDATE(G144,33),"Yaklaşıyor","Takipte")),"Tarih hatalı"))</f>
        <v/>
      </c>
      <c r="H147" s="73">
        <f>IF(H144="","Tarih girilmedi",IFERROR(IF(TODAY()&gt;EDATE(H144,36),"Süresi geçti",IF(TODAY()&gt;=EDATE(H144,33),"Yaklaşıyor","Takipte")),"Tarih hatalı"))</f>
        <v/>
      </c>
      <c r="I147" s="73">
        <f>IF(I144="","Tarih girilmedi",IFERROR(IF(TODAY()&gt;EDATE(I144,36),"Süresi geçti",IF(TODAY()&gt;=EDATE(I144,33),"Yaklaşıyor","Takipte")),"Tarih hatalı"))</f>
        <v/>
      </c>
      <c r="J147" s="73">
        <f>IF(J144="","Tarih girilmedi",IFERROR(IF(TODAY()&gt;EDATE(J144,36),"Süresi geçti",IF(TODAY()&gt;=EDATE(J144,33),"Yaklaşıyor","Takipte")),"Tarih hatalı"))</f>
        <v/>
      </c>
      <c r="K147" s="73">
        <f>IF(K144="","Tarih girilmedi",IFERROR(IF(TODAY()&gt;EDATE(K144,36),"Süresi geçti",IF(TODAY()&gt;=EDATE(K144,33),"Yaklaşıyor","Takipte")),"Tarih hatalı"))</f>
        <v/>
      </c>
      <c r="L147" s="73">
        <f>IF(L144="","Tarih girilmedi",IFERROR(IF(TODAY()&gt;EDATE(L144,36),"Süresi geçti",IF(TODAY()&gt;=EDATE(L144,33),"Yaklaşıyor","Takipte")),"Tarih hatalı"))</f>
        <v/>
      </c>
      <c r="M147" s="73">
        <f>IF(M144="","Tarih girilmedi",IFERROR(IF(TODAY()&gt;EDATE(M144,36),"Süresi geçti",IF(TODAY()&gt;=EDATE(M144,33),"Yaklaşıyor","Takipte")),"Tarih hatalı"))</f>
        <v/>
      </c>
      <c r="N147" s="73">
        <f>IF(N144="","Tarih girilmedi",IFERROR(IF(TODAY()&gt;EDATE(N144,36),"Süresi geçti",IF(TODAY()&gt;=EDATE(N144,33),"Yaklaşıyor","Takipte")),"Tarih hatalı"))</f>
        <v/>
      </c>
      <c r="O147" s="73">
        <f>IF(O144="","Tarih girilmedi",IFERROR(IF(TODAY()&gt;EDATE(O144,36),"Süresi geçti",IF(TODAY()&gt;=EDATE(O144,33),"Yaklaşıyor","Takipte")),"Tarih hatalı"))</f>
        <v/>
      </c>
      <c r="P147" s="73">
        <f>IF(P144="","Tarih girilmedi",IFERROR(IF(TODAY()&gt;EDATE(P144,36),"Süresi geçti",IF(TODAY()&gt;=EDATE(P144,33),"Yaklaşıyor","Takipte")),"Tarih hatalı"))</f>
        <v/>
      </c>
      <c r="Q147" s="73">
        <f>IF(Q144="","Tarih girilmedi",IFERROR(IF(TODAY()&gt;EDATE(Q144,36),"Süresi geçti",IF(TODAY()&gt;=EDATE(Q144,33),"Yaklaşıyor","Takipte")),"Tarih hatalı"))</f>
        <v/>
      </c>
      <c r="R147" s="73">
        <f>IF(R144="","Tarih girilmedi",IFERROR(IF(TODAY()&gt;EDATE(R144,36),"Süresi geçti",IF(TODAY()&gt;=EDATE(R144,33),"Yaklaşıyor","Takipte")),"Tarih hatalı"))</f>
        <v/>
      </c>
      <c r="S147" s="73">
        <f>IF(S144="","Tarih girilmedi",IFERROR(IF(TODAY()&gt;EDATE(S144,36),"Süresi geçti",IF(TODAY()&gt;=EDATE(S144,33),"Yaklaşıyor","Takipte")),"Tarih hatalı"))</f>
        <v/>
      </c>
      <c r="T147" s="73">
        <f>IF(T144="","Tarih girilmedi",IFERROR(IF(TODAY()&gt;EDATE(T144,36),"Süresi geçti",IF(TODAY()&gt;=EDATE(T144,33),"Yaklaşıyor","Takipte")),"Tarih hatalı"))</f>
        <v/>
      </c>
      <c r="U147" s="73">
        <f>IF(U144="","Tarih girilmedi",IFERROR(IF(TODAY()&gt;EDATE(U144,36),"Süresi geçti",IF(TODAY()&gt;=EDATE(U144,33),"Yaklaşıyor","Takipte")),"Tarih hatalı"))</f>
        <v/>
      </c>
      <c r="V147" s="73">
        <f>IF(V144="","Tarih girilmedi",IFERROR(IF(TODAY()&gt;EDATE(V144,36),"Süresi geçti",IF(TODAY()&gt;=EDATE(V144,33),"Yaklaşıyor","Takipte")),"Tarih hatalı"))</f>
        <v/>
      </c>
      <c r="W147" s="73">
        <f>IF(W144="","Tarih girilmedi",IFERROR(IF(TODAY()&gt;EDATE(W144,36),"Süresi geçti",IF(TODAY()&gt;=EDATE(W144,33),"Yaklaşıyor","Takipte")),"Tarih hatalı"))</f>
        <v/>
      </c>
      <c r="X147" s="73">
        <f>IF(X144="","Tarih girilmedi",IFERROR(IF(TODAY()&gt;EDATE(X144,36),"Süresi geçti",IF(TODAY()&gt;=EDATE(X144,33),"Yaklaşıyor","Takipte")),"Tarih hatalı"))</f>
        <v/>
      </c>
      <c r="Y147" s="73">
        <f>IF(Y144="","Tarih girilmedi",IFERROR(IF(TODAY()&gt;EDATE(Y144,36),"Süresi geçti",IF(TODAY()&gt;=EDATE(Y144,33),"Yaklaşıyor","Takipte")),"Tarih hatalı"))</f>
        <v/>
      </c>
      <c r="Z147" s="73">
        <f>IF(Z144="","Tarih girilmedi",IFERROR(IF(TODAY()&gt;EDATE(Z144,36),"Süresi geçti",IF(TODAY()&gt;=EDATE(Z144,33),"Yaklaşıyor","Takipte")),"Tarih hatalı"))</f>
        <v/>
      </c>
      <c r="AA147" s="73">
        <f>IF(AA144="","Tarih girilmedi",IFERROR(IF(TODAY()&gt;EDATE(AA144,36),"Süresi geçti",IF(TODAY()&gt;=EDATE(AA144,33),"Yaklaşıyor","Takipte")),"Tarih hatalı"))</f>
        <v/>
      </c>
      <c r="AB147" s="73">
        <f>IF(AB144="","Tarih girilmedi",IFERROR(IF(TODAY()&gt;EDATE(AB144,36),"Süresi geçti",IF(TODAY()&gt;=EDATE(AB144,33),"Yaklaşıyor","Takipte")),"Tarih hatalı"))</f>
        <v/>
      </c>
      <c r="AC147" s="73">
        <f>IF(AC144="","Tarih girilmedi",IFERROR(IF(TODAY()&gt;EDATE(AC144,36),"Süresi geçti",IF(TODAY()&gt;=EDATE(AC144,33),"Yaklaşıyor","Takipte")),"Tarih hatalı"))</f>
        <v/>
      </c>
      <c r="AD147" s="73">
        <f>IF(AD144="","Tarih girilmedi",IFERROR(IF(TODAY()&gt;EDATE(AD144,36),"Süresi geçti",IF(TODAY()&gt;=EDATE(AD144,33),"Yaklaşıyor","Takipte")),"Tarih hatalı"))</f>
        <v/>
      </c>
      <c r="AE147" s="73">
        <f>IF(AE144="","Tarih girilmedi",IFERROR(IF(TODAY()&gt;EDATE(AE144,36),"Süresi geçti",IF(TODAY()&gt;=EDATE(AE144,33),"Yaklaşıyor","Takipte")),"Tarih hatalı"))</f>
        <v/>
      </c>
      <c r="AF147" s="73">
        <f>IF(AF144="","Tarih girilmedi",IFERROR(IF(TODAY()&gt;EDATE(AF144,36),"Süresi geçti",IF(TODAY()&gt;=EDATE(AF144,33),"Yaklaşıyor","Takipte")),"Tarih hatalı"))</f>
        <v/>
      </c>
    </row>
    <row r="148" outlineLevel="1" ht="22" customHeight="1">
      <c r="A148" s="70" t="inlineStr">
        <is>
          <t>Emisyon teyit sonraki ölçüm (otomatik, +2 yıl)</t>
        </is>
      </c>
      <c r="B148" s="71" t="inlineStr">
        <is>
          <t>Otomatik</t>
        </is>
      </c>
      <c r="C148" s="72">
        <f>IF(C55="","Tarih girilmedi",IFERROR(EDATE(C55,24),"Tarih hatalı"))</f>
        <v/>
      </c>
      <c r="D148" s="72">
        <f>IF(D55="","Tarih girilmedi",IFERROR(EDATE(D55,24),"Tarih hatalı"))</f>
        <v/>
      </c>
      <c r="E148" s="72">
        <f>IF(E55="","Tarih girilmedi",IFERROR(EDATE(E55,24),"Tarih hatalı"))</f>
        <v/>
      </c>
      <c r="F148" s="72">
        <f>IF(F55="","Tarih girilmedi",IFERROR(EDATE(F55,24),"Tarih hatalı"))</f>
        <v/>
      </c>
      <c r="G148" s="72">
        <f>IF(G55="","Tarih girilmedi",IFERROR(EDATE(G55,24),"Tarih hatalı"))</f>
        <v/>
      </c>
      <c r="H148" s="72">
        <f>IF(H55="","Tarih girilmedi",IFERROR(EDATE(H55,24),"Tarih hatalı"))</f>
        <v/>
      </c>
      <c r="I148" s="72">
        <f>IF(I55="","Tarih girilmedi",IFERROR(EDATE(I55,24),"Tarih hatalı"))</f>
        <v/>
      </c>
      <c r="J148" s="72">
        <f>IF(J55="","Tarih girilmedi",IFERROR(EDATE(J55,24),"Tarih hatalı"))</f>
        <v/>
      </c>
      <c r="K148" s="72">
        <f>IF(K55="","Tarih girilmedi",IFERROR(EDATE(K55,24),"Tarih hatalı"))</f>
        <v/>
      </c>
      <c r="L148" s="72">
        <f>IF(L55="","Tarih girilmedi",IFERROR(EDATE(L55,24),"Tarih hatalı"))</f>
        <v/>
      </c>
      <c r="M148" s="72">
        <f>IF(M55="","Tarih girilmedi",IFERROR(EDATE(M55,24),"Tarih hatalı"))</f>
        <v/>
      </c>
      <c r="N148" s="72">
        <f>IF(N55="","Tarih girilmedi",IFERROR(EDATE(N55,24),"Tarih hatalı"))</f>
        <v/>
      </c>
      <c r="O148" s="72">
        <f>IF(O55="","Tarih girilmedi",IFERROR(EDATE(O55,24),"Tarih hatalı"))</f>
        <v/>
      </c>
      <c r="P148" s="72">
        <f>IF(P55="","Tarih girilmedi",IFERROR(EDATE(P55,24),"Tarih hatalı"))</f>
        <v/>
      </c>
      <c r="Q148" s="72">
        <f>IF(Q55="","Tarih girilmedi",IFERROR(EDATE(Q55,24),"Tarih hatalı"))</f>
        <v/>
      </c>
      <c r="R148" s="72">
        <f>IF(R55="","Tarih girilmedi",IFERROR(EDATE(R55,24),"Tarih hatalı"))</f>
        <v/>
      </c>
      <c r="S148" s="72">
        <f>IF(S55="","Tarih girilmedi",IFERROR(EDATE(S55,24),"Tarih hatalı"))</f>
        <v/>
      </c>
      <c r="T148" s="72">
        <f>IF(T55="","Tarih girilmedi",IFERROR(EDATE(T55,24),"Tarih hatalı"))</f>
        <v/>
      </c>
      <c r="U148" s="72">
        <f>IF(U55="","Tarih girilmedi",IFERROR(EDATE(U55,24),"Tarih hatalı"))</f>
        <v/>
      </c>
      <c r="V148" s="72">
        <f>IF(V55="","Tarih girilmedi",IFERROR(EDATE(V55,24),"Tarih hatalı"))</f>
        <v/>
      </c>
      <c r="W148" s="72">
        <f>IF(W55="","Tarih girilmedi",IFERROR(EDATE(W55,24),"Tarih hatalı"))</f>
        <v/>
      </c>
      <c r="X148" s="72">
        <f>IF(X55="","Tarih girilmedi",IFERROR(EDATE(X55,24),"Tarih hatalı"))</f>
        <v/>
      </c>
      <c r="Y148" s="72">
        <f>IF(Y55="","Tarih girilmedi",IFERROR(EDATE(Y55,24),"Tarih hatalı"))</f>
        <v/>
      </c>
      <c r="Z148" s="72">
        <f>IF(Z55="","Tarih girilmedi",IFERROR(EDATE(Z55,24),"Tarih hatalı"))</f>
        <v/>
      </c>
      <c r="AA148" s="72">
        <f>IF(AA55="","Tarih girilmedi",IFERROR(EDATE(AA55,24),"Tarih hatalı"))</f>
        <v/>
      </c>
      <c r="AB148" s="72">
        <f>IF(AB55="","Tarih girilmedi",IFERROR(EDATE(AB55,24),"Tarih hatalı"))</f>
        <v/>
      </c>
      <c r="AC148" s="72">
        <f>IF(AC55="","Tarih girilmedi",IFERROR(EDATE(AC55,24),"Tarih hatalı"))</f>
        <v/>
      </c>
      <c r="AD148" s="72">
        <f>IF(AD55="","Tarih girilmedi",IFERROR(EDATE(AD55,24),"Tarih hatalı"))</f>
        <v/>
      </c>
      <c r="AE148" s="72">
        <f>IF(AE55="","Tarih girilmedi",IFERROR(EDATE(AE55,24),"Tarih hatalı"))</f>
        <v/>
      </c>
      <c r="AF148" s="72">
        <f>IF(AF55="","Tarih girilmedi",IFERROR(EDATE(AF55,24),"Tarih hatalı"))</f>
        <v/>
      </c>
    </row>
    <row r="149" outlineLevel="1" ht="22" customHeight="1">
      <c r="A149" s="70" t="inlineStr">
        <is>
          <t>Emisyon teyit başvuru hedefi (45 gün önce)</t>
        </is>
      </c>
      <c r="B149" s="71" t="inlineStr">
        <is>
          <t>Otomatik</t>
        </is>
      </c>
      <c r="C149" s="72">
        <f>IF(C55="","Tarih girilmedi",IFERROR(EDATE(C55,24)-45,"Tarih hatalı"))</f>
        <v/>
      </c>
      <c r="D149" s="72">
        <f>IF(D55="","Tarih girilmedi",IFERROR(EDATE(D55,24)-45,"Tarih hatalı"))</f>
        <v/>
      </c>
      <c r="E149" s="72">
        <f>IF(E55="","Tarih girilmedi",IFERROR(EDATE(E55,24)-45,"Tarih hatalı"))</f>
        <v/>
      </c>
      <c r="F149" s="72">
        <f>IF(F55="","Tarih girilmedi",IFERROR(EDATE(F55,24)-45,"Tarih hatalı"))</f>
        <v/>
      </c>
      <c r="G149" s="72">
        <f>IF(G55="","Tarih girilmedi",IFERROR(EDATE(G55,24)-45,"Tarih hatalı"))</f>
        <v/>
      </c>
      <c r="H149" s="72">
        <f>IF(H55="","Tarih girilmedi",IFERROR(EDATE(H55,24)-45,"Tarih hatalı"))</f>
        <v/>
      </c>
      <c r="I149" s="72">
        <f>IF(I55="","Tarih girilmedi",IFERROR(EDATE(I55,24)-45,"Tarih hatalı"))</f>
        <v/>
      </c>
      <c r="J149" s="72">
        <f>IF(J55="","Tarih girilmedi",IFERROR(EDATE(J55,24)-45,"Tarih hatalı"))</f>
        <v/>
      </c>
      <c r="K149" s="72">
        <f>IF(K55="","Tarih girilmedi",IFERROR(EDATE(K55,24)-45,"Tarih hatalı"))</f>
        <v/>
      </c>
      <c r="L149" s="72">
        <f>IF(L55="","Tarih girilmedi",IFERROR(EDATE(L55,24)-45,"Tarih hatalı"))</f>
        <v/>
      </c>
      <c r="M149" s="72">
        <f>IF(M55="","Tarih girilmedi",IFERROR(EDATE(M55,24)-45,"Tarih hatalı"))</f>
        <v/>
      </c>
      <c r="N149" s="72">
        <f>IF(N55="","Tarih girilmedi",IFERROR(EDATE(N55,24)-45,"Tarih hatalı"))</f>
        <v/>
      </c>
      <c r="O149" s="72">
        <f>IF(O55="","Tarih girilmedi",IFERROR(EDATE(O55,24)-45,"Tarih hatalı"))</f>
        <v/>
      </c>
      <c r="P149" s="72">
        <f>IF(P55="","Tarih girilmedi",IFERROR(EDATE(P55,24)-45,"Tarih hatalı"))</f>
        <v/>
      </c>
      <c r="Q149" s="72">
        <f>IF(Q55="","Tarih girilmedi",IFERROR(EDATE(Q55,24)-45,"Tarih hatalı"))</f>
        <v/>
      </c>
      <c r="R149" s="72">
        <f>IF(R55="","Tarih girilmedi",IFERROR(EDATE(R55,24)-45,"Tarih hatalı"))</f>
        <v/>
      </c>
      <c r="S149" s="72">
        <f>IF(S55="","Tarih girilmedi",IFERROR(EDATE(S55,24)-45,"Tarih hatalı"))</f>
        <v/>
      </c>
      <c r="T149" s="72">
        <f>IF(T55="","Tarih girilmedi",IFERROR(EDATE(T55,24)-45,"Tarih hatalı"))</f>
        <v/>
      </c>
      <c r="U149" s="72">
        <f>IF(U55="","Tarih girilmedi",IFERROR(EDATE(U55,24)-45,"Tarih hatalı"))</f>
        <v/>
      </c>
      <c r="V149" s="72">
        <f>IF(V55="","Tarih girilmedi",IFERROR(EDATE(V55,24)-45,"Tarih hatalı"))</f>
        <v/>
      </c>
      <c r="W149" s="72">
        <f>IF(W55="","Tarih girilmedi",IFERROR(EDATE(W55,24)-45,"Tarih hatalı"))</f>
        <v/>
      </c>
      <c r="X149" s="72">
        <f>IF(X55="","Tarih girilmedi",IFERROR(EDATE(X55,24)-45,"Tarih hatalı"))</f>
        <v/>
      </c>
      <c r="Y149" s="72">
        <f>IF(Y55="","Tarih girilmedi",IFERROR(EDATE(Y55,24)-45,"Tarih hatalı"))</f>
        <v/>
      </c>
      <c r="Z149" s="72">
        <f>IF(Z55="","Tarih girilmedi",IFERROR(EDATE(Z55,24)-45,"Tarih hatalı"))</f>
        <v/>
      </c>
      <c r="AA149" s="72">
        <f>IF(AA55="","Tarih girilmedi",IFERROR(EDATE(AA55,24)-45,"Tarih hatalı"))</f>
        <v/>
      </c>
      <c r="AB149" s="72">
        <f>IF(AB55="","Tarih girilmedi",IFERROR(EDATE(AB55,24)-45,"Tarih hatalı"))</f>
        <v/>
      </c>
      <c r="AC149" s="72">
        <f>IF(AC55="","Tarih girilmedi",IFERROR(EDATE(AC55,24)-45,"Tarih hatalı"))</f>
        <v/>
      </c>
      <c r="AD149" s="72">
        <f>IF(AD55="","Tarih girilmedi",IFERROR(EDATE(AD55,24)-45,"Tarih hatalı"))</f>
        <v/>
      </c>
      <c r="AE149" s="72">
        <f>IF(AE55="","Tarih girilmedi",IFERROR(EDATE(AE55,24)-45,"Tarih hatalı"))</f>
        <v/>
      </c>
      <c r="AF149" s="72">
        <f>IF(AF55="","Tarih girilmedi",IFERROR(EDATE(AF55,24)-45,"Tarih hatalı"))</f>
        <v/>
      </c>
    </row>
    <row r="150" outlineLevel="1" ht="22" customHeight="1">
      <c r="A150" s="70" t="inlineStr">
        <is>
          <t>Emisyon teyit hatırlatıcı</t>
        </is>
      </c>
      <c r="B150" s="71" t="inlineStr">
        <is>
          <t>Otomatik</t>
        </is>
      </c>
      <c r="C150" s="73">
        <f>IF(C55="","Tarih girilmedi",IFERROR(IF(TODAY()&gt;EDATE(C55,24),"Süresi geçti",IF(TODAY()&gt;=(EDATE(C55,24)-45),"Yaklaşıyor","Takipte")),"Tarih hatalı"))</f>
        <v/>
      </c>
      <c r="D150" s="73">
        <f>IF(D55="","Tarih girilmedi",IFERROR(IF(TODAY()&gt;EDATE(D55,24),"Süresi geçti",IF(TODAY()&gt;=(EDATE(D55,24)-45),"Yaklaşıyor","Takipte")),"Tarih hatalı"))</f>
        <v/>
      </c>
      <c r="E150" s="73">
        <f>IF(E55="","Tarih girilmedi",IFERROR(IF(TODAY()&gt;EDATE(E55,24),"Süresi geçti",IF(TODAY()&gt;=(EDATE(E55,24)-45),"Yaklaşıyor","Takipte")),"Tarih hatalı"))</f>
        <v/>
      </c>
      <c r="F150" s="73">
        <f>IF(F55="","Tarih girilmedi",IFERROR(IF(TODAY()&gt;EDATE(F55,24),"Süresi geçti",IF(TODAY()&gt;=(EDATE(F55,24)-45),"Yaklaşıyor","Takipte")),"Tarih hatalı"))</f>
        <v/>
      </c>
      <c r="G150" s="73">
        <f>IF(G55="","Tarih girilmedi",IFERROR(IF(TODAY()&gt;EDATE(G55,24),"Süresi geçti",IF(TODAY()&gt;=(EDATE(G55,24)-45),"Yaklaşıyor","Takipte")),"Tarih hatalı"))</f>
        <v/>
      </c>
      <c r="H150" s="73">
        <f>IF(H55="","Tarih girilmedi",IFERROR(IF(TODAY()&gt;EDATE(H55,24),"Süresi geçti",IF(TODAY()&gt;=(EDATE(H55,24)-45),"Yaklaşıyor","Takipte")),"Tarih hatalı"))</f>
        <v/>
      </c>
      <c r="I150" s="73">
        <f>IF(I55="","Tarih girilmedi",IFERROR(IF(TODAY()&gt;EDATE(I55,24),"Süresi geçti",IF(TODAY()&gt;=(EDATE(I55,24)-45),"Yaklaşıyor","Takipte")),"Tarih hatalı"))</f>
        <v/>
      </c>
      <c r="J150" s="73">
        <f>IF(J55="","Tarih girilmedi",IFERROR(IF(TODAY()&gt;EDATE(J55,24),"Süresi geçti",IF(TODAY()&gt;=(EDATE(J55,24)-45),"Yaklaşıyor","Takipte")),"Tarih hatalı"))</f>
        <v/>
      </c>
      <c r="K150" s="73">
        <f>IF(K55="","Tarih girilmedi",IFERROR(IF(TODAY()&gt;EDATE(K55,24),"Süresi geçti",IF(TODAY()&gt;=(EDATE(K55,24)-45),"Yaklaşıyor","Takipte")),"Tarih hatalı"))</f>
        <v/>
      </c>
      <c r="L150" s="73">
        <f>IF(L55="","Tarih girilmedi",IFERROR(IF(TODAY()&gt;EDATE(L55,24),"Süresi geçti",IF(TODAY()&gt;=(EDATE(L55,24)-45),"Yaklaşıyor","Takipte")),"Tarih hatalı"))</f>
        <v/>
      </c>
      <c r="M150" s="73">
        <f>IF(M55="","Tarih girilmedi",IFERROR(IF(TODAY()&gt;EDATE(M55,24),"Süresi geçti",IF(TODAY()&gt;=(EDATE(M55,24)-45),"Yaklaşıyor","Takipte")),"Tarih hatalı"))</f>
        <v/>
      </c>
      <c r="N150" s="73">
        <f>IF(N55="","Tarih girilmedi",IFERROR(IF(TODAY()&gt;EDATE(N55,24),"Süresi geçti",IF(TODAY()&gt;=(EDATE(N55,24)-45),"Yaklaşıyor","Takipte")),"Tarih hatalı"))</f>
        <v/>
      </c>
      <c r="O150" s="73">
        <f>IF(O55="","Tarih girilmedi",IFERROR(IF(TODAY()&gt;EDATE(O55,24),"Süresi geçti",IF(TODAY()&gt;=(EDATE(O55,24)-45),"Yaklaşıyor","Takipte")),"Tarih hatalı"))</f>
        <v/>
      </c>
      <c r="P150" s="73">
        <f>IF(P55="","Tarih girilmedi",IFERROR(IF(TODAY()&gt;EDATE(P55,24),"Süresi geçti",IF(TODAY()&gt;=(EDATE(P55,24)-45),"Yaklaşıyor","Takipte")),"Tarih hatalı"))</f>
        <v/>
      </c>
      <c r="Q150" s="73">
        <f>IF(Q55="","Tarih girilmedi",IFERROR(IF(TODAY()&gt;EDATE(Q55,24),"Süresi geçti",IF(TODAY()&gt;=(EDATE(Q55,24)-45),"Yaklaşıyor","Takipte")),"Tarih hatalı"))</f>
        <v/>
      </c>
      <c r="R150" s="73">
        <f>IF(R55="","Tarih girilmedi",IFERROR(IF(TODAY()&gt;EDATE(R55,24),"Süresi geçti",IF(TODAY()&gt;=(EDATE(R55,24)-45),"Yaklaşıyor","Takipte")),"Tarih hatalı"))</f>
        <v/>
      </c>
      <c r="S150" s="73">
        <f>IF(S55="","Tarih girilmedi",IFERROR(IF(TODAY()&gt;EDATE(S55,24),"Süresi geçti",IF(TODAY()&gt;=(EDATE(S55,24)-45),"Yaklaşıyor","Takipte")),"Tarih hatalı"))</f>
        <v/>
      </c>
      <c r="T150" s="73">
        <f>IF(T55="","Tarih girilmedi",IFERROR(IF(TODAY()&gt;EDATE(T55,24),"Süresi geçti",IF(TODAY()&gt;=(EDATE(T55,24)-45),"Yaklaşıyor","Takipte")),"Tarih hatalı"))</f>
        <v/>
      </c>
      <c r="U150" s="73">
        <f>IF(U55="","Tarih girilmedi",IFERROR(IF(TODAY()&gt;EDATE(U55,24),"Süresi geçti",IF(TODAY()&gt;=(EDATE(U55,24)-45),"Yaklaşıyor","Takipte")),"Tarih hatalı"))</f>
        <v/>
      </c>
      <c r="V150" s="73">
        <f>IF(V55="","Tarih girilmedi",IFERROR(IF(TODAY()&gt;EDATE(V55,24),"Süresi geçti",IF(TODAY()&gt;=(EDATE(V55,24)-45),"Yaklaşıyor","Takipte")),"Tarih hatalı"))</f>
        <v/>
      </c>
      <c r="W150" s="73">
        <f>IF(W55="","Tarih girilmedi",IFERROR(IF(TODAY()&gt;EDATE(W55,24),"Süresi geçti",IF(TODAY()&gt;=(EDATE(W55,24)-45),"Yaklaşıyor","Takipte")),"Tarih hatalı"))</f>
        <v/>
      </c>
      <c r="X150" s="73">
        <f>IF(X55="","Tarih girilmedi",IFERROR(IF(TODAY()&gt;EDATE(X55,24),"Süresi geçti",IF(TODAY()&gt;=(EDATE(X55,24)-45),"Yaklaşıyor","Takipte")),"Tarih hatalı"))</f>
        <v/>
      </c>
      <c r="Y150" s="73">
        <f>IF(Y55="","Tarih girilmedi",IFERROR(IF(TODAY()&gt;EDATE(Y55,24),"Süresi geçti",IF(TODAY()&gt;=(EDATE(Y55,24)-45),"Yaklaşıyor","Takipte")),"Tarih hatalı"))</f>
        <v/>
      </c>
      <c r="Z150" s="73">
        <f>IF(Z55="","Tarih girilmedi",IFERROR(IF(TODAY()&gt;EDATE(Z55,24),"Süresi geçti",IF(TODAY()&gt;=(EDATE(Z55,24)-45),"Yaklaşıyor","Takipte")),"Tarih hatalı"))</f>
        <v/>
      </c>
      <c r="AA150" s="73">
        <f>IF(AA55="","Tarih girilmedi",IFERROR(IF(TODAY()&gt;EDATE(AA55,24),"Süresi geçti",IF(TODAY()&gt;=(EDATE(AA55,24)-45),"Yaklaşıyor","Takipte")),"Tarih hatalı"))</f>
        <v/>
      </c>
      <c r="AB150" s="73">
        <f>IF(AB55="","Tarih girilmedi",IFERROR(IF(TODAY()&gt;EDATE(AB55,24),"Süresi geçti",IF(TODAY()&gt;=(EDATE(AB55,24)-45),"Yaklaşıyor","Takipte")),"Tarih hatalı"))</f>
        <v/>
      </c>
      <c r="AC150" s="73">
        <f>IF(AC55="","Tarih girilmedi",IFERROR(IF(TODAY()&gt;EDATE(AC55,24),"Süresi geçti",IF(TODAY()&gt;=(EDATE(AC55,24)-45),"Yaklaşıyor","Takipte")),"Tarih hatalı"))</f>
        <v/>
      </c>
      <c r="AD150" s="73">
        <f>IF(AD55="","Tarih girilmedi",IFERROR(IF(TODAY()&gt;EDATE(AD55,24),"Süresi geçti",IF(TODAY()&gt;=(EDATE(AD55,24)-45),"Yaklaşıyor","Takipte")),"Tarih hatalı"))</f>
        <v/>
      </c>
      <c r="AE150" s="73">
        <f>IF(AE55="","Tarih girilmedi",IFERROR(IF(TODAY()&gt;EDATE(AE55,24),"Süresi geçti",IF(TODAY()&gt;=(EDATE(AE55,24)-45),"Yaklaşıyor","Takipte")),"Tarih hatalı"))</f>
        <v/>
      </c>
      <c r="AF150" s="73">
        <f>IF(AF55="","Tarih girilmedi",IFERROR(IF(TODAY()&gt;EDATE(AF55,24),"Süresi geçti",IF(TODAY()&gt;=(EDATE(AF55,24)-45),"Yaklaşıyor","Takipte")),"Tarih hatalı"))</f>
        <v/>
      </c>
    </row>
    <row r="151" outlineLevel="1" ht="22" customHeight="1">
      <c r="A151" s="70" t="inlineStr">
        <is>
          <t>Çevre izni yenileme başvuru son tarihi (180 gün önce)</t>
        </is>
      </c>
      <c r="B151" s="71" t="inlineStr">
        <is>
          <t>Otomatik</t>
        </is>
      </c>
      <c r="C151" s="72">
        <f>IF(C47="","Tarih girilmedi",IFERROR(C47-180,"Tarih hatalı"))</f>
        <v/>
      </c>
      <c r="D151" s="72">
        <f>IF(D47="","Tarih girilmedi",IFERROR(D47-180,"Tarih hatalı"))</f>
        <v/>
      </c>
      <c r="E151" s="72">
        <f>IF(E47="","Tarih girilmedi",IFERROR(E47-180,"Tarih hatalı"))</f>
        <v/>
      </c>
      <c r="F151" s="72">
        <f>IF(F47="","Tarih girilmedi",IFERROR(F47-180,"Tarih hatalı"))</f>
        <v/>
      </c>
      <c r="G151" s="72">
        <f>IF(G47="","Tarih girilmedi",IFERROR(G47-180,"Tarih hatalı"))</f>
        <v/>
      </c>
      <c r="H151" s="72">
        <f>IF(H47="","Tarih girilmedi",IFERROR(H47-180,"Tarih hatalı"))</f>
        <v/>
      </c>
      <c r="I151" s="72">
        <f>IF(I47="","Tarih girilmedi",IFERROR(I47-180,"Tarih hatalı"))</f>
        <v/>
      </c>
      <c r="J151" s="72">
        <f>IF(J47="","Tarih girilmedi",IFERROR(J47-180,"Tarih hatalı"))</f>
        <v/>
      </c>
      <c r="K151" s="72">
        <f>IF(K47="","Tarih girilmedi",IFERROR(K47-180,"Tarih hatalı"))</f>
        <v/>
      </c>
      <c r="L151" s="72">
        <f>IF(L47="","Tarih girilmedi",IFERROR(L47-180,"Tarih hatalı"))</f>
        <v/>
      </c>
      <c r="M151" s="72">
        <f>IF(M47="","Tarih girilmedi",IFERROR(M47-180,"Tarih hatalı"))</f>
        <v/>
      </c>
      <c r="N151" s="72">
        <f>IF(N47="","Tarih girilmedi",IFERROR(N47-180,"Tarih hatalı"))</f>
        <v/>
      </c>
      <c r="O151" s="72">
        <f>IF(O47="","Tarih girilmedi",IFERROR(O47-180,"Tarih hatalı"))</f>
        <v/>
      </c>
      <c r="P151" s="72">
        <f>IF(P47="","Tarih girilmedi",IFERROR(P47-180,"Tarih hatalı"))</f>
        <v/>
      </c>
      <c r="Q151" s="72">
        <f>IF(Q47="","Tarih girilmedi",IFERROR(Q47-180,"Tarih hatalı"))</f>
        <v/>
      </c>
      <c r="R151" s="72">
        <f>IF(R47="","Tarih girilmedi",IFERROR(R47-180,"Tarih hatalı"))</f>
        <v/>
      </c>
      <c r="S151" s="72">
        <f>IF(S47="","Tarih girilmedi",IFERROR(S47-180,"Tarih hatalı"))</f>
        <v/>
      </c>
      <c r="T151" s="72">
        <f>IF(T47="","Tarih girilmedi",IFERROR(T47-180,"Tarih hatalı"))</f>
        <v/>
      </c>
      <c r="U151" s="72">
        <f>IF(U47="","Tarih girilmedi",IFERROR(U47-180,"Tarih hatalı"))</f>
        <v/>
      </c>
      <c r="V151" s="72">
        <f>IF(V47="","Tarih girilmedi",IFERROR(V47-180,"Tarih hatalı"))</f>
        <v/>
      </c>
      <c r="W151" s="72">
        <f>IF(W47="","Tarih girilmedi",IFERROR(W47-180,"Tarih hatalı"))</f>
        <v/>
      </c>
      <c r="X151" s="72">
        <f>IF(X47="","Tarih girilmedi",IFERROR(X47-180,"Tarih hatalı"))</f>
        <v/>
      </c>
      <c r="Y151" s="72">
        <f>IF(Y47="","Tarih girilmedi",IFERROR(Y47-180,"Tarih hatalı"))</f>
        <v/>
      </c>
      <c r="Z151" s="72">
        <f>IF(Z47="","Tarih girilmedi",IFERROR(Z47-180,"Tarih hatalı"))</f>
        <v/>
      </c>
      <c r="AA151" s="72">
        <f>IF(AA47="","Tarih girilmedi",IFERROR(AA47-180,"Tarih hatalı"))</f>
        <v/>
      </c>
      <c r="AB151" s="72">
        <f>IF(AB47="","Tarih girilmedi",IFERROR(AB47-180,"Tarih hatalı"))</f>
        <v/>
      </c>
      <c r="AC151" s="72">
        <f>IF(AC47="","Tarih girilmedi",IFERROR(AC47-180,"Tarih hatalı"))</f>
        <v/>
      </c>
      <c r="AD151" s="72">
        <f>IF(AD47="","Tarih girilmedi",IFERROR(AD47-180,"Tarih hatalı"))</f>
        <v/>
      </c>
      <c r="AE151" s="72">
        <f>IF(AE47="","Tarih girilmedi",IFERROR(AE47-180,"Tarih hatalı"))</f>
        <v/>
      </c>
      <c r="AF151" s="72">
        <f>IF(AF47="","Tarih girilmedi",IFERROR(AF47-180,"Tarih hatalı"))</f>
        <v/>
      </c>
    </row>
    <row r="152" outlineLevel="1" ht="22" customHeight="1">
      <c r="A152" s="70" t="inlineStr">
        <is>
          <t>Çevre izni yenileme hatırlatıcı</t>
        </is>
      </c>
      <c r="B152" s="71" t="inlineStr">
        <is>
          <t>Otomatik</t>
        </is>
      </c>
      <c r="C152" s="73">
        <f>IF(C47="","Tarih girilmedi",IFERROR(IF(TODAY()&gt;C47,"Süresi geçti",IF(TODAY()&gt;=(C47-180),"Yaklaşıyor","Takipte")),"Tarih hatalı"))</f>
        <v/>
      </c>
      <c r="D152" s="73">
        <f>IF(D47="","Tarih girilmedi",IFERROR(IF(TODAY()&gt;D47,"Süresi geçti",IF(TODAY()&gt;=(D47-180),"Yaklaşıyor","Takipte")),"Tarih hatalı"))</f>
        <v/>
      </c>
      <c r="E152" s="73">
        <f>IF(E47="","Tarih girilmedi",IFERROR(IF(TODAY()&gt;E47,"Süresi geçti",IF(TODAY()&gt;=(E47-180),"Yaklaşıyor","Takipte")),"Tarih hatalı"))</f>
        <v/>
      </c>
      <c r="F152" s="73">
        <f>IF(F47="","Tarih girilmedi",IFERROR(IF(TODAY()&gt;F47,"Süresi geçti",IF(TODAY()&gt;=(F47-180),"Yaklaşıyor","Takipte")),"Tarih hatalı"))</f>
        <v/>
      </c>
      <c r="G152" s="73">
        <f>IF(G47="","Tarih girilmedi",IFERROR(IF(TODAY()&gt;G47,"Süresi geçti",IF(TODAY()&gt;=(G47-180),"Yaklaşıyor","Takipte")),"Tarih hatalı"))</f>
        <v/>
      </c>
      <c r="H152" s="73">
        <f>IF(H47="","Tarih girilmedi",IFERROR(IF(TODAY()&gt;H47,"Süresi geçti",IF(TODAY()&gt;=(H47-180),"Yaklaşıyor","Takipte")),"Tarih hatalı"))</f>
        <v/>
      </c>
      <c r="I152" s="73">
        <f>IF(I47="","Tarih girilmedi",IFERROR(IF(TODAY()&gt;I47,"Süresi geçti",IF(TODAY()&gt;=(I47-180),"Yaklaşıyor","Takipte")),"Tarih hatalı"))</f>
        <v/>
      </c>
      <c r="J152" s="73">
        <f>IF(J47="","Tarih girilmedi",IFERROR(IF(TODAY()&gt;J47,"Süresi geçti",IF(TODAY()&gt;=(J47-180),"Yaklaşıyor","Takipte")),"Tarih hatalı"))</f>
        <v/>
      </c>
      <c r="K152" s="73">
        <f>IF(K47="","Tarih girilmedi",IFERROR(IF(TODAY()&gt;K47,"Süresi geçti",IF(TODAY()&gt;=(K47-180),"Yaklaşıyor","Takipte")),"Tarih hatalı"))</f>
        <v/>
      </c>
      <c r="L152" s="73">
        <f>IF(L47="","Tarih girilmedi",IFERROR(IF(TODAY()&gt;L47,"Süresi geçti",IF(TODAY()&gt;=(L47-180),"Yaklaşıyor","Takipte")),"Tarih hatalı"))</f>
        <v/>
      </c>
      <c r="M152" s="73">
        <f>IF(M47="","Tarih girilmedi",IFERROR(IF(TODAY()&gt;M47,"Süresi geçti",IF(TODAY()&gt;=(M47-180),"Yaklaşıyor","Takipte")),"Tarih hatalı"))</f>
        <v/>
      </c>
      <c r="N152" s="73">
        <f>IF(N47="","Tarih girilmedi",IFERROR(IF(TODAY()&gt;N47,"Süresi geçti",IF(TODAY()&gt;=(N47-180),"Yaklaşıyor","Takipte")),"Tarih hatalı"))</f>
        <v/>
      </c>
      <c r="O152" s="73">
        <f>IF(O47="","Tarih girilmedi",IFERROR(IF(TODAY()&gt;O47,"Süresi geçti",IF(TODAY()&gt;=(O47-180),"Yaklaşıyor","Takipte")),"Tarih hatalı"))</f>
        <v/>
      </c>
      <c r="P152" s="73">
        <f>IF(P47="","Tarih girilmedi",IFERROR(IF(TODAY()&gt;P47,"Süresi geçti",IF(TODAY()&gt;=(P47-180),"Yaklaşıyor","Takipte")),"Tarih hatalı"))</f>
        <v/>
      </c>
      <c r="Q152" s="73">
        <f>IF(Q47="","Tarih girilmedi",IFERROR(IF(TODAY()&gt;Q47,"Süresi geçti",IF(TODAY()&gt;=(Q47-180),"Yaklaşıyor","Takipte")),"Tarih hatalı"))</f>
        <v/>
      </c>
      <c r="R152" s="73">
        <f>IF(R47="","Tarih girilmedi",IFERROR(IF(TODAY()&gt;R47,"Süresi geçti",IF(TODAY()&gt;=(R47-180),"Yaklaşıyor","Takipte")),"Tarih hatalı"))</f>
        <v/>
      </c>
      <c r="S152" s="73">
        <f>IF(S47="","Tarih girilmedi",IFERROR(IF(TODAY()&gt;S47,"Süresi geçti",IF(TODAY()&gt;=(S47-180),"Yaklaşıyor","Takipte")),"Tarih hatalı"))</f>
        <v/>
      </c>
      <c r="T152" s="73">
        <f>IF(T47="","Tarih girilmedi",IFERROR(IF(TODAY()&gt;T47,"Süresi geçti",IF(TODAY()&gt;=(T47-180),"Yaklaşıyor","Takipte")),"Tarih hatalı"))</f>
        <v/>
      </c>
      <c r="U152" s="73">
        <f>IF(U47="","Tarih girilmedi",IFERROR(IF(TODAY()&gt;U47,"Süresi geçti",IF(TODAY()&gt;=(U47-180),"Yaklaşıyor","Takipte")),"Tarih hatalı"))</f>
        <v/>
      </c>
      <c r="V152" s="73">
        <f>IF(V47="","Tarih girilmedi",IFERROR(IF(TODAY()&gt;V47,"Süresi geçti",IF(TODAY()&gt;=(V47-180),"Yaklaşıyor","Takipte")),"Tarih hatalı"))</f>
        <v/>
      </c>
      <c r="W152" s="73">
        <f>IF(W47="","Tarih girilmedi",IFERROR(IF(TODAY()&gt;W47,"Süresi geçti",IF(TODAY()&gt;=(W47-180),"Yaklaşıyor","Takipte")),"Tarih hatalı"))</f>
        <v/>
      </c>
      <c r="X152" s="73">
        <f>IF(X47="","Tarih girilmedi",IFERROR(IF(TODAY()&gt;X47,"Süresi geçti",IF(TODAY()&gt;=(X47-180),"Yaklaşıyor","Takipte")),"Tarih hatalı"))</f>
        <v/>
      </c>
      <c r="Y152" s="73">
        <f>IF(Y47="","Tarih girilmedi",IFERROR(IF(TODAY()&gt;Y47,"Süresi geçti",IF(TODAY()&gt;=(Y47-180),"Yaklaşıyor","Takipte")),"Tarih hatalı"))</f>
        <v/>
      </c>
      <c r="Z152" s="73">
        <f>IF(Z47="","Tarih girilmedi",IFERROR(IF(TODAY()&gt;Z47,"Süresi geçti",IF(TODAY()&gt;=(Z47-180),"Yaklaşıyor","Takipte")),"Tarih hatalı"))</f>
        <v/>
      </c>
      <c r="AA152" s="73">
        <f>IF(AA47="","Tarih girilmedi",IFERROR(IF(TODAY()&gt;AA47,"Süresi geçti",IF(TODAY()&gt;=(AA47-180),"Yaklaşıyor","Takipte")),"Tarih hatalı"))</f>
        <v/>
      </c>
      <c r="AB152" s="73">
        <f>IF(AB47="","Tarih girilmedi",IFERROR(IF(TODAY()&gt;AB47,"Süresi geçti",IF(TODAY()&gt;=(AB47-180),"Yaklaşıyor","Takipte")),"Tarih hatalı"))</f>
        <v/>
      </c>
      <c r="AC152" s="73">
        <f>IF(AC47="","Tarih girilmedi",IFERROR(IF(TODAY()&gt;AC47,"Süresi geçti",IF(TODAY()&gt;=(AC47-180),"Yaklaşıyor","Takipte")),"Tarih hatalı"))</f>
        <v/>
      </c>
      <c r="AD152" s="73">
        <f>IF(AD47="","Tarih girilmedi",IFERROR(IF(TODAY()&gt;AD47,"Süresi geçti",IF(TODAY()&gt;=(AD47-180),"Yaklaşıyor","Takipte")),"Tarih hatalı"))</f>
        <v/>
      </c>
      <c r="AE152" s="73">
        <f>IF(AE47="","Tarih girilmedi",IFERROR(IF(TODAY()&gt;AE47,"Süresi geçti",IF(TODAY()&gt;=(AE47-180),"Yaklaşıyor","Takipte")),"Tarih hatalı"))</f>
        <v/>
      </c>
      <c r="AF152" s="73">
        <f>IF(AF47="","Tarih girilmedi",IFERROR(IF(TODAY()&gt;AF47,"Süresi geçti",IF(TODAY()&gt;=(AF47-180),"Yaklaşıyor","Takipte")),"Tarih hatalı"))</f>
        <v/>
      </c>
    </row>
    <row r="153" outlineLevel="1" ht="22" customHeight="1">
      <c r="A153" s="70" t="inlineStr">
        <is>
          <t>BEKRA kapsam değerlendirmesi</t>
        </is>
      </c>
      <c r="B153" s="75" t="inlineStr">
        <is>
          <t>Seçim</t>
        </is>
      </c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</row>
    <row r="154" outlineLevel="1" ht="22" customHeight="1">
      <c r="A154" s="70" t="inlineStr">
        <is>
          <t>BEKRA kuruluş seviyesi</t>
        </is>
      </c>
      <c r="B154" s="75" t="inlineStr">
        <is>
          <t>Seçim</t>
        </is>
      </c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</row>
    <row r="155" outlineLevel="1" ht="22" customHeight="1">
      <c r="A155" s="70" t="inlineStr">
        <is>
          <t>BEKRA bildirimi yapıldı mı?</t>
        </is>
      </c>
      <c r="B155" s="75" t="inlineStr">
        <is>
          <t>Seçim</t>
        </is>
      </c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</row>
    <row r="156" outlineLevel="1" ht="22" customHeight="1">
      <c r="A156" s="70" t="inlineStr">
        <is>
          <t>Son BEKRA bildirim / güncelleme tarihi</t>
        </is>
      </c>
      <c r="B156" s="74" t="inlineStr">
        <is>
          <t>Tarih</t>
        </is>
      </c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  <c r="AE156" s="20" t="n"/>
      <c r="AF156" s="20" t="n"/>
    </row>
    <row r="157" outlineLevel="1" ht="22" customHeight="1">
      <c r="A157" s="70" t="inlineStr">
        <is>
          <t>BEKRA bildirimi güncel mi?</t>
        </is>
      </c>
      <c r="B157" s="75" t="inlineStr">
        <is>
          <t>Seçim</t>
        </is>
      </c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</row>
    <row r="158" outlineLevel="1" ht="22" customHeight="1">
      <c r="A158" s="70" t="inlineStr">
        <is>
          <t>BEKRA kapsam / güncelleme notu</t>
        </is>
      </c>
      <c r="B158" s="76" t="inlineStr">
        <is>
          <t>Bilgi</t>
        </is>
      </c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n"/>
    </row>
    <row r="159" outlineLevel="1" ht="28" customHeight="1">
      <c r="A159" s="70" t="inlineStr">
        <is>
          <t>AKTİF UYARI SAYISI (otomatik)</t>
        </is>
      </c>
      <c r="B159" s="71" t="inlineStr">
        <is>
          <t>Otomatik</t>
        </is>
      </c>
      <c r="C159" s="77">
        <f>((C137="Süresi geçti")+(C137="Yaklaşıyor")+(C137="Tarih hatalı"))+((C140="Süresi geçti")+(C140="Yaklaşıyor")+(C140="Tarih hatalı"))+((C143="Süresi geçti")+(C143="Yaklaşıyor")+(C143="Tarih hatalı"))+((C147="Süresi geçti")+(C147="Yaklaşıyor")+(C147="Tarih hatalı"))+((C150="Süresi geçti")+(C150="Yaklaşıyor")+(C150="Tarih hatalı"))+((C152="Süresi geçti")+(C152="Yaklaşıyor")+(C152="Tarih hatalı"))</f>
        <v/>
      </c>
      <c r="D159" s="77">
        <f>((D137="Süresi geçti")+(D137="Yaklaşıyor")+(D137="Tarih hatalı"))+((D140="Süresi geçti")+(D140="Yaklaşıyor")+(D140="Tarih hatalı"))+((D143="Süresi geçti")+(D143="Yaklaşıyor")+(D143="Tarih hatalı"))+((D147="Süresi geçti")+(D147="Yaklaşıyor")+(D147="Tarih hatalı"))+((D150="Süresi geçti")+(D150="Yaklaşıyor")+(D150="Tarih hatalı"))+((D152="Süresi geçti")+(D152="Yaklaşıyor")+(D152="Tarih hatalı"))</f>
        <v/>
      </c>
      <c r="E159" s="77">
        <f>((E137="Süresi geçti")+(E137="Yaklaşıyor")+(E137="Tarih hatalı"))+((E140="Süresi geçti")+(E140="Yaklaşıyor")+(E140="Tarih hatalı"))+((E143="Süresi geçti")+(E143="Yaklaşıyor")+(E143="Tarih hatalı"))+((E147="Süresi geçti")+(E147="Yaklaşıyor")+(E147="Tarih hatalı"))+((E150="Süresi geçti")+(E150="Yaklaşıyor")+(E150="Tarih hatalı"))+((E152="Süresi geçti")+(E152="Yaklaşıyor")+(E152="Tarih hatalı"))</f>
        <v/>
      </c>
      <c r="F159" s="77">
        <f>((F137="Süresi geçti")+(F137="Yaklaşıyor")+(F137="Tarih hatalı"))+((F140="Süresi geçti")+(F140="Yaklaşıyor")+(F140="Tarih hatalı"))+((F143="Süresi geçti")+(F143="Yaklaşıyor")+(F143="Tarih hatalı"))+((F147="Süresi geçti")+(F147="Yaklaşıyor")+(F147="Tarih hatalı"))+((F150="Süresi geçti")+(F150="Yaklaşıyor")+(F150="Tarih hatalı"))+((F152="Süresi geçti")+(F152="Yaklaşıyor")+(F152="Tarih hatalı"))</f>
        <v/>
      </c>
      <c r="G159" s="77">
        <f>((G137="Süresi geçti")+(G137="Yaklaşıyor")+(G137="Tarih hatalı"))+((G140="Süresi geçti")+(G140="Yaklaşıyor")+(G140="Tarih hatalı"))+((G143="Süresi geçti")+(G143="Yaklaşıyor")+(G143="Tarih hatalı"))+((G147="Süresi geçti")+(G147="Yaklaşıyor")+(G147="Tarih hatalı"))+((G150="Süresi geçti")+(G150="Yaklaşıyor")+(G150="Tarih hatalı"))+((G152="Süresi geçti")+(G152="Yaklaşıyor")+(G152="Tarih hatalı"))</f>
        <v/>
      </c>
      <c r="H159" s="77">
        <f>((H137="Süresi geçti")+(H137="Yaklaşıyor")+(H137="Tarih hatalı"))+((H140="Süresi geçti")+(H140="Yaklaşıyor")+(H140="Tarih hatalı"))+((H143="Süresi geçti")+(H143="Yaklaşıyor")+(H143="Tarih hatalı"))+((H147="Süresi geçti")+(H147="Yaklaşıyor")+(H147="Tarih hatalı"))+((H150="Süresi geçti")+(H150="Yaklaşıyor")+(H150="Tarih hatalı"))+((H152="Süresi geçti")+(H152="Yaklaşıyor")+(H152="Tarih hatalı"))</f>
        <v/>
      </c>
      <c r="I159" s="77">
        <f>((I137="Süresi geçti")+(I137="Yaklaşıyor")+(I137="Tarih hatalı"))+((I140="Süresi geçti")+(I140="Yaklaşıyor")+(I140="Tarih hatalı"))+((I143="Süresi geçti")+(I143="Yaklaşıyor")+(I143="Tarih hatalı"))+((I147="Süresi geçti")+(I147="Yaklaşıyor")+(I147="Tarih hatalı"))+((I150="Süresi geçti")+(I150="Yaklaşıyor")+(I150="Tarih hatalı"))+((I152="Süresi geçti")+(I152="Yaklaşıyor")+(I152="Tarih hatalı"))</f>
        <v/>
      </c>
      <c r="J159" s="77">
        <f>((J137="Süresi geçti")+(J137="Yaklaşıyor")+(J137="Tarih hatalı"))+((J140="Süresi geçti")+(J140="Yaklaşıyor")+(J140="Tarih hatalı"))+((J143="Süresi geçti")+(J143="Yaklaşıyor")+(J143="Tarih hatalı"))+((J147="Süresi geçti")+(J147="Yaklaşıyor")+(J147="Tarih hatalı"))+((J150="Süresi geçti")+(J150="Yaklaşıyor")+(J150="Tarih hatalı"))+((J152="Süresi geçti")+(J152="Yaklaşıyor")+(J152="Tarih hatalı"))</f>
        <v/>
      </c>
      <c r="K159" s="77">
        <f>((K137="Süresi geçti")+(K137="Yaklaşıyor")+(K137="Tarih hatalı"))+((K140="Süresi geçti")+(K140="Yaklaşıyor")+(K140="Tarih hatalı"))+((K143="Süresi geçti")+(K143="Yaklaşıyor")+(K143="Tarih hatalı"))+((K147="Süresi geçti")+(K147="Yaklaşıyor")+(K147="Tarih hatalı"))+((K150="Süresi geçti")+(K150="Yaklaşıyor")+(K150="Tarih hatalı"))+((K152="Süresi geçti")+(K152="Yaklaşıyor")+(K152="Tarih hatalı"))</f>
        <v/>
      </c>
      <c r="L159" s="77">
        <f>((L137="Süresi geçti")+(L137="Yaklaşıyor")+(L137="Tarih hatalı"))+((L140="Süresi geçti")+(L140="Yaklaşıyor")+(L140="Tarih hatalı"))+((L143="Süresi geçti")+(L143="Yaklaşıyor")+(L143="Tarih hatalı"))+((L147="Süresi geçti")+(L147="Yaklaşıyor")+(L147="Tarih hatalı"))+((L150="Süresi geçti")+(L150="Yaklaşıyor")+(L150="Tarih hatalı"))+((L152="Süresi geçti")+(L152="Yaklaşıyor")+(L152="Tarih hatalı"))</f>
        <v/>
      </c>
      <c r="M159" s="77">
        <f>((M137="Süresi geçti")+(M137="Yaklaşıyor")+(M137="Tarih hatalı"))+((M140="Süresi geçti")+(M140="Yaklaşıyor")+(M140="Tarih hatalı"))+((M143="Süresi geçti")+(M143="Yaklaşıyor")+(M143="Tarih hatalı"))+((M147="Süresi geçti")+(M147="Yaklaşıyor")+(M147="Tarih hatalı"))+((M150="Süresi geçti")+(M150="Yaklaşıyor")+(M150="Tarih hatalı"))+((M152="Süresi geçti")+(M152="Yaklaşıyor")+(M152="Tarih hatalı"))</f>
        <v/>
      </c>
      <c r="N159" s="77">
        <f>((N137="Süresi geçti")+(N137="Yaklaşıyor")+(N137="Tarih hatalı"))+((N140="Süresi geçti")+(N140="Yaklaşıyor")+(N140="Tarih hatalı"))+((N143="Süresi geçti")+(N143="Yaklaşıyor")+(N143="Tarih hatalı"))+((N147="Süresi geçti")+(N147="Yaklaşıyor")+(N147="Tarih hatalı"))+((N150="Süresi geçti")+(N150="Yaklaşıyor")+(N150="Tarih hatalı"))+((N152="Süresi geçti")+(N152="Yaklaşıyor")+(N152="Tarih hatalı"))</f>
        <v/>
      </c>
      <c r="O159" s="77">
        <f>((O137="Süresi geçti")+(O137="Yaklaşıyor")+(O137="Tarih hatalı"))+((O140="Süresi geçti")+(O140="Yaklaşıyor")+(O140="Tarih hatalı"))+((O143="Süresi geçti")+(O143="Yaklaşıyor")+(O143="Tarih hatalı"))+((O147="Süresi geçti")+(O147="Yaklaşıyor")+(O147="Tarih hatalı"))+((O150="Süresi geçti")+(O150="Yaklaşıyor")+(O150="Tarih hatalı"))+((O152="Süresi geçti")+(O152="Yaklaşıyor")+(O152="Tarih hatalı"))</f>
        <v/>
      </c>
      <c r="P159" s="77">
        <f>((P137="Süresi geçti")+(P137="Yaklaşıyor")+(P137="Tarih hatalı"))+((P140="Süresi geçti")+(P140="Yaklaşıyor")+(P140="Tarih hatalı"))+((P143="Süresi geçti")+(P143="Yaklaşıyor")+(P143="Tarih hatalı"))+((P147="Süresi geçti")+(P147="Yaklaşıyor")+(P147="Tarih hatalı"))+((P150="Süresi geçti")+(P150="Yaklaşıyor")+(P150="Tarih hatalı"))+((P152="Süresi geçti")+(P152="Yaklaşıyor")+(P152="Tarih hatalı"))</f>
        <v/>
      </c>
      <c r="Q159" s="77">
        <f>((Q137="Süresi geçti")+(Q137="Yaklaşıyor")+(Q137="Tarih hatalı"))+((Q140="Süresi geçti")+(Q140="Yaklaşıyor")+(Q140="Tarih hatalı"))+((Q143="Süresi geçti")+(Q143="Yaklaşıyor")+(Q143="Tarih hatalı"))+((Q147="Süresi geçti")+(Q147="Yaklaşıyor")+(Q147="Tarih hatalı"))+((Q150="Süresi geçti")+(Q150="Yaklaşıyor")+(Q150="Tarih hatalı"))+((Q152="Süresi geçti")+(Q152="Yaklaşıyor")+(Q152="Tarih hatalı"))</f>
        <v/>
      </c>
      <c r="R159" s="77">
        <f>((R137="Süresi geçti")+(R137="Yaklaşıyor")+(R137="Tarih hatalı"))+((R140="Süresi geçti")+(R140="Yaklaşıyor")+(R140="Tarih hatalı"))+((R143="Süresi geçti")+(R143="Yaklaşıyor")+(R143="Tarih hatalı"))+((R147="Süresi geçti")+(R147="Yaklaşıyor")+(R147="Tarih hatalı"))+((R150="Süresi geçti")+(R150="Yaklaşıyor")+(R150="Tarih hatalı"))+((R152="Süresi geçti")+(R152="Yaklaşıyor")+(R152="Tarih hatalı"))</f>
        <v/>
      </c>
      <c r="S159" s="77">
        <f>((S137="Süresi geçti")+(S137="Yaklaşıyor")+(S137="Tarih hatalı"))+((S140="Süresi geçti")+(S140="Yaklaşıyor")+(S140="Tarih hatalı"))+((S143="Süresi geçti")+(S143="Yaklaşıyor")+(S143="Tarih hatalı"))+((S147="Süresi geçti")+(S147="Yaklaşıyor")+(S147="Tarih hatalı"))+((S150="Süresi geçti")+(S150="Yaklaşıyor")+(S150="Tarih hatalı"))+((S152="Süresi geçti")+(S152="Yaklaşıyor")+(S152="Tarih hatalı"))</f>
        <v/>
      </c>
      <c r="T159" s="77">
        <f>((T137="Süresi geçti")+(T137="Yaklaşıyor")+(T137="Tarih hatalı"))+((T140="Süresi geçti")+(T140="Yaklaşıyor")+(T140="Tarih hatalı"))+((T143="Süresi geçti")+(T143="Yaklaşıyor")+(T143="Tarih hatalı"))+((T147="Süresi geçti")+(T147="Yaklaşıyor")+(T147="Tarih hatalı"))+((T150="Süresi geçti")+(T150="Yaklaşıyor")+(T150="Tarih hatalı"))+((T152="Süresi geçti")+(T152="Yaklaşıyor")+(T152="Tarih hatalı"))</f>
        <v/>
      </c>
      <c r="U159" s="77">
        <f>((U137="Süresi geçti")+(U137="Yaklaşıyor")+(U137="Tarih hatalı"))+((U140="Süresi geçti")+(U140="Yaklaşıyor")+(U140="Tarih hatalı"))+((U143="Süresi geçti")+(U143="Yaklaşıyor")+(U143="Tarih hatalı"))+((U147="Süresi geçti")+(U147="Yaklaşıyor")+(U147="Tarih hatalı"))+((U150="Süresi geçti")+(U150="Yaklaşıyor")+(U150="Tarih hatalı"))+((U152="Süresi geçti")+(U152="Yaklaşıyor")+(U152="Tarih hatalı"))</f>
        <v/>
      </c>
      <c r="V159" s="77">
        <f>((V137="Süresi geçti")+(V137="Yaklaşıyor")+(V137="Tarih hatalı"))+((V140="Süresi geçti")+(V140="Yaklaşıyor")+(V140="Tarih hatalı"))+((V143="Süresi geçti")+(V143="Yaklaşıyor")+(V143="Tarih hatalı"))+((V147="Süresi geçti")+(V147="Yaklaşıyor")+(V147="Tarih hatalı"))+((V150="Süresi geçti")+(V150="Yaklaşıyor")+(V150="Tarih hatalı"))+((V152="Süresi geçti")+(V152="Yaklaşıyor")+(V152="Tarih hatalı"))</f>
        <v/>
      </c>
      <c r="W159" s="77">
        <f>((W137="Süresi geçti")+(W137="Yaklaşıyor")+(W137="Tarih hatalı"))+((W140="Süresi geçti")+(W140="Yaklaşıyor")+(W140="Tarih hatalı"))+((W143="Süresi geçti")+(W143="Yaklaşıyor")+(W143="Tarih hatalı"))+((W147="Süresi geçti")+(W147="Yaklaşıyor")+(W147="Tarih hatalı"))+((W150="Süresi geçti")+(W150="Yaklaşıyor")+(W150="Tarih hatalı"))+((W152="Süresi geçti")+(W152="Yaklaşıyor")+(W152="Tarih hatalı"))</f>
        <v/>
      </c>
      <c r="X159" s="77">
        <f>((X137="Süresi geçti")+(X137="Yaklaşıyor")+(X137="Tarih hatalı"))+((X140="Süresi geçti")+(X140="Yaklaşıyor")+(X140="Tarih hatalı"))+((X143="Süresi geçti")+(X143="Yaklaşıyor")+(X143="Tarih hatalı"))+((X147="Süresi geçti")+(X147="Yaklaşıyor")+(X147="Tarih hatalı"))+((X150="Süresi geçti")+(X150="Yaklaşıyor")+(X150="Tarih hatalı"))+((X152="Süresi geçti")+(X152="Yaklaşıyor")+(X152="Tarih hatalı"))</f>
        <v/>
      </c>
      <c r="Y159" s="77">
        <f>((Y137="Süresi geçti")+(Y137="Yaklaşıyor")+(Y137="Tarih hatalı"))+((Y140="Süresi geçti")+(Y140="Yaklaşıyor")+(Y140="Tarih hatalı"))+((Y143="Süresi geçti")+(Y143="Yaklaşıyor")+(Y143="Tarih hatalı"))+((Y147="Süresi geçti")+(Y147="Yaklaşıyor")+(Y147="Tarih hatalı"))+((Y150="Süresi geçti")+(Y150="Yaklaşıyor")+(Y150="Tarih hatalı"))+((Y152="Süresi geçti")+(Y152="Yaklaşıyor")+(Y152="Tarih hatalı"))</f>
        <v/>
      </c>
      <c r="Z159" s="77">
        <f>((Z137="Süresi geçti")+(Z137="Yaklaşıyor")+(Z137="Tarih hatalı"))+((Z140="Süresi geçti")+(Z140="Yaklaşıyor")+(Z140="Tarih hatalı"))+((Z143="Süresi geçti")+(Z143="Yaklaşıyor")+(Z143="Tarih hatalı"))+((Z147="Süresi geçti")+(Z147="Yaklaşıyor")+(Z147="Tarih hatalı"))+((Z150="Süresi geçti")+(Z150="Yaklaşıyor")+(Z150="Tarih hatalı"))+((Z152="Süresi geçti")+(Z152="Yaklaşıyor")+(Z152="Tarih hatalı"))</f>
        <v/>
      </c>
      <c r="AA159" s="77">
        <f>((AA137="Süresi geçti")+(AA137="Yaklaşıyor")+(AA137="Tarih hatalı"))+((AA140="Süresi geçti")+(AA140="Yaklaşıyor")+(AA140="Tarih hatalı"))+((AA143="Süresi geçti")+(AA143="Yaklaşıyor")+(AA143="Tarih hatalı"))+((AA147="Süresi geçti")+(AA147="Yaklaşıyor")+(AA147="Tarih hatalı"))+((AA150="Süresi geçti")+(AA150="Yaklaşıyor")+(AA150="Tarih hatalı"))+((AA152="Süresi geçti")+(AA152="Yaklaşıyor")+(AA152="Tarih hatalı"))</f>
        <v/>
      </c>
      <c r="AB159" s="77">
        <f>((AB137="Süresi geçti")+(AB137="Yaklaşıyor")+(AB137="Tarih hatalı"))+((AB140="Süresi geçti")+(AB140="Yaklaşıyor")+(AB140="Tarih hatalı"))+((AB143="Süresi geçti")+(AB143="Yaklaşıyor")+(AB143="Tarih hatalı"))+((AB147="Süresi geçti")+(AB147="Yaklaşıyor")+(AB147="Tarih hatalı"))+((AB150="Süresi geçti")+(AB150="Yaklaşıyor")+(AB150="Tarih hatalı"))+((AB152="Süresi geçti")+(AB152="Yaklaşıyor")+(AB152="Tarih hatalı"))</f>
        <v/>
      </c>
      <c r="AC159" s="77">
        <f>((AC137="Süresi geçti")+(AC137="Yaklaşıyor")+(AC137="Tarih hatalı"))+((AC140="Süresi geçti")+(AC140="Yaklaşıyor")+(AC140="Tarih hatalı"))+((AC143="Süresi geçti")+(AC143="Yaklaşıyor")+(AC143="Tarih hatalı"))+((AC147="Süresi geçti")+(AC147="Yaklaşıyor")+(AC147="Tarih hatalı"))+((AC150="Süresi geçti")+(AC150="Yaklaşıyor")+(AC150="Tarih hatalı"))+((AC152="Süresi geçti")+(AC152="Yaklaşıyor")+(AC152="Tarih hatalı"))</f>
        <v/>
      </c>
      <c r="AD159" s="77">
        <f>((AD137="Süresi geçti")+(AD137="Yaklaşıyor")+(AD137="Tarih hatalı"))+((AD140="Süresi geçti")+(AD140="Yaklaşıyor")+(AD140="Tarih hatalı"))+((AD143="Süresi geçti")+(AD143="Yaklaşıyor")+(AD143="Tarih hatalı"))+((AD147="Süresi geçti")+(AD147="Yaklaşıyor")+(AD147="Tarih hatalı"))+((AD150="Süresi geçti")+(AD150="Yaklaşıyor")+(AD150="Tarih hatalı"))+((AD152="Süresi geçti")+(AD152="Yaklaşıyor")+(AD152="Tarih hatalı"))</f>
        <v/>
      </c>
      <c r="AE159" s="77">
        <f>((AE137="Süresi geçti")+(AE137="Yaklaşıyor")+(AE137="Tarih hatalı"))+((AE140="Süresi geçti")+(AE140="Yaklaşıyor")+(AE140="Tarih hatalı"))+((AE143="Süresi geçti")+(AE143="Yaklaşıyor")+(AE143="Tarih hatalı"))+((AE147="Süresi geçti")+(AE147="Yaklaşıyor")+(AE147="Tarih hatalı"))+((AE150="Süresi geçti")+(AE150="Yaklaşıyor")+(AE150="Tarih hatalı"))+((AE152="Süresi geçti")+(AE152="Yaklaşıyor")+(AE152="Tarih hatalı"))</f>
        <v/>
      </c>
      <c r="AF159" s="77">
        <f>((AF137="Süresi geçti")+(AF137="Yaklaşıyor")+(AF137="Tarih hatalı"))+((AF140="Süresi geçti")+(AF140="Yaklaşıyor")+(AF140="Tarih hatalı"))+((AF143="Süresi geçti")+(AF143="Yaklaşıyor")+(AF143="Tarih hatalı"))+((AF147="Süresi geçti")+(AF147="Yaklaşıyor")+(AF147="Tarih hatalı"))+((AF150="Süresi geçti")+(AF150="Yaklaşıyor")+(AF150="Tarih hatalı"))+((AF152="Süresi geçti")+(AF152="Yaklaşıyor")+(AF152="Tarih hatalı"))</f>
        <v/>
      </c>
    </row>
  </sheetData>
  <mergeCells count="3">
    <mergeCell ref="A1:AF1"/>
    <mergeCell ref="C3:AF3"/>
    <mergeCell ref="A2:AF2"/>
  </mergeCells>
  <conditionalFormatting sqref="C17:AF17">
    <cfRule type="expression" priority="1" dxfId="0">
      <formula>OR(C17="Tapu",C17="Kira")</formula>
    </cfRule>
  </conditionalFormatting>
  <conditionalFormatting sqref="C18:AF18">
    <cfRule type="expression" priority="2" dxfId="0">
      <formula>C18="Mevcut"</formula>
    </cfRule>
    <cfRule type="expression" priority="3" dxfId="1">
      <formula>OR(C18="Yok",C18="Süresi dolmuş")</formula>
    </cfRule>
  </conditionalFormatting>
  <conditionalFormatting sqref="C26:AF26">
    <cfRule type="expression" priority="4" dxfId="1">
      <formula>AND(ISNUMBER(C26),C26&lt;TODAY())</formula>
    </cfRule>
    <cfRule type="expression" priority="5" dxfId="2">
      <formula>AND(ISNUMBER(C26),C26&gt;=TODAY(),C26&lt;=TODAY()+45)</formula>
    </cfRule>
  </conditionalFormatting>
  <conditionalFormatting sqref="C29:AF29">
    <cfRule type="expression" priority="6" dxfId="0">
      <formula>C29="Var"</formula>
    </cfRule>
    <cfRule type="expression" priority="7" dxfId="1">
      <formula>C29="Yok"</formula>
    </cfRule>
  </conditionalFormatting>
  <conditionalFormatting sqref="C30:AF30">
    <cfRule type="expression" priority="8" dxfId="0">
      <formula>C30="Güncel"</formula>
    </cfRule>
    <cfRule type="expression" priority="9" dxfId="1">
      <formula>OR(C30="Güncel değil",C30="Yok")</formula>
    </cfRule>
  </conditionalFormatting>
  <conditionalFormatting sqref="C31:AF31">
    <cfRule type="expression" priority="10" dxfId="0">
      <formula>C31="Var"</formula>
    </cfRule>
    <cfRule type="expression" priority="11" dxfId="1">
      <formula>C31="Yok"</formula>
    </cfRule>
  </conditionalFormatting>
  <conditionalFormatting sqref="C32:AF32">
    <cfRule type="expression" priority="12" dxfId="0">
      <formula>C32="Güncel"</formula>
    </cfRule>
    <cfRule type="expression" priority="13" dxfId="1">
      <formula>OR(C32="Güncel değil",C32="Yok")</formula>
    </cfRule>
  </conditionalFormatting>
  <conditionalFormatting sqref="C33:AF33">
    <cfRule type="expression" priority="14" dxfId="0">
      <formula>C33="Var"</formula>
    </cfRule>
    <cfRule type="expression" priority="15" dxfId="1">
      <formula>C33="Yok"</formula>
    </cfRule>
  </conditionalFormatting>
  <conditionalFormatting sqref="C34:AF34">
    <cfRule type="expression" priority="16" dxfId="0">
      <formula>C34="Var"</formula>
    </cfRule>
    <cfRule type="expression" priority="17" dxfId="1">
      <formula>C34="Yok"</formula>
    </cfRule>
  </conditionalFormatting>
  <conditionalFormatting sqref="C35:AF35">
    <cfRule type="expression" priority="18" dxfId="0">
      <formula>C35="Güncel"</formula>
    </cfRule>
    <cfRule type="expression" priority="19" dxfId="1">
      <formula>OR(C35="Güncel değil",C35="Yok")</formula>
    </cfRule>
  </conditionalFormatting>
  <conditionalFormatting sqref="C36:AF36">
    <cfRule type="expression" priority="20" dxfId="0">
      <formula>C36="Yok"</formula>
    </cfRule>
    <cfRule type="expression" priority="21" dxfId="2">
      <formula>OR(C36="Var",C36="Planlanıyor")</formula>
    </cfRule>
  </conditionalFormatting>
  <conditionalFormatting sqref="C38:AF38">
    <cfRule type="expression" priority="22" dxfId="0">
      <formula>C38="Var"</formula>
    </cfRule>
    <cfRule type="expression" priority="23" dxfId="1">
      <formula>C38="Yok"</formula>
    </cfRule>
    <cfRule type="expression" priority="24" dxfId="2">
      <formula>C38="Süreçte"</formula>
    </cfRule>
  </conditionalFormatting>
  <conditionalFormatting sqref="C39:AF39">
    <cfRule type="expression" priority="25" dxfId="0">
      <formula>OR(C39="ÇED gerekli değildir",C39="ÇED olumlu")</formula>
    </cfRule>
    <cfRule type="expression" priority="26" dxfId="1">
      <formula>C39="ÇED olumsuz"</formula>
    </cfRule>
    <cfRule type="expression" priority="27" dxfId="2">
      <formula>C39="Süreçte"</formula>
    </cfRule>
  </conditionalFormatting>
  <conditionalFormatting sqref="C41:AF41">
    <cfRule type="expression" priority="28" dxfId="0">
      <formula>C41="Yok"</formula>
    </cfRule>
    <cfRule type="expression" priority="29" dxfId="2">
      <formula>OR(C41="Var",C41="Planlanıyor")</formula>
    </cfRule>
  </conditionalFormatting>
  <conditionalFormatting sqref="C42:AF42">
    <cfRule type="expression" priority="30" dxfId="0">
      <formula>OR(C42="Var",C42="Muaf")</formula>
    </cfRule>
    <cfRule type="expression" priority="31" dxfId="1">
      <formula>C42="Yok"</formula>
    </cfRule>
    <cfRule type="expression" priority="32" dxfId="2">
      <formula>C42="Süreçte"</formula>
    </cfRule>
  </conditionalFormatting>
  <conditionalFormatting sqref="C44:AF44">
    <cfRule type="expression" priority="33" dxfId="0">
      <formula>OR(C44="Muaf",C44="Kapsam dışı")</formula>
    </cfRule>
    <cfRule type="expression" priority="34" dxfId="2">
      <formula>OR(C44="Ek-1",C44="Ek-2")</formula>
    </cfRule>
  </conditionalFormatting>
  <conditionalFormatting sqref="C45:AF45">
    <cfRule type="expression" priority="35" dxfId="0">
      <formula>OR(C45="Var",C45="Muaf")</formula>
    </cfRule>
    <cfRule type="expression" priority="36" dxfId="1">
      <formula>C45="Yok"</formula>
    </cfRule>
    <cfRule type="expression" priority="37" dxfId="2">
      <formula>C45="Başvuru yapıldı"</formula>
    </cfRule>
  </conditionalFormatting>
  <conditionalFormatting sqref="C47:AF47">
    <cfRule type="expression" priority="38" dxfId="1">
      <formula>AND(ISNUMBER(C47),C47&lt;TODAY())</formula>
    </cfRule>
    <cfRule type="expression" priority="39" dxfId="2">
      <formula>AND(ISNUMBER(C47),C47&gt;=TODAY(),C47&lt;=TODAY()+45)</formula>
    </cfRule>
  </conditionalFormatting>
  <conditionalFormatting sqref="C48:AF48">
    <cfRule type="expression" priority="40" dxfId="0">
      <formula>OR(C48="Yenilendi",C48="Takipte",C48="Gerekmiyor")</formula>
    </cfRule>
    <cfRule type="expression" priority="41" dxfId="1">
      <formula>C48="Süresi geçti"</formula>
    </cfRule>
    <cfRule type="expression" priority="42" dxfId="2">
      <formula>C48="Başvuru yapıldı"</formula>
    </cfRule>
  </conditionalFormatting>
  <conditionalFormatting sqref="C49:AF49">
    <cfRule type="expression" priority="43" dxfId="0">
      <formula>OR(C49="Var",C49="Gerekmiyor")</formula>
    </cfRule>
    <cfRule type="expression" priority="44" dxfId="1">
      <formula>C49="Yok"</formula>
    </cfRule>
  </conditionalFormatting>
  <conditionalFormatting sqref="C50:AF50">
    <cfRule type="expression" priority="45" dxfId="1">
      <formula>AND(ISNUMBER(C50),C50&lt;TODAY())</formula>
    </cfRule>
    <cfRule type="expression" priority="46" dxfId="2">
      <formula>AND(ISNUMBER(C50),C50&gt;=TODAY(),C50&lt;=TODAY()+45)</formula>
    </cfRule>
  </conditionalFormatting>
  <conditionalFormatting sqref="C56:AF56">
    <cfRule type="expression" priority="47" dxfId="1">
      <formula>AND(ISNUMBER(C56),C56&lt;TODAY())</formula>
    </cfRule>
    <cfRule type="expression" priority="48" dxfId="2">
      <formula>AND(ISNUMBER(C56),C56&gt;=TODAY(),C56&lt;=TODAY()+45)</formula>
    </cfRule>
  </conditionalFormatting>
  <conditionalFormatting sqref="C57:AF57">
    <cfRule type="expression" priority="49" dxfId="0">
      <formula>C57="Uygun"</formula>
    </cfRule>
    <cfRule type="expression" priority="50" dxfId="1">
      <formula>OR(C57="Uygun değil",C57="Yok")</formula>
    </cfRule>
    <cfRule type="expression" priority="51" dxfId="2">
      <formula>C57="Bekleniyor"</formula>
    </cfRule>
  </conditionalFormatting>
  <conditionalFormatting sqref="C58:AF58">
    <cfRule type="expression" priority="52" dxfId="0">
      <formula>C58="Güncel"</formula>
    </cfRule>
    <cfRule type="expression" priority="53" dxfId="1">
      <formula>OR(C58="Güncel değil",C58="Yok")</formula>
    </cfRule>
  </conditionalFormatting>
  <conditionalFormatting sqref="C59:AF59">
    <cfRule type="expression" priority="54" dxfId="0">
      <formula>C59="Yok"</formula>
    </cfRule>
    <cfRule type="expression" priority="55" dxfId="2">
      <formula>OR(C59="Var",C59="Planlanıyor")</formula>
    </cfRule>
  </conditionalFormatting>
  <conditionalFormatting sqref="C60:AF60">
    <cfRule type="expression" priority="56" dxfId="0">
      <formula>C60="Var"</formula>
    </cfRule>
  </conditionalFormatting>
  <conditionalFormatting sqref="C65:AF65">
    <cfRule type="expression" priority="57" dxfId="0">
      <formula>C65="Var"</formula>
    </cfRule>
    <cfRule type="expression" priority="58" dxfId="1">
      <formula>C65="Yok"</formula>
    </cfRule>
  </conditionalFormatting>
  <conditionalFormatting sqref="C66:AF66">
    <cfRule type="expression" priority="59" dxfId="1">
      <formula>AND(ISNUMBER(C66),C66&lt;TODAY())</formula>
    </cfRule>
    <cfRule type="expression" priority="60" dxfId="2">
      <formula>AND(ISNUMBER(C66),C66&gt;=TODAY(),C66&lt;=TODAY()+45)</formula>
    </cfRule>
  </conditionalFormatting>
  <conditionalFormatting sqref="C67:AF67">
    <cfRule type="expression" priority="61" dxfId="0">
      <formula>C67="Var"</formula>
    </cfRule>
    <cfRule type="expression" priority="62" dxfId="1">
      <formula>C67="Yok"</formula>
    </cfRule>
  </conditionalFormatting>
  <conditionalFormatting sqref="C68:AF68">
    <cfRule type="expression" priority="63" dxfId="1">
      <formula>AND(ISNUMBER(C68),C68&lt;TODAY())</formula>
    </cfRule>
    <cfRule type="expression" priority="64" dxfId="2">
      <formula>AND(ISNUMBER(C68),C68&gt;=TODAY(),C68&lt;=TODAY()+45)</formula>
    </cfRule>
  </conditionalFormatting>
  <conditionalFormatting sqref="C69:AF69">
    <cfRule type="expression" priority="65" dxfId="0">
      <formula>C69="Var"</formula>
    </cfRule>
  </conditionalFormatting>
  <conditionalFormatting sqref="C70:AF70">
    <cfRule type="expression" priority="66" dxfId="0">
      <formula>C70="Var"</formula>
    </cfRule>
    <cfRule type="expression" priority="67" dxfId="2">
      <formula>C70="Yok"</formula>
    </cfRule>
  </conditionalFormatting>
  <conditionalFormatting sqref="C72:AF72">
    <cfRule type="expression" priority="68" dxfId="1">
      <formula>AND(ISNUMBER(C72),C72&lt;TODAY())</formula>
    </cfRule>
    <cfRule type="expression" priority="69" dxfId="2">
      <formula>AND(ISNUMBER(C72),C72&gt;=TODAY(),C72&lt;=TODAY()+45)</formula>
    </cfRule>
  </conditionalFormatting>
  <conditionalFormatting sqref="C73:AF73">
    <cfRule type="expression" priority="70" dxfId="0">
      <formula>C73="Uygun"</formula>
    </cfRule>
    <cfRule type="expression" priority="71" dxfId="1">
      <formula>C73="Uygun değil"</formula>
    </cfRule>
    <cfRule type="expression" priority="72" dxfId="2">
      <formula>C73="Kısmen"</formula>
    </cfRule>
  </conditionalFormatting>
  <conditionalFormatting sqref="C75:AF75">
    <cfRule type="expression" priority="73" dxfId="0">
      <formula>C75="Var"</formula>
    </cfRule>
    <cfRule type="expression" priority="74" dxfId="1">
      <formula>C75="Yok"</formula>
    </cfRule>
  </conditionalFormatting>
  <conditionalFormatting sqref="C77:AF77">
    <cfRule type="expression" priority="75" dxfId="0">
      <formula>C77="Geçerli"</formula>
    </cfRule>
    <cfRule type="expression" priority="76" dxfId="1">
      <formula>OR(C77="Süresi doldu",C77="Yok")</formula>
    </cfRule>
    <cfRule type="expression" priority="77" dxfId="2">
      <formula>C77="Yenileme zamanı"</formula>
    </cfRule>
  </conditionalFormatting>
  <conditionalFormatting sqref="C78:AF78">
    <cfRule type="expression" priority="78" dxfId="0">
      <formula>C78="Var"</formula>
    </cfRule>
    <cfRule type="expression" priority="79" dxfId="1">
      <formula>C78="Yok"</formula>
    </cfRule>
  </conditionalFormatting>
  <conditionalFormatting sqref="C79:AF79">
    <cfRule type="expression" priority="80" dxfId="0">
      <formula>C79="Var"</formula>
    </cfRule>
  </conditionalFormatting>
  <conditionalFormatting sqref="C80:AF80">
    <cfRule type="expression" priority="81" dxfId="0">
      <formula>C80="Uygun"</formula>
    </cfRule>
    <cfRule type="expression" priority="82" dxfId="1">
      <formula>C80="Uygun değil"</formula>
    </cfRule>
    <cfRule type="expression" priority="83" dxfId="2">
      <formula>C80="Kısmen"</formula>
    </cfRule>
  </conditionalFormatting>
  <conditionalFormatting sqref="C81:AF81">
    <cfRule type="expression" priority="84" dxfId="0">
      <formula>C81="Var"</formula>
    </cfRule>
    <cfRule type="expression" priority="85" dxfId="1">
      <formula>C81="Yok"</formula>
    </cfRule>
  </conditionalFormatting>
  <conditionalFormatting sqref="C82:AF82">
    <cfRule type="expression" priority="86" dxfId="0">
      <formula>C82="Uygun"</formula>
    </cfRule>
    <cfRule type="expression" priority="87" dxfId="1">
      <formula>C82="Uygun değil"</formula>
    </cfRule>
    <cfRule type="expression" priority="88" dxfId="2">
      <formula>C82="Kısmen"</formula>
    </cfRule>
  </conditionalFormatting>
  <conditionalFormatting sqref="C83:AF83">
    <cfRule type="expression" priority="89" dxfId="0">
      <formula>C83="Var"</formula>
    </cfRule>
    <cfRule type="expression" priority="90" dxfId="1">
      <formula>C83="Yok"</formula>
    </cfRule>
  </conditionalFormatting>
  <conditionalFormatting sqref="C84:AF84">
    <cfRule type="expression" priority="91" dxfId="0">
      <formula>C84="Güncel"</formula>
    </cfRule>
    <cfRule type="expression" priority="92" dxfId="1">
      <formula>OR(C84="Güncel değil",C84="Yok")</formula>
    </cfRule>
  </conditionalFormatting>
  <conditionalFormatting sqref="C85:AF85">
    <cfRule type="expression" priority="93" dxfId="0">
      <formula>C85="Güncel"</formula>
    </cfRule>
    <cfRule type="expression" priority="94" dxfId="1">
      <formula>OR(C85="Güncel değil",C85="Yok")</formula>
    </cfRule>
  </conditionalFormatting>
  <conditionalFormatting sqref="C86:AF86">
    <cfRule type="expression" priority="95" dxfId="0">
      <formula>OR(C86="Yapıldı",C86="Kapsam dışı")</formula>
    </cfRule>
    <cfRule type="expression" priority="96" dxfId="1">
      <formula>C86="Yapılmadı"</formula>
    </cfRule>
  </conditionalFormatting>
  <conditionalFormatting sqref="C87:AF87">
    <cfRule type="expression" priority="97" dxfId="0">
      <formula>OR(C87="Yapıldı",C87="Kapsam dışı")</formula>
    </cfRule>
    <cfRule type="expression" priority="98" dxfId="1">
      <formula>C87="Yapılmadı"</formula>
    </cfRule>
  </conditionalFormatting>
  <conditionalFormatting sqref="C90:AF90">
    <cfRule type="expression" priority="99" dxfId="0">
      <formula>C90="Var"</formula>
    </cfRule>
    <cfRule type="expression" priority="100" dxfId="2">
      <formula>C90="Yok"</formula>
    </cfRule>
  </conditionalFormatting>
  <conditionalFormatting sqref="C91:AF91">
    <cfRule type="expression" priority="101" dxfId="0">
      <formula>OR(C91="Yapıldı",C91="Kapsam dışı")</formula>
    </cfRule>
    <cfRule type="expression" priority="102" dxfId="1">
      <formula>C91="Yapılmadı"</formula>
    </cfRule>
  </conditionalFormatting>
  <conditionalFormatting sqref="C93:AF93">
    <cfRule type="expression" priority="103" dxfId="0">
      <formula>C93="Uygun"</formula>
    </cfRule>
    <cfRule type="expression" priority="104" dxfId="1">
      <formula>C93="Uygun değil"</formula>
    </cfRule>
    <cfRule type="expression" priority="105" dxfId="2">
      <formula>C93="Kısmen"</formula>
    </cfRule>
  </conditionalFormatting>
  <conditionalFormatting sqref="C94:AF94">
    <cfRule type="expression" priority="106" dxfId="0">
      <formula>C94="Var"</formula>
    </cfRule>
    <cfRule type="expression" priority="107" dxfId="1">
      <formula>C94="Yok"</formula>
    </cfRule>
  </conditionalFormatting>
  <conditionalFormatting sqref="C95:AF95">
    <cfRule type="expression" priority="108" dxfId="0">
      <formula>C95="Gerekli değil"</formula>
    </cfRule>
    <cfRule type="expression" priority="109" dxfId="2">
      <formula>OR(C95="Gerekli",C95="Değerlendirilmedi")</formula>
    </cfRule>
  </conditionalFormatting>
  <conditionalFormatting sqref="C96:AF96">
    <cfRule type="expression" priority="110" dxfId="0">
      <formula>C96="Mevcut"</formula>
    </cfRule>
    <cfRule type="expression" priority="111" dxfId="1">
      <formula>OR(C96="Yok",C96="Süresi dolmuş")</formula>
    </cfRule>
  </conditionalFormatting>
  <conditionalFormatting sqref="C97:AF97">
    <cfRule type="expression" priority="112" dxfId="0">
      <formula>C97="Yok"</formula>
    </cfRule>
    <cfRule type="expression" priority="113" dxfId="2">
      <formula>OR(C97="Var",C97="Değerlendirilmedi")</formula>
    </cfRule>
  </conditionalFormatting>
  <conditionalFormatting sqref="C102:AF102">
    <cfRule type="expression" priority="114" dxfId="1">
      <formula>AND(ISNUMBER(C102),C102&lt;TODAY())</formula>
    </cfRule>
    <cfRule type="expression" priority="115" dxfId="2">
      <formula>AND(ISNUMBER(C102),C102&gt;=TODAY(),C102&lt;=TODAY()+45)</formula>
    </cfRule>
  </conditionalFormatting>
  <conditionalFormatting sqref="C103:AF103">
    <cfRule type="expression" priority="116" dxfId="0">
      <formula>C103="Tamam"</formula>
    </cfRule>
    <cfRule type="expression" priority="117" dxfId="1">
      <formula>OR(C103="Yok",C103="Eksik")</formula>
    </cfRule>
  </conditionalFormatting>
  <conditionalFormatting sqref="C105:AF105">
    <cfRule type="expression" priority="118" dxfId="1">
      <formula>AND(ISNUMBER(C105),C105&lt;TODAY())</formula>
    </cfRule>
    <cfRule type="expression" priority="119" dxfId="2">
      <formula>AND(ISNUMBER(C105),C105&gt;=TODAY(),C105&lt;=TODAY()+45)</formula>
    </cfRule>
  </conditionalFormatting>
  <conditionalFormatting sqref="C106:AF106">
    <cfRule type="expression" priority="120" dxfId="0">
      <formula>C106="Kapatıldı"</formula>
    </cfRule>
    <cfRule type="expression" priority="121" dxfId="1">
      <formula>C106="Açık"</formula>
    </cfRule>
    <cfRule type="expression" priority="122" dxfId="2">
      <formula>C106="Kısmen"</formula>
    </cfRule>
  </conditionalFormatting>
  <conditionalFormatting sqref="C108:AF108">
    <cfRule type="expression" priority="123" dxfId="1">
      <formula>AND(ISNUMBER(C108),C108&lt;TODAY())</formula>
    </cfRule>
    <cfRule type="expression" priority="124" dxfId="2">
      <formula>AND(ISNUMBER(C108),C108&gt;=TODAY(),C108&lt;=TODAY()+45)</formula>
    </cfRule>
  </conditionalFormatting>
  <conditionalFormatting sqref="C109:AF109">
    <cfRule type="expression" priority="125" dxfId="0">
      <formula>C109="Tamam"</formula>
    </cfRule>
    <cfRule type="expression" priority="126" dxfId="1">
      <formula>OR(C109="Yok",C109="Eksik")</formula>
    </cfRule>
  </conditionalFormatting>
  <conditionalFormatting sqref="C115:AF115">
    <cfRule type="expression" priority="127" dxfId="0">
      <formula>C115="Kapsam dışı"</formula>
    </cfRule>
    <cfRule type="expression" priority="128" dxfId="2">
      <formula>OR(C115="Ek-1",C115="Ek-2")</formula>
    </cfRule>
  </conditionalFormatting>
  <conditionalFormatting sqref="C116:AF116">
    <cfRule type="expression" priority="129" dxfId="0">
      <formula>C116="Uygun"</formula>
    </cfRule>
    <cfRule type="expression" priority="130" dxfId="1">
      <formula>C116="Uygun değil"</formula>
    </cfRule>
    <cfRule type="expression" priority="131" dxfId="2">
      <formula>OR(C116="Kısmen",C116="Değerlendirilmedi")</formula>
    </cfRule>
  </conditionalFormatting>
  <conditionalFormatting sqref="C117:AF117">
    <cfRule type="expression" priority="132" dxfId="0">
      <formula>C117="Yok"</formula>
    </cfRule>
    <cfRule type="expression" priority="133" dxfId="2">
      <formula>OR(C117="Var",C117="Planlanıyor")</formula>
    </cfRule>
  </conditionalFormatting>
  <conditionalFormatting sqref="C121:AF121">
    <cfRule type="expression" priority="134" dxfId="0">
      <formula>C121="Yok"</formula>
    </cfRule>
    <cfRule type="expression" priority="135" dxfId="1">
      <formula>C121="Var"</formula>
    </cfRule>
  </conditionalFormatting>
  <conditionalFormatting sqref="C123:AF123">
    <cfRule type="expression" priority="136" dxfId="1">
      <formula>AND(ISNUMBER(C123),C123&lt;TODAY())</formula>
    </cfRule>
    <cfRule type="expression" priority="137" dxfId="2">
      <formula>AND(ISNUMBER(C123),C123&gt;=TODAY(),C123&lt;=TODAY()+45)</formula>
    </cfRule>
  </conditionalFormatting>
  <conditionalFormatting sqref="C125:AF125">
    <cfRule type="expression" priority="138" dxfId="0">
      <formula>C125="Uygun"</formula>
    </cfRule>
    <cfRule type="expression" priority="139" dxfId="1">
      <formula>C125="Uygun değil"</formula>
    </cfRule>
    <cfRule type="expression" priority="140" dxfId="2">
      <formula>C125="Kısmen"</formula>
    </cfRule>
  </conditionalFormatting>
  <conditionalFormatting sqref="C126:AF126">
    <cfRule type="expression" priority="141" dxfId="0">
      <formula>C126="Uygun"</formula>
    </cfRule>
    <cfRule type="expression" priority="142" dxfId="1">
      <formula>C126="Uygun değil"</formula>
    </cfRule>
    <cfRule type="expression" priority="143" dxfId="2">
      <formula>C126="Kısmen"</formula>
    </cfRule>
  </conditionalFormatting>
  <conditionalFormatting sqref="C127:AF127">
    <cfRule type="expression" priority="144" dxfId="0">
      <formula>OR(C127="Yapıldı",C127="Kapsam dışı")</formula>
    </cfRule>
    <cfRule type="expression" priority="145" dxfId="1">
      <formula>C127="Yapılmadı"</formula>
    </cfRule>
  </conditionalFormatting>
  <conditionalFormatting sqref="C128:AF128">
    <cfRule type="expression" priority="146" dxfId="0">
      <formula>C128="Ayrı"</formula>
    </cfRule>
    <cfRule type="expression" priority="147" dxfId="1">
      <formula>C128="Ayrı değil"</formula>
    </cfRule>
    <cfRule type="expression" priority="148" dxfId="2">
      <formula>C128="Kontrol edilmedi"</formula>
    </cfRule>
  </conditionalFormatting>
  <conditionalFormatting sqref="C130:AF130">
    <cfRule type="expression" priority="149" dxfId="0">
      <formula>C130="Yok"</formula>
    </cfRule>
    <cfRule type="expression" priority="150" dxfId="1">
      <formula>C130="Var"</formula>
    </cfRule>
  </conditionalFormatting>
  <conditionalFormatting sqref="C131:AF131">
    <cfRule type="expression" priority="151" dxfId="1">
      <formula>AND(ISNUMBER(C131),C131&lt;TODAY())</formula>
    </cfRule>
    <cfRule type="expression" priority="152" dxfId="2">
      <formula>AND(ISNUMBER(C131),C131&gt;=TODAY(),C131&lt;=TODAY()+45)</formula>
    </cfRule>
  </conditionalFormatting>
  <conditionalFormatting sqref="C133:AF133">
    <cfRule type="expression" priority="153" dxfId="1">
      <formula>AND(ISNUMBER(C133),C133&lt;TODAY())</formula>
    </cfRule>
    <cfRule type="expression" priority="154" dxfId="2">
      <formula>AND(ISNUMBER(C133),C133&gt;=TODAY(),C133&lt;=TODAY()+45)</formula>
    </cfRule>
  </conditionalFormatting>
  <conditionalFormatting sqref="C135:AF135">
    <cfRule type="expression" priority="155" dxfId="3">
      <formula>C135="Tarih girilmedi"</formula>
    </cfRule>
    <cfRule type="expression" priority="156" dxfId="1">
      <formula>AND(ISNUMBER(C135),C135&lt;TODAY())</formula>
    </cfRule>
    <cfRule type="expression" priority="157" dxfId="2">
      <formula>AND(ISNUMBER(C135),C135&gt;=TODAY(),C135&lt;=TODAY()+45)</formula>
    </cfRule>
  </conditionalFormatting>
  <conditionalFormatting sqref="C136:AF136">
    <cfRule type="expression" priority="158" dxfId="3">
      <formula>C136="Tarih girilmedi"</formula>
    </cfRule>
  </conditionalFormatting>
  <conditionalFormatting sqref="C137:AF137">
    <cfRule type="expression" priority="159" dxfId="0">
      <formula>C137="Takipte"</formula>
    </cfRule>
    <cfRule type="expression" priority="160" dxfId="1">
      <formula>OR(C137="Süresi geçti",C137="Tarih hatalı")</formula>
    </cfRule>
    <cfRule type="expression" priority="161" dxfId="2">
      <formula>C137="Yaklaşıyor"</formula>
    </cfRule>
    <cfRule type="expression" priority="162" dxfId="3">
      <formula>C137="Tarih girilmedi"</formula>
    </cfRule>
  </conditionalFormatting>
  <conditionalFormatting sqref="C138:AF138">
    <cfRule type="expression" priority="163" dxfId="3">
      <formula>C138="Tarih girilmedi"</formula>
    </cfRule>
    <cfRule type="expression" priority="164" dxfId="1">
      <formula>AND(ISNUMBER(C138),C138&lt;TODAY())</formula>
    </cfRule>
    <cfRule type="expression" priority="165" dxfId="2">
      <formula>AND(ISNUMBER(C138),C138&gt;=TODAY(),C138&lt;=TODAY()+45)</formula>
    </cfRule>
  </conditionalFormatting>
  <conditionalFormatting sqref="C139:AF139">
    <cfRule type="expression" priority="166" dxfId="3">
      <formula>C139="Tarih girilmedi"</formula>
    </cfRule>
  </conditionalFormatting>
  <conditionalFormatting sqref="C140:AF140">
    <cfRule type="expression" priority="167" dxfId="0">
      <formula>C140="Takipte"</formula>
    </cfRule>
    <cfRule type="expression" priority="168" dxfId="1">
      <formula>OR(C140="Süresi geçti",C140="Tarih hatalı")</formula>
    </cfRule>
    <cfRule type="expression" priority="169" dxfId="2">
      <formula>C140="Yaklaşıyor"</formula>
    </cfRule>
    <cfRule type="expression" priority="170" dxfId="3">
      <formula>C140="Tarih girilmedi"</formula>
    </cfRule>
  </conditionalFormatting>
  <conditionalFormatting sqref="C141:AF141">
    <cfRule type="expression" priority="171" dxfId="3">
      <formula>C141="Tarih girilmedi"</formula>
    </cfRule>
    <cfRule type="expression" priority="172" dxfId="1">
      <formula>AND(ISNUMBER(C141),C141&lt;TODAY())</formula>
    </cfRule>
    <cfRule type="expression" priority="173" dxfId="2">
      <formula>AND(ISNUMBER(C141),C141&gt;=TODAY(),C141&lt;=TODAY()+45)</formula>
    </cfRule>
  </conditionalFormatting>
  <conditionalFormatting sqref="C142:AF142">
    <cfRule type="expression" priority="174" dxfId="3">
      <formula>C142="Tarih girilmedi"</formula>
    </cfRule>
  </conditionalFormatting>
  <conditionalFormatting sqref="C143:AF143">
    <cfRule type="expression" priority="175" dxfId="0">
      <formula>C143="Takipte"</formula>
    </cfRule>
    <cfRule type="expression" priority="176" dxfId="1">
      <formula>OR(C143="Süresi geçti",C143="Tarih hatalı")</formula>
    </cfRule>
    <cfRule type="expression" priority="177" dxfId="2">
      <formula>C143="Yaklaşıyor"</formula>
    </cfRule>
    <cfRule type="expression" priority="178" dxfId="3">
      <formula>C143="Tarih girilmedi"</formula>
    </cfRule>
  </conditionalFormatting>
  <conditionalFormatting sqref="C145:AF145">
    <cfRule type="expression" priority="179" dxfId="3">
      <formula>C145="Tarih girilmedi"</formula>
    </cfRule>
    <cfRule type="expression" priority="180" dxfId="1">
      <formula>AND(ISNUMBER(C145),C145&lt;TODAY())</formula>
    </cfRule>
    <cfRule type="expression" priority="181" dxfId="2">
      <formula>AND(ISNUMBER(C145),C145&gt;=TODAY(),C145&lt;=TODAY()+45)</formula>
    </cfRule>
  </conditionalFormatting>
  <conditionalFormatting sqref="C146:AF146">
    <cfRule type="expression" priority="182" dxfId="3">
      <formula>C146="Tarih girilmedi"</formula>
    </cfRule>
  </conditionalFormatting>
  <conditionalFormatting sqref="C147:AF147">
    <cfRule type="expression" priority="183" dxfId="0">
      <formula>C147="Takipte"</formula>
    </cfRule>
    <cfRule type="expression" priority="184" dxfId="1">
      <formula>OR(C147="Süresi geçti",C147="Tarih hatalı")</formula>
    </cfRule>
    <cfRule type="expression" priority="185" dxfId="2">
      <formula>C147="Yaklaşıyor"</formula>
    </cfRule>
    <cfRule type="expression" priority="186" dxfId="3">
      <formula>C147="Tarih girilmedi"</formula>
    </cfRule>
  </conditionalFormatting>
  <conditionalFormatting sqref="C148:AF148">
    <cfRule type="expression" priority="187" dxfId="3">
      <formula>C148="Tarih girilmedi"</formula>
    </cfRule>
    <cfRule type="expression" priority="188" dxfId="1">
      <formula>AND(ISNUMBER(C148),C148&lt;TODAY())</formula>
    </cfRule>
    <cfRule type="expression" priority="189" dxfId="2">
      <formula>AND(ISNUMBER(C148),C148&gt;=TODAY(),C148&lt;=TODAY()+45)</formula>
    </cfRule>
  </conditionalFormatting>
  <conditionalFormatting sqref="C149:AF149">
    <cfRule type="expression" priority="190" dxfId="3">
      <formula>C149="Tarih girilmedi"</formula>
    </cfRule>
  </conditionalFormatting>
  <conditionalFormatting sqref="C150:AF150">
    <cfRule type="expression" priority="191" dxfId="0">
      <formula>C150="Takipte"</formula>
    </cfRule>
    <cfRule type="expression" priority="192" dxfId="1">
      <formula>OR(C150="Süresi geçti",C150="Tarih hatalı")</formula>
    </cfRule>
    <cfRule type="expression" priority="193" dxfId="2">
      <formula>C150="Yaklaşıyor"</formula>
    </cfRule>
    <cfRule type="expression" priority="194" dxfId="3">
      <formula>C150="Tarih girilmedi"</formula>
    </cfRule>
  </conditionalFormatting>
  <conditionalFormatting sqref="C151:AF151">
    <cfRule type="expression" priority="195" dxfId="3">
      <formula>C151="Tarih girilmedi"</formula>
    </cfRule>
    <cfRule type="expression" priority="196" dxfId="1">
      <formula>AND(ISNUMBER(C151),C151&lt;TODAY())</formula>
    </cfRule>
    <cfRule type="expression" priority="197" dxfId="2">
      <formula>AND(ISNUMBER(C151),C151&gt;=TODAY(),C151&lt;=TODAY()+45)</formula>
    </cfRule>
  </conditionalFormatting>
  <conditionalFormatting sqref="C152:AF152">
    <cfRule type="expression" priority="198" dxfId="0">
      <formula>C152="Takipte"</formula>
    </cfRule>
    <cfRule type="expression" priority="199" dxfId="1">
      <formula>OR(C152="Süresi geçti",C152="Tarih hatalı")</formula>
    </cfRule>
    <cfRule type="expression" priority="200" dxfId="2">
      <formula>C152="Yaklaşıyor"</formula>
    </cfRule>
    <cfRule type="expression" priority="201" dxfId="3">
      <formula>C152="Tarih girilmedi"</formula>
    </cfRule>
  </conditionalFormatting>
  <conditionalFormatting sqref="C153:AF153">
    <cfRule type="expression" priority="202" dxfId="0">
      <formula>C153="Kapsam dışı"</formula>
    </cfRule>
    <cfRule type="expression" priority="203" dxfId="2">
      <formula>OR(C153="Kapsam içi",C153="Değerlendirilmedi")</formula>
    </cfRule>
  </conditionalFormatting>
  <conditionalFormatting sqref="C154:AF154">
    <cfRule type="expression" priority="204" dxfId="0">
      <formula>C154="Kapsam dışı"</formula>
    </cfRule>
    <cfRule type="expression" priority="205" dxfId="2">
      <formula>OR(C154="Alt seviye",C154="Üst seviye")</formula>
    </cfRule>
  </conditionalFormatting>
  <conditionalFormatting sqref="C155:AF155">
    <cfRule type="expression" priority="206" dxfId="0">
      <formula>OR(C155="Yapıldı",C155="Kapsam dışı")</formula>
    </cfRule>
    <cfRule type="expression" priority="207" dxfId="1">
      <formula>C155="Yapılmadı"</formula>
    </cfRule>
  </conditionalFormatting>
  <conditionalFormatting sqref="C157:AF157">
    <cfRule type="expression" priority="208" dxfId="0">
      <formula>C157="Güncel"</formula>
    </cfRule>
    <cfRule type="expression" priority="209" dxfId="1">
      <formula>OR(C157="Güncel değil",C157="Bildirim yok")</formula>
    </cfRule>
  </conditionalFormatting>
  <conditionalFormatting sqref="C159:AF159">
    <cfRule type="cellIs" priority="210" operator="greaterThan" dxfId="1">
      <formula>0</formula>
    </cfRule>
    <cfRule type="cellIs" priority="211" operator="equal" dxfId="0">
      <formula>0</formula>
    </cfRule>
  </conditionalFormatting>
  <dataValidations count="31">
    <dataValidation sqref="C8:AF8" showDropDown="0" showInputMessage="0" showErrorMessage="0" allowBlank="1" type="list">
      <formula1>=Iller</formula1>
    </dataValidation>
    <dataValidation sqref="C17:AF17" showDropDown="0" showInputMessage="0" showErrorMessage="0" allowBlank="1" type="list">
      <formula1>=Mulkiyet</formula1>
    </dataValidation>
    <dataValidation sqref="C18:AF18 C96:AF96" showDropDown="0" showInputMessage="0" showErrorMessage="0" allowBlank="1" type="list">
      <formula1>=Mevcut</formula1>
    </dataValidation>
    <dataValidation sqref="C29:AF29 C31:AF31 C33:AF33 C34:AF34 C53:AF53 C60:AF60 C63:AF63 C65:AF65 C67:AF67 C69:AF69 C70:AF70 C75:AF75 C78:AF78 C79:AF79 C81:AF81 C83:AF83 C90:AF90 C94:AF94 C121:AF121 C130:AF130" showDropDown="0" showInputMessage="0" showErrorMessage="0" allowBlank="1" type="list">
      <formula1>=VarYok</formula1>
    </dataValidation>
    <dataValidation sqref="C30:AF30 C32:AF32 C35:AF35 C58:AF58 C84:AF84 C85:AF85" showDropDown="0" showInputMessage="0" showErrorMessage="0" allowBlank="1" type="list">
      <formula1>=Guncel</formula1>
    </dataValidation>
    <dataValidation sqref="C36:AF36 C41:AF41 C59:AF59 C117:AF117" showDropDown="0" showInputMessage="0" showErrorMessage="0" allowBlank="1" type="list">
      <formula1>=Degisim</formula1>
    </dataValidation>
    <dataValidation sqref="C38:AF38" showDropDown="0" showInputMessage="0" showErrorMessage="0" allowBlank="1" type="list">
      <formula1>=CedVar</formula1>
    </dataValidation>
    <dataValidation sqref="C39:AF39" showDropDown="0" showInputMessage="0" showErrorMessage="0" allowBlank="1" type="list">
      <formula1>=CedTur</formula1>
    </dataValidation>
    <dataValidation sqref="C42:AF42" showDropDown="0" showInputMessage="0" showErrorMessage="0" allowBlank="1" type="list">
      <formula1>=IzinGorus</formula1>
    </dataValidation>
    <dataValidation sqref="C44:AF44" showDropDown="0" showInputMessage="0" showErrorMessage="0" allowBlank="1" type="list">
      <formula1>=IzinEk</formula1>
    </dataValidation>
    <dataValidation sqref="C45:AF45" showDropDown="0" showInputMessage="0" showErrorMessage="0" allowBlank="1" type="list">
      <formula1>=IzinVar</formula1>
    </dataValidation>
    <dataValidation sqref="C48:AF48" showDropDown="0" showInputMessage="0" showErrorMessage="0" allowBlank="1" type="list">
      <formula1>=Yenileme</formula1>
    </dataValidation>
    <dataValidation sqref="C49:AF49" showDropDown="0" showInputMessage="0" showErrorMessage="0" allowBlank="1" type="list">
      <formula1>=Gfb</formula1>
    </dataValidation>
    <dataValidation sqref="C54:AF54" showDropDown="0" showInputMessage="0" showErrorMessage="0" allowBlank="1" type="whole" operator="greaterThanOrEqual">
      <formula1>0</formula1>
    </dataValidation>
    <dataValidation sqref="C57:AF57" showDropDown="0" showInputMessage="0" showErrorMessage="0" allowBlank="1" type="list">
      <formula1>=Rapor</formula1>
    </dataValidation>
    <dataValidation sqref="C73:AF73 C80:AF80 C82:AF82 C93:AF93 C125:AF125 C126:AF126" showDropDown="0" showInputMessage="0" showErrorMessage="0" allowBlank="1" type="list">
      <formula1>=Uygun</formula1>
    </dataValidation>
    <dataValidation sqref="C77:AF77" showDropDown="0" showInputMessage="0" showErrorMessage="0" allowBlank="1" type="list">
      <formula1>=SifirKontrol</formula1>
    </dataValidation>
    <dataValidation sqref="C86:AF86 C87:AF87 C91:AF91 C127:AF127 C155:AF155" showDropDown="0" showInputMessage="0" showErrorMessage="0" allowBlank="1" type="list">
      <formula1>=Beyan</formula1>
    </dataValidation>
    <dataValidation sqref="C88:AF88" showDropDown="0" showInputMessage="0" showErrorMessage="0" allowBlank="1" type="whole" operator="between">
      <formula1>2015</formula1>
      <formula2>2040</formula2>
    </dataValidation>
    <dataValidation sqref="C95:AF95" showDropDown="0" showInputMessage="0" showErrorMessage="0" allowBlank="1" type="list">
      <formula1>=Gerekli</formula1>
    </dataValidation>
    <dataValidation sqref="C97:AF97" showDropDown="0" showInputMessage="0" showErrorMessage="0" allowBlank="1" type="list">
      <formula1>=Gekap</formula1>
    </dataValidation>
    <dataValidation sqref="C103:AF103 C109:AF109" showDropDown="0" showInputMessage="0" showErrorMessage="0" allowBlank="1" type="list">
      <formula1>=Tutanak</formula1>
    </dataValidation>
    <dataValidation sqref="C106:AF106" showDropDown="0" showInputMessage="0" showErrorMessage="0" allowBlank="1" type="list">
      <formula1>=Kapanis</formula1>
    </dataValidation>
    <dataValidation sqref="C115:AF115" showDropDown="0" showInputMessage="0" showErrorMessage="0" allowBlank="1" type="list">
      <formula1>=CedEk</formula1>
    </dataValidation>
    <dataValidation sqref="C116:AF116" showDropDown="0" showInputMessage="0" showErrorMessage="0" allowBlank="1" type="list">
      <formula1>=Taahhut</formula1>
    </dataValidation>
    <dataValidation sqref="C128:AF128" showDropDown="0" showInputMessage="0" showErrorMessage="0" allowBlank="1" type="list">
      <formula1>=HatAyri</formula1>
    </dataValidation>
    <dataValidation sqref="C129:AF129" showDropDown="0" showInputMessage="0" showErrorMessage="0" allowBlank="1" type="whole" operator="greaterThanOrEqual">
      <formula1>0</formula1>
    </dataValidation>
    <dataValidation sqref="C132:AF132" showDropDown="0" showInputMessage="0" showErrorMessage="0" allowBlank="1" type="whole" operator="greaterThanOrEqual">
      <formula1>0</formula1>
    </dataValidation>
    <dataValidation sqref="C153:AF153" showDropDown="0" showInputMessage="0" showErrorMessage="0" allowBlank="1" type="list">
      <formula1>=BekraKapsam</formula1>
    </dataValidation>
    <dataValidation sqref="C154:AF154" showDropDown="0" showInputMessage="0" showErrorMessage="0" allowBlank="1" type="list">
      <formula1>=BekraSeviye</formula1>
    </dataValidation>
    <dataValidation sqref="C157:AF157" showDropDown="0" showInputMessage="0" showErrorMessage="0" allowBlank="1" type="list">
      <formula1>=BekraGuncel</formula1>
    </dataValidation>
  </dataValidations>
  <pageMargins left="0.4" right="0.4" top="0.5" bottom="0.5" header="0.2" footer="0.25"/>
  <pageSetup orientation="landscape" paperSize="8" fitToHeight="0" fitToWidth="1"/>
  <headerFooter>
    <oddHeader/>
    <oddFooter>&amp;LÇevre danışmanlığı takip paneli&amp;RSayfa 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K34"/>
  <sheetViews>
    <sheetView showGridLines="0" zoomScale="12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 ht="30" customHeight="1">
      <c r="A1" s="78" t="inlineStr">
        <is>
          <t>GÜNLÜK UYARI ÖZETİ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</row>
    <row r="2" ht="24" customHeight="1">
      <c r="A2" s="80" t="inlineStr">
        <is>
          <t>Bugün</t>
        </is>
      </c>
      <c r="B2" s="81">
        <f>'Takip Paneli'!B3</f>
        <v/>
      </c>
      <c r="C2" s="82" t="inlineStr">
        <is>
          <t>Uyarısı olan firma</t>
        </is>
      </c>
      <c r="D2" s="83">
        <f>COUNTIF(D5:D34,"&gt;0")</f>
        <v/>
      </c>
      <c r="E2" s="84" t="inlineStr">
        <is>
          <t>Aktif uyarı; iç tetkik, eğitim, sıfır atık, atık planı, emisyon teyidi ve çevre izni hatırlatıcılarından gelir.</t>
        </is>
      </c>
    </row>
    <row r="3" ht="8" customHeight="1"/>
    <row r="4" ht="30" customHeight="1">
      <c r="A4" s="10" t="inlineStr">
        <is>
          <t>No</t>
        </is>
      </c>
      <c r="B4" s="10" t="inlineStr">
        <is>
          <t>Firma</t>
        </is>
      </c>
      <c r="C4" s="10" t="inlineStr">
        <is>
          <t>İl</t>
        </is>
      </c>
      <c r="D4" s="10" t="inlineStr">
        <is>
          <t>Aktif uyarı</t>
        </is>
      </c>
      <c r="E4" s="10" t="inlineStr">
        <is>
          <t>İç tetkik</t>
        </is>
      </c>
      <c r="F4" s="10" t="inlineStr">
        <is>
          <t>Çevre eğitimi</t>
        </is>
      </c>
      <c r="G4" s="10" t="inlineStr">
        <is>
          <t>Sıfır Atık</t>
        </is>
      </c>
      <c r="H4" s="10" t="inlineStr">
        <is>
          <t>Atık planı</t>
        </is>
      </c>
      <c r="I4" s="10" t="inlineStr">
        <is>
          <t>Emisyon teyidi</t>
        </is>
      </c>
      <c r="J4" s="10" t="inlineStr">
        <is>
          <t>Çevre izni</t>
        </is>
      </c>
      <c r="K4" s="10" t="inlineStr">
        <is>
          <t>Sözleşme bitiş</t>
        </is>
      </c>
    </row>
    <row r="5" ht="22" customHeight="1">
      <c r="A5" s="85" t="n">
        <v>1</v>
      </c>
      <c r="B5" s="86">
        <f>IF('Takip Paneli'!C6="","FİRMA 01",'Takip Paneli'!C6)</f>
        <v/>
      </c>
      <c r="C5" s="86">
        <f>'Takip Paneli'!C8</f>
        <v/>
      </c>
      <c r="D5" s="87">
        <f>'Takip Paneli'!C159</f>
        <v/>
      </c>
      <c r="E5" s="88">
        <f>'Takip Paneli'!C137</f>
        <v/>
      </c>
      <c r="F5" s="88">
        <f>'Takip Paneli'!C140</f>
        <v/>
      </c>
      <c r="G5" s="88">
        <f>'Takip Paneli'!C143</f>
        <v/>
      </c>
      <c r="H5" s="88">
        <f>'Takip Paneli'!C147</f>
        <v/>
      </c>
      <c r="I5" s="88">
        <f>'Takip Paneli'!C150</f>
        <v/>
      </c>
      <c r="J5" s="88">
        <f>'Takip Paneli'!C152</f>
        <v/>
      </c>
      <c r="K5" s="89">
        <f>'Takip Paneli'!C26</f>
        <v/>
      </c>
    </row>
    <row r="6" ht="22" customHeight="1">
      <c r="A6" s="85" t="n">
        <v>2</v>
      </c>
      <c r="B6" s="86">
        <f>IF('Takip Paneli'!D6="","FİRMA 02",'Takip Paneli'!D6)</f>
        <v/>
      </c>
      <c r="C6" s="86">
        <f>'Takip Paneli'!D8</f>
        <v/>
      </c>
      <c r="D6" s="87">
        <f>'Takip Paneli'!D159</f>
        <v/>
      </c>
      <c r="E6" s="88">
        <f>'Takip Paneli'!D137</f>
        <v/>
      </c>
      <c r="F6" s="88">
        <f>'Takip Paneli'!D140</f>
        <v/>
      </c>
      <c r="G6" s="88">
        <f>'Takip Paneli'!D143</f>
        <v/>
      </c>
      <c r="H6" s="88">
        <f>'Takip Paneli'!D147</f>
        <v/>
      </c>
      <c r="I6" s="88">
        <f>'Takip Paneli'!D150</f>
        <v/>
      </c>
      <c r="J6" s="88">
        <f>'Takip Paneli'!D152</f>
        <v/>
      </c>
      <c r="K6" s="89">
        <f>'Takip Paneli'!D26</f>
        <v/>
      </c>
    </row>
    <row r="7" ht="22" customHeight="1">
      <c r="A7" s="85" t="n">
        <v>3</v>
      </c>
      <c r="B7" s="86">
        <f>IF('Takip Paneli'!E6="","FİRMA 03",'Takip Paneli'!E6)</f>
        <v/>
      </c>
      <c r="C7" s="86">
        <f>'Takip Paneli'!E8</f>
        <v/>
      </c>
      <c r="D7" s="87">
        <f>'Takip Paneli'!E159</f>
        <v/>
      </c>
      <c r="E7" s="88">
        <f>'Takip Paneli'!E137</f>
        <v/>
      </c>
      <c r="F7" s="88">
        <f>'Takip Paneli'!E140</f>
        <v/>
      </c>
      <c r="G7" s="88">
        <f>'Takip Paneli'!E143</f>
        <v/>
      </c>
      <c r="H7" s="88">
        <f>'Takip Paneli'!E147</f>
        <v/>
      </c>
      <c r="I7" s="88">
        <f>'Takip Paneli'!E150</f>
        <v/>
      </c>
      <c r="J7" s="88">
        <f>'Takip Paneli'!E152</f>
        <v/>
      </c>
      <c r="K7" s="89">
        <f>'Takip Paneli'!E26</f>
        <v/>
      </c>
    </row>
    <row r="8" ht="22" customHeight="1">
      <c r="A8" s="85" t="n">
        <v>4</v>
      </c>
      <c r="B8" s="86">
        <f>IF('Takip Paneli'!F6="","FİRMA 04",'Takip Paneli'!F6)</f>
        <v/>
      </c>
      <c r="C8" s="86">
        <f>'Takip Paneli'!F8</f>
        <v/>
      </c>
      <c r="D8" s="87">
        <f>'Takip Paneli'!F159</f>
        <v/>
      </c>
      <c r="E8" s="88">
        <f>'Takip Paneli'!F137</f>
        <v/>
      </c>
      <c r="F8" s="88">
        <f>'Takip Paneli'!F140</f>
        <v/>
      </c>
      <c r="G8" s="88">
        <f>'Takip Paneli'!F143</f>
        <v/>
      </c>
      <c r="H8" s="88">
        <f>'Takip Paneli'!F147</f>
        <v/>
      </c>
      <c r="I8" s="88">
        <f>'Takip Paneli'!F150</f>
        <v/>
      </c>
      <c r="J8" s="88">
        <f>'Takip Paneli'!F152</f>
        <v/>
      </c>
      <c r="K8" s="89">
        <f>'Takip Paneli'!F26</f>
        <v/>
      </c>
    </row>
    <row r="9" ht="22" customHeight="1">
      <c r="A9" s="85" t="n">
        <v>5</v>
      </c>
      <c r="B9" s="86">
        <f>IF('Takip Paneli'!G6="","FİRMA 05",'Takip Paneli'!G6)</f>
        <v/>
      </c>
      <c r="C9" s="86">
        <f>'Takip Paneli'!G8</f>
        <v/>
      </c>
      <c r="D9" s="87">
        <f>'Takip Paneli'!G159</f>
        <v/>
      </c>
      <c r="E9" s="88">
        <f>'Takip Paneli'!G137</f>
        <v/>
      </c>
      <c r="F9" s="88">
        <f>'Takip Paneli'!G140</f>
        <v/>
      </c>
      <c r="G9" s="88">
        <f>'Takip Paneli'!G143</f>
        <v/>
      </c>
      <c r="H9" s="88">
        <f>'Takip Paneli'!G147</f>
        <v/>
      </c>
      <c r="I9" s="88">
        <f>'Takip Paneli'!G150</f>
        <v/>
      </c>
      <c r="J9" s="88">
        <f>'Takip Paneli'!G152</f>
        <v/>
      </c>
      <c r="K9" s="89">
        <f>'Takip Paneli'!G26</f>
        <v/>
      </c>
    </row>
    <row r="10" ht="22" customHeight="1">
      <c r="A10" s="85" t="n">
        <v>6</v>
      </c>
      <c r="B10" s="86">
        <f>IF('Takip Paneli'!H6="","FİRMA 06",'Takip Paneli'!H6)</f>
        <v/>
      </c>
      <c r="C10" s="86">
        <f>'Takip Paneli'!H8</f>
        <v/>
      </c>
      <c r="D10" s="87">
        <f>'Takip Paneli'!H159</f>
        <v/>
      </c>
      <c r="E10" s="88">
        <f>'Takip Paneli'!H137</f>
        <v/>
      </c>
      <c r="F10" s="88">
        <f>'Takip Paneli'!H140</f>
        <v/>
      </c>
      <c r="G10" s="88">
        <f>'Takip Paneli'!H143</f>
        <v/>
      </c>
      <c r="H10" s="88">
        <f>'Takip Paneli'!H147</f>
        <v/>
      </c>
      <c r="I10" s="88">
        <f>'Takip Paneli'!H150</f>
        <v/>
      </c>
      <c r="J10" s="88">
        <f>'Takip Paneli'!H152</f>
        <v/>
      </c>
      <c r="K10" s="89">
        <f>'Takip Paneli'!H26</f>
        <v/>
      </c>
    </row>
    <row r="11" ht="22" customHeight="1">
      <c r="A11" s="85" t="n">
        <v>7</v>
      </c>
      <c r="B11" s="86">
        <f>IF('Takip Paneli'!I6="","FİRMA 07",'Takip Paneli'!I6)</f>
        <v/>
      </c>
      <c r="C11" s="86">
        <f>'Takip Paneli'!I8</f>
        <v/>
      </c>
      <c r="D11" s="87">
        <f>'Takip Paneli'!I159</f>
        <v/>
      </c>
      <c r="E11" s="88">
        <f>'Takip Paneli'!I137</f>
        <v/>
      </c>
      <c r="F11" s="88">
        <f>'Takip Paneli'!I140</f>
        <v/>
      </c>
      <c r="G11" s="88">
        <f>'Takip Paneli'!I143</f>
        <v/>
      </c>
      <c r="H11" s="88">
        <f>'Takip Paneli'!I147</f>
        <v/>
      </c>
      <c r="I11" s="88">
        <f>'Takip Paneli'!I150</f>
        <v/>
      </c>
      <c r="J11" s="88">
        <f>'Takip Paneli'!I152</f>
        <v/>
      </c>
      <c r="K11" s="89">
        <f>'Takip Paneli'!I26</f>
        <v/>
      </c>
    </row>
    <row r="12" ht="22" customHeight="1">
      <c r="A12" s="85" t="n">
        <v>8</v>
      </c>
      <c r="B12" s="86">
        <f>IF('Takip Paneli'!J6="","FİRMA 08",'Takip Paneli'!J6)</f>
        <v/>
      </c>
      <c r="C12" s="86">
        <f>'Takip Paneli'!J8</f>
        <v/>
      </c>
      <c r="D12" s="87">
        <f>'Takip Paneli'!J159</f>
        <v/>
      </c>
      <c r="E12" s="88">
        <f>'Takip Paneli'!J137</f>
        <v/>
      </c>
      <c r="F12" s="88">
        <f>'Takip Paneli'!J140</f>
        <v/>
      </c>
      <c r="G12" s="88">
        <f>'Takip Paneli'!J143</f>
        <v/>
      </c>
      <c r="H12" s="88">
        <f>'Takip Paneli'!J147</f>
        <v/>
      </c>
      <c r="I12" s="88">
        <f>'Takip Paneli'!J150</f>
        <v/>
      </c>
      <c r="J12" s="88">
        <f>'Takip Paneli'!J152</f>
        <v/>
      </c>
      <c r="K12" s="89">
        <f>'Takip Paneli'!J26</f>
        <v/>
      </c>
    </row>
    <row r="13" ht="22" customHeight="1">
      <c r="A13" s="85" t="n">
        <v>9</v>
      </c>
      <c r="B13" s="86">
        <f>IF('Takip Paneli'!K6="","FİRMA 09",'Takip Paneli'!K6)</f>
        <v/>
      </c>
      <c r="C13" s="86">
        <f>'Takip Paneli'!K8</f>
        <v/>
      </c>
      <c r="D13" s="87">
        <f>'Takip Paneli'!K159</f>
        <v/>
      </c>
      <c r="E13" s="88">
        <f>'Takip Paneli'!K137</f>
        <v/>
      </c>
      <c r="F13" s="88">
        <f>'Takip Paneli'!K140</f>
        <v/>
      </c>
      <c r="G13" s="88">
        <f>'Takip Paneli'!K143</f>
        <v/>
      </c>
      <c r="H13" s="88">
        <f>'Takip Paneli'!K147</f>
        <v/>
      </c>
      <c r="I13" s="88">
        <f>'Takip Paneli'!K150</f>
        <v/>
      </c>
      <c r="J13" s="88">
        <f>'Takip Paneli'!K152</f>
        <v/>
      </c>
      <c r="K13" s="89">
        <f>'Takip Paneli'!K26</f>
        <v/>
      </c>
    </row>
    <row r="14" ht="22" customHeight="1">
      <c r="A14" s="85" t="n">
        <v>10</v>
      </c>
      <c r="B14" s="86">
        <f>IF('Takip Paneli'!L6="","FİRMA 10",'Takip Paneli'!L6)</f>
        <v/>
      </c>
      <c r="C14" s="86">
        <f>'Takip Paneli'!L8</f>
        <v/>
      </c>
      <c r="D14" s="87">
        <f>'Takip Paneli'!L159</f>
        <v/>
      </c>
      <c r="E14" s="88">
        <f>'Takip Paneli'!L137</f>
        <v/>
      </c>
      <c r="F14" s="88">
        <f>'Takip Paneli'!L140</f>
        <v/>
      </c>
      <c r="G14" s="88">
        <f>'Takip Paneli'!L143</f>
        <v/>
      </c>
      <c r="H14" s="88">
        <f>'Takip Paneli'!L147</f>
        <v/>
      </c>
      <c r="I14" s="88">
        <f>'Takip Paneli'!L150</f>
        <v/>
      </c>
      <c r="J14" s="88">
        <f>'Takip Paneli'!L152</f>
        <v/>
      </c>
      <c r="K14" s="89">
        <f>'Takip Paneli'!L26</f>
        <v/>
      </c>
    </row>
    <row r="15" ht="22" customHeight="1">
      <c r="A15" s="85" t="n">
        <v>11</v>
      </c>
      <c r="B15" s="86">
        <f>IF('Takip Paneli'!M6="","FİRMA 11",'Takip Paneli'!M6)</f>
        <v/>
      </c>
      <c r="C15" s="86">
        <f>'Takip Paneli'!M8</f>
        <v/>
      </c>
      <c r="D15" s="87">
        <f>'Takip Paneli'!M159</f>
        <v/>
      </c>
      <c r="E15" s="88">
        <f>'Takip Paneli'!M137</f>
        <v/>
      </c>
      <c r="F15" s="88">
        <f>'Takip Paneli'!M140</f>
        <v/>
      </c>
      <c r="G15" s="88">
        <f>'Takip Paneli'!M143</f>
        <v/>
      </c>
      <c r="H15" s="88">
        <f>'Takip Paneli'!M147</f>
        <v/>
      </c>
      <c r="I15" s="88">
        <f>'Takip Paneli'!M150</f>
        <v/>
      </c>
      <c r="J15" s="88">
        <f>'Takip Paneli'!M152</f>
        <v/>
      </c>
      <c r="K15" s="89">
        <f>'Takip Paneli'!M26</f>
        <v/>
      </c>
    </row>
    <row r="16" ht="22" customHeight="1">
      <c r="A16" s="85" t="n">
        <v>12</v>
      </c>
      <c r="B16" s="86">
        <f>IF('Takip Paneli'!N6="","FİRMA 12",'Takip Paneli'!N6)</f>
        <v/>
      </c>
      <c r="C16" s="86">
        <f>'Takip Paneli'!N8</f>
        <v/>
      </c>
      <c r="D16" s="87">
        <f>'Takip Paneli'!N159</f>
        <v/>
      </c>
      <c r="E16" s="88">
        <f>'Takip Paneli'!N137</f>
        <v/>
      </c>
      <c r="F16" s="88">
        <f>'Takip Paneli'!N140</f>
        <v/>
      </c>
      <c r="G16" s="88">
        <f>'Takip Paneli'!N143</f>
        <v/>
      </c>
      <c r="H16" s="88">
        <f>'Takip Paneli'!N147</f>
        <v/>
      </c>
      <c r="I16" s="88">
        <f>'Takip Paneli'!N150</f>
        <v/>
      </c>
      <c r="J16" s="88">
        <f>'Takip Paneli'!N152</f>
        <v/>
      </c>
      <c r="K16" s="89">
        <f>'Takip Paneli'!N26</f>
        <v/>
      </c>
    </row>
    <row r="17" ht="22" customHeight="1">
      <c r="A17" s="85" t="n">
        <v>13</v>
      </c>
      <c r="B17" s="86">
        <f>IF('Takip Paneli'!O6="","FİRMA 13",'Takip Paneli'!O6)</f>
        <v/>
      </c>
      <c r="C17" s="86">
        <f>'Takip Paneli'!O8</f>
        <v/>
      </c>
      <c r="D17" s="87">
        <f>'Takip Paneli'!O159</f>
        <v/>
      </c>
      <c r="E17" s="88">
        <f>'Takip Paneli'!O137</f>
        <v/>
      </c>
      <c r="F17" s="88">
        <f>'Takip Paneli'!O140</f>
        <v/>
      </c>
      <c r="G17" s="88">
        <f>'Takip Paneli'!O143</f>
        <v/>
      </c>
      <c r="H17" s="88">
        <f>'Takip Paneli'!O147</f>
        <v/>
      </c>
      <c r="I17" s="88">
        <f>'Takip Paneli'!O150</f>
        <v/>
      </c>
      <c r="J17" s="88">
        <f>'Takip Paneli'!O152</f>
        <v/>
      </c>
      <c r="K17" s="89">
        <f>'Takip Paneli'!O26</f>
        <v/>
      </c>
    </row>
    <row r="18" ht="22" customHeight="1">
      <c r="A18" s="85" t="n">
        <v>14</v>
      </c>
      <c r="B18" s="86">
        <f>IF('Takip Paneli'!P6="","FİRMA 14",'Takip Paneli'!P6)</f>
        <v/>
      </c>
      <c r="C18" s="86">
        <f>'Takip Paneli'!P8</f>
        <v/>
      </c>
      <c r="D18" s="87">
        <f>'Takip Paneli'!P159</f>
        <v/>
      </c>
      <c r="E18" s="88">
        <f>'Takip Paneli'!P137</f>
        <v/>
      </c>
      <c r="F18" s="88">
        <f>'Takip Paneli'!P140</f>
        <v/>
      </c>
      <c r="G18" s="88">
        <f>'Takip Paneli'!P143</f>
        <v/>
      </c>
      <c r="H18" s="88">
        <f>'Takip Paneli'!P147</f>
        <v/>
      </c>
      <c r="I18" s="88">
        <f>'Takip Paneli'!P150</f>
        <v/>
      </c>
      <c r="J18" s="88">
        <f>'Takip Paneli'!P152</f>
        <v/>
      </c>
      <c r="K18" s="89">
        <f>'Takip Paneli'!P26</f>
        <v/>
      </c>
    </row>
    <row r="19" ht="22" customHeight="1">
      <c r="A19" s="85" t="n">
        <v>15</v>
      </c>
      <c r="B19" s="86">
        <f>IF('Takip Paneli'!Q6="","FİRMA 15",'Takip Paneli'!Q6)</f>
        <v/>
      </c>
      <c r="C19" s="86">
        <f>'Takip Paneli'!Q8</f>
        <v/>
      </c>
      <c r="D19" s="87">
        <f>'Takip Paneli'!Q159</f>
        <v/>
      </c>
      <c r="E19" s="88">
        <f>'Takip Paneli'!Q137</f>
        <v/>
      </c>
      <c r="F19" s="88">
        <f>'Takip Paneli'!Q140</f>
        <v/>
      </c>
      <c r="G19" s="88">
        <f>'Takip Paneli'!Q143</f>
        <v/>
      </c>
      <c r="H19" s="88">
        <f>'Takip Paneli'!Q147</f>
        <v/>
      </c>
      <c r="I19" s="88">
        <f>'Takip Paneli'!Q150</f>
        <v/>
      </c>
      <c r="J19" s="88">
        <f>'Takip Paneli'!Q152</f>
        <v/>
      </c>
      <c r="K19" s="89">
        <f>'Takip Paneli'!Q26</f>
        <v/>
      </c>
    </row>
    <row r="20" ht="22" customHeight="1">
      <c r="A20" s="85" t="n">
        <v>16</v>
      </c>
      <c r="B20" s="86">
        <f>IF('Takip Paneli'!R6="","FİRMA 16",'Takip Paneli'!R6)</f>
        <v/>
      </c>
      <c r="C20" s="86">
        <f>'Takip Paneli'!R8</f>
        <v/>
      </c>
      <c r="D20" s="87">
        <f>'Takip Paneli'!R159</f>
        <v/>
      </c>
      <c r="E20" s="88">
        <f>'Takip Paneli'!R137</f>
        <v/>
      </c>
      <c r="F20" s="88">
        <f>'Takip Paneli'!R140</f>
        <v/>
      </c>
      <c r="G20" s="88">
        <f>'Takip Paneli'!R143</f>
        <v/>
      </c>
      <c r="H20" s="88">
        <f>'Takip Paneli'!R147</f>
        <v/>
      </c>
      <c r="I20" s="88">
        <f>'Takip Paneli'!R150</f>
        <v/>
      </c>
      <c r="J20" s="88">
        <f>'Takip Paneli'!R152</f>
        <v/>
      </c>
      <c r="K20" s="89">
        <f>'Takip Paneli'!R26</f>
        <v/>
      </c>
    </row>
    <row r="21" ht="22" customHeight="1">
      <c r="A21" s="85" t="n">
        <v>17</v>
      </c>
      <c r="B21" s="86">
        <f>IF('Takip Paneli'!S6="","FİRMA 17",'Takip Paneli'!S6)</f>
        <v/>
      </c>
      <c r="C21" s="86">
        <f>'Takip Paneli'!S8</f>
        <v/>
      </c>
      <c r="D21" s="87">
        <f>'Takip Paneli'!S159</f>
        <v/>
      </c>
      <c r="E21" s="88">
        <f>'Takip Paneli'!S137</f>
        <v/>
      </c>
      <c r="F21" s="88">
        <f>'Takip Paneli'!S140</f>
        <v/>
      </c>
      <c r="G21" s="88">
        <f>'Takip Paneli'!S143</f>
        <v/>
      </c>
      <c r="H21" s="88">
        <f>'Takip Paneli'!S147</f>
        <v/>
      </c>
      <c r="I21" s="88">
        <f>'Takip Paneli'!S150</f>
        <v/>
      </c>
      <c r="J21" s="88">
        <f>'Takip Paneli'!S152</f>
        <v/>
      </c>
      <c r="K21" s="89">
        <f>'Takip Paneli'!S26</f>
        <v/>
      </c>
    </row>
    <row r="22" ht="22" customHeight="1">
      <c r="A22" s="85" t="n">
        <v>18</v>
      </c>
      <c r="B22" s="86">
        <f>IF('Takip Paneli'!T6="","FİRMA 18",'Takip Paneli'!T6)</f>
        <v/>
      </c>
      <c r="C22" s="86">
        <f>'Takip Paneli'!T8</f>
        <v/>
      </c>
      <c r="D22" s="87">
        <f>'Takip Paneli'!T159</f>
        <v/>
      </c>
      <c r="E22" s="88">
        <f>'Takip Paneli'!T137</f>
        <v/>
      </c>
      <c r="F22" s="88">
        <f>'Takip Paneli'!T140</f>
        <v/>
      </c>
      <c r="G22" s="88">
        <f>'Takip Paneli'!T143</f>
        <v/>
      </c>
      <c r="H22" s="88">
        <f>'Takip Paneli'!T147</f>
        <v/>
      </c>
      <c r="I22" s="88">
        <f>'Takip Paneli'!T150</f>
        <v/>
      </c>
      <c r="J22" s="88">
        <f>'Takip Paneli'!T152</f>
        <v/>
      </c>
      <c r="K22" s="89">
        <f>'Takip Paneli'!T26</f>
        <v/>
      </c>
    </row>
    <row r="23" ht="22" customHeight="1">
      <c r="A23" s="85" t="n">
        <v>19</v>
      </c>
      <c r="B23" s="86">
        <f>IF('Takip Paneli'!U6="","FİRMA 19",'Takip Paneli'!U6)</f>
        <v/>
      </c>
      <c r="C23" s="86">
        <f>'Takip Paneli'!U8</f>
        <v/>
      </c>
      <c r="D23" s="87">
        <f>'Takip Paneli'!U159</f>
        <v/>
      </c>
      <c r="E23" s="88">
        <f>'Takip Paneli'!U137</f>
        <v/>
      </c>
      <c r="F23" s="88">
        <f>'Takip Paneli'!U140</f>
        <v/>
      </c>
      <c r="G23" s="88">
        <f>'Takip Paneli'!U143</f>
        <v/>
      </c>
      <c r="H23" s="88">
        <f>'Takip Paneli'!U147</f>
        <v/>
      </c>
      <c r="I23" s="88">
        <f>'Takip Paneli'!U150</f>
        <v/>
      </c>
      <c r="J23" s="88">
        <f>'Takip Paneli'!U152</f>
        <v/>
      </c>
      <c r="K23" s="89">
        <f>'Takip Paneli'!U26</f>
        <v/>
      </c>
    </row>
    <row r="24" ht="22" customHeight="1">
      <c r="A24" s="85" t="n">
        <v>20</v>
      </c>
      <c r="B24" s="86">
        <f>IF('Takip Paneli'!V6="","FİRMA 20",'Takip Paneli'!V6)</f>
        <v/>
      </c>
      <c r="C24" s="86">
        <f>'Takip Paneli'!V8</f>
        <v/>
      </c>
      <c r="D24" s="87">
        <f>'Takip Paneli'!V159</f>
        <v/>
      </c>
      <c r="E24" s="88">
        <f>'Takip Paneli'!V137</f>
        <v/>
      </c>
      <c r="F24" s="88">
        <f>'Takip Paneli'!V140</f>
        <v/>
      </c>
      <c r="G24" s="88">
        <f>'Takip Paneli'!V143</f>
        <v/>
      </c>
      <c r="H24" s="88">
        <f>'Takip Paneli'!V147</f>
        <v/>
      </c>
      <c r="I24" s="88">
        <f>'Takip Paneli'!V150</f>
        <v/>
      </c>
      <c r="J24" s="88">
        <f>'Takip Paneli'!V152</f>
        <v/>
      </c>
      <c r="K24" s="89">
        <f>'Takip Paneli'!V26</f>
        <v/>
      </c>
    </row>
    <row r="25" ht="22" customHeight="1">
      <c r="A25" s="85" t="n">
        <v>21</v>
      </c>
      <c r="B25" s="86">
        <f>IF('Takip Paneli'!W6="","FİRMA 21",'Takip Paneli'!W6)</f>
        <v/>
      </c>
      <c r="C25" s="86">
        <f>'Takip Paneli'!W8</f>
        <v/>
      </c>
      <c r="D25" s="87">
        <f>'Takip Paneli'!W159</f>
        <v/>
      </c>
      <c r="E25" s="88">
        <f>'Takip Paneli'!W137</f>
        <v/>
      </c>
      <c r="F25" s="88">
        <f>'Takip Paneli'!W140</f>
        <v/>
      </c>
      <c r="G25" s="88">
        <f>'Takip Paneli'!W143</f>
        <v/>
      </c>
      <c r="H25" s="88">
        <f>'Takip Paneli'!W147</f>
        <v/>
      </c>
      <c r="I25" s="88">
        <f>'Takip Paneli'!W150</f>
        <v/>
      </c>
      <c r="J25" s="88">
        <f>'Takip Paneli'!W152</f>
        <v/>
      </c>
      <c r="K25" s="89">
        <f>'Takip Paneli'!W26</f>
        <v/>
      </c>
    </row>
    <row r="26" ht="22" customHeight="1">
      <c r="A26" s="85" t="n">
        <v>22</v>
      </c>
      <c r="B26" s="86">
        <f>IF('Takip Paneli'!X6="","FİRMA 22",'Takip Paneli'!X6)</f>
        <v/>
      </c>
      <c r="C26" s="86">
        <f>'Takip Paneli'!X8</f>
        <v/>
      </c>
      <c r="D26" s="87">
        <f>'Takip Paneli'!X159</f>
        <v/>
      </c>
      <c r="E26" s="88">
        <f>'Takip Paneli'!X137</f>
        <v/>
      </c>
      <c r="F26" s="88">
        <f>'Takip Paneli'!X140</f>
        <v/>
      </c>
      <c r="G26" s="88">
        <f>'Takip Paneli'!X143</f>
        <v/>
      </c>
      <c r="H26" s="88">
        <f>'Takip Paneli'!X147</f>
        <v/>
      </c>
      <c r="I26" s="88">
        <f>'Takip Paneli'!X150</f>
        <v/>
      </c>
      <c r="J26" s="88">
        <f>'Takip Paneli'!X152</f>
        <v/>
      </c>
      <c r="K26" s="89">
        <f>'Takip Paneli'!X26</f>
        <v/>
      </c>
    </row>
    <row r="27" ht="22" customHeight="1">
      <c r="A27" s="85" t="n">
        <v>23</v>
      </c>
      <c r="B27" s="86">
        <f>IF('Takip Paneli'!Y6="","FİRMA 23",'Takip Paneli'!Y6)</f>
        <v/>
      </c>
      <c r="C27" s="86">
        <f>'Takip Paneli'!Y8</f>
        <v/>
      </c>
      <c r="D27" s="87">
        <f>'Takip Paneli'!Y159</f>
        <v/>
      </c>
      <c r="E27" s="88">
        <f>'Takip Paneli'!Y137</f>
        <v/>
      </c>
      <c r="F27" s="88">
        <f>'Takip Paneli'!Y140</f>
        <v/>
      </c>
      <c r="G27" s="88">
        <f>'Takip Paneli'!Y143</f>
        <v/>
      </c>
      <c r="H27" s="88">
        <f>'Takip Paneli'!Y147</f>
        <v/>
      </c>
      <c r="I27" s="88">
        <f>'Takip Paneli'!Y150</f>
        <v/>
      </c>
      <c r="J27" s="88">
        <f>'Takip Paneli'!Y152</f>
        <v/>
      </c>
      <c r="K27" s="89">
        <f>'Takip Paneli'!Y26</f>
        <v/>
      </c>
    </row>
    <row r="28" ht="22" customHeight="1">
      <c r="A28" s="85" t="n">
        <v>24</v>
      </c>
      <c r="B28" s="86">
        <f>IF('Takip Paneli'!Z6="","FİRMA 24",'Takip Paneli'!Z6)</f>
        <v/>
      </c>
      <c r="C28" s="86">
        <f>'Takip Paneli'!Z8</f>
        <v/>
      </c>
      <c r="D28" s="87">
        <f>'Takip Paneli'!Z159</f>
        <v/>
      </c>
      <c r="E28" s="88">
        <f>'Takip Paneli'!Z137</f>
        <v/>
      </c>
      <c r="F28" s="88">
        <f>'Takip Paneli'!Z140</f>
        <v/>
      </c>
      <c r="G28" s="88">
        <f>'Takip Paneli'!Z143</f>
        <v/>
      </c>
      <c r="H28" s="88">
        <f>'Takip Paneli'!Z147</f>
        <v/>
      </c>
      <c r="I28" s="88">
        <f>'Takip Paneli'!Z150</f>
        <v/>
      </c>
      <c r="J28" s="88">
        <f>'Takip Paneli'!Z152</f>
        <v/>
      </c>
      <c r="K28" s="89">
        <f>'Takip Paneli'!Z26</f>
        <v/>
      </c>
    </row>
    <row r="29" ht="22" customHeight="1">
      <c r="A29" s="85" t="n">
        <v>25</v>
      </c>
      <c r="B29" s="86">
        <f>IF('Takip Paneli'!AA6="","FİRMA 25",'Takip Paneli'!AA6)</f>
        <v/>
      </c>
      <c r="C29" s="86">
        <f>'Takip Paneli'!AA8</f>
        <v/>
      </c>
      <c r="D29" s="87">
        <f>'Takip Paneli'!AA159</f>
        <v/>
      </c>
      <c r="E29" s="88">
        <f>'Takip Paneli'!AA137</f>
        <v/>
      </c>
      <c r="F29" s="88">
        <f>'Takip Paneli'!AA140</f>
        <v/>
      </c>
      <c r="G29" s="88">
        <f>'Takip Paneli'!AA143</f>
        <v/>
      </c>
      <c r="H29" s="88">
        <f>'Takip Paneli'!AA147</f>
        <v/>
      </c>
      <c r="I29" s="88">
        <f>'Takip Paneli'!AA150</f>
        <v/>
      </c>
      <c r="J29" s="88">
        <f>'Takip Paneli'!AA152</f>
        <v/>
      </c>
      <c r="K29" s="89">
        <f>'Takip Paneli'!AA26</f>
        <v/>
      </c>
    </row>
    <row r="30" ht="22" customHeight="1">
      <c r="A30" s="85" t="n">
        <v>26</v>
      </c>
      <c r="B30" s="86">
        <f>IF('Takip Paneli'!AB6="","FİRMA 26",'Takip Paneli'!AB6)</f>
        <v/>
      </c>
      <c r="C30" s="86">
        <f>'Takip Paneli'!AB8</f>
        <v/>
      </c>
      <c r="D30" s="87">
        <f>'Takip Paneli'!AB159</f>
        <v/>
      </c>
      <c r="E30" s="88">
        <f>'Takip Paneli'!AB137</f>
        <v/>
      </c>
      <c r="F30" s="88">
        <f>'Takip Paneli'!AB140</f>
        <v/>
      </c>
      <c r="G30" s="88">
        <f>'Takip Paneli'!AB143</f>
        <v/>
      </c>
      <c r="H30" s="88">
        <f>'Takip Paneli'!AB147</f>
        <v/>
      </c>
      <c r="I30" s="88">
        <f>'Takip Paneli'!AB150</f>
        <v/>
      </c>
      <c r="J30" s="88">
        <f>'Takip Paneli'!AB152</f>
        <v/>
      </c>
      <c r="K30" s="89">
        <f>'Takip Paneli'!AB26</f>
        <v/>
      </c>
    </row>
    <row r="31" ht="22" customHeight="1">
      <c r="A31" s="85" t="n">
        <v>27</v>
      </c>
      <c r="B31" s="86">
        <f>IF('Takip Paneli'!AC6="","FİRMA 27",'Takip Paneli'!AC6)</f>
        <v/>
      </c>
      <c r="C31" s="86">
        <f>'Takip Paneli'!AC8</f>
        <v/>
      </c>
      <c r="D31" s="87">
        <f>'Takip Paneli'!AC159</f>
        <v/>
      </c>
      <c r="E31" s="88">
        <f>'Takip Paneli'!AC137</f>
        <v/>
      </c>
      <c r="F31" s="88">
        <f>'Takip Paneli'!AC140</f>
        <v/>
      </c>
      <c r="G31" s="88">
        <f>'Takip Paneli'!AC143</f>
        <v/>
      </c>
      <c r="H31" s="88">
        <f>'Takip Paneli'!AC147</f>
        <v/>
      </c>
      <c r="I31" s="88">
        <f>'Takip Paneli'!AC150</f>
        <v/>
      </c>
      <c r="J31" s="88">
        <f>'Takip Paneli'!AC152</f>
        <v/>
      </c>
      <c r="K31" s="89">
        <f>'Takip Paneli'!AC26</f>
        <v/>
      </c>
    </row>
    <row r="32" ht="22" customHeight="1">
      <c r="A32" s="85" t="n">
        <v>28</v>
      </c>
      <c r="B32" s="86">
        <f>IF('Takip Paneli'!AD6="","FİRMA 28",'Takip Paneli'!AD6)</f>
        <v/>
      </c>
      <c r="C32" s="86">
        <f>'Takip Paneli'!AD8</f>
        <v/>
      </c>
      <c r="D32" s="87">
        <f>'Takip Paneli'!AD159</f>
        <v/>
      </c>
      <c r="E32" s="88">
        <f>'Takip Paneli'!AD137</f>
        <v/>
      </c>
      <c r="F32" s="88">
        <f>'Takip Paneli'!AD140</f>
        <v/>
      </c>
      <c r="G32" s="88">
        <f>'Takip Paneli'!AD143</f>
        <v/>
      </c>
      <c r="H32" s="88">
        <f>'Takip Paneli'!AD147</f>
        <v/>
      </c>
      <c r="I32" s="88">
        <f>'Takip Paneli'!AD150</f>
        <v/>
      </c>
      <c r="J32" s="88">
        <f>'Takip Paneli'!AD152</f>
        <v/>
      </c>
      <c r="K32" s="89">
        <f>'Takip Paneli'!AD26</f>
        <v/>
      </c>
    </row>
    <row r="33" ht="22" customHeight="1">
      <c r="A33" s="85" t="n">
        <v>29</v>
      </c>
      <c r="B33" s="86">
        <f>IF('Takip Paneli'!AE6="","FİRMA 29",'Takip Paneli'!AE6)</f>
        <v/>
      </c>
      <c r="C33" s="86">
        <f>'Takip Paneli'!AE8</f>
        <v/>
      </c>
      <c r="D33" s="87">
        <f>'Takip Paneli'!AE159</f>
        <v/>
      </c>
      <c r="E33" s="88">
        <f>'Takip Paneli'!AE137</f>
        <v/>
      </c>
      <c r="F33" s="88">
        <f>'Takip Paneli'!AE140</f>
        <v/>
      </c>
      <c r="G33" s="88">
        <f>'Takip Paneli'!AE143</f>
        <v/>
      </c>
      <c r="H33" s="88">
        <f>'Takip Paneli'!AE147</f>
        <v/>
      </c>
      <c r="I33" s="88">
        <f>'Takip Paneli'!AE150</f>
        <v/>
      </c>
      <c r="J33" s="88">
        <f>'Takip Paneli'!AE152</f>
        <v/>
      </c>
      <c r="K33" s="89">
        <f>'Takip Paneli'!AE26</f>
        <v/>
      </c>
    </row>
    <row r="34" ht="22" customHeight="1">
      <c r="A34" s="85" t="n">
        <v>30</v>
      </c>
      <c r="B34" s="86">
        <f>IF('Takip Paneli'!AF6="","FİRMA 30",'Takip Paneli'!AF6)</f>
        <v/>
      </c>
      <c r="C34" s="86">
        <f>'Takip Paneli'!AF8</f>
        <v/>
      </c>
      <c r="D34" s="87">
        <f>'Takip Paneli'!AF159</f>
        <v/>
      </c>
      <c r="E34" s="88">
        <f>'Takip Paneli'!AF137</f>
        <v/>
      </c>
      <c r="F34" s="88">
        <f>'Takip Paneli'!AF140</f>
        <v/>
      </c>
      <c r="G34" s="88">
        <f>'Takip Paneli'!AF143</f>
        <v/>
      </c>
      <c r="H34" s="88">
        <f>'Takip Paneli'!AF147</f>
        <v/>
      </c>
      <c r="I34" s="88">
        <f>'Takip Paneli'!AF150</f>
        <v/>
      </c>
      <c r="J34" s="88">
        <f>'Takip Paneli'!AF152</f>
        <v/>
      </c>
      <c r="K34" s="89">
        <f>'Takip Paneli'!AF26</f>
        <v/>
      </c>
    </row>
  </sheetData>
  <autoFilter ref="A4:K34"/>
  <mergeCells count="2">
    <mergeCell ref="E2:K2"/>
    <mergeCell ref="A1:K1"/>
  </mergeCells>
  <conditionalFormatting sqref="E5:J34">
    <cfRule type="expression" priority="1" dxfId="0">
      <formula>E5="Takipte"</formula>
    </cfRule>
    <cfRule type="expression" priority="2" dxfId="1">
      <formula>OR(E5="Süresi geçti",E5="Tarih hatalı")</formula>
    </cfRule>
    <cfRule type="expression" priority="3" dxfId="2">
      <formula>E5="Yaklaşıyor"</formula>
    </cfRule>
    <cfRule type="expression" priority="4" dxfId="3">
      <formula>E5="Tarih girilmedi"</formula>
    </cfRule>
  </conditionalFormatting>
  <conditionalFormatting sqref="D5:D34">
    <cfRule type="cellIs" priority="5" operator="greaterThan" dxfId="1">
      <formula>0</formula>
    </cfRule>
    <cfRule type="cellIs" priority="6" operator="equal" dxfId="0">
      <formula>0</formula>
    </cfRule>
  </conditionalFormatting>
  <conditionalFormatting sqref="K5:K34">
    <cfRule type="expression" priority="7" dxfId="1">
      <formula>AND(ISNUMBER(K5),K5&lt;TODAY())</formula>
    </cfRule>
    <cfRule type="expression" priority="8" dxfId="2">
      <formula>AND(ISNUMBER(K5),K5&gt;=TODAY(),K5&lt;=TODAY()+45)</formula>
    </cfRule>
  </conditionalFormatting>
  <conditionalFormatting sqref="B5:B34">
    <cfRule type="expression" priority="9" dxfId="4">
      <formula>$D5&gt;0</formula>
    </cfRule>
  </conditionalFormatting>
  <pageMargins left="0.5" right="0.5" top="0.5" bottom="0.5" header="0.5" footer="0.5"/>
  <pageSetup orientation="landscape" paperSize="9" fitToHeight="1" fitToWidth="1"/>
  <headerFooter>
    <oddHeader/>
    <oddFooter>&amp;LUyarısı olan firmalar üstte renklenir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</cols>
  <sheetData>
    <row r="1">
      <c r="A1" s="90" t="inlineStr">
        <is>
          <t>VarYok</t>
        </is>
      </c>
      <c r="B1" s="90" t="inlineStr">
        <is>
          <t>Guncel</t>
        </is>
      </c>
      <c r="C1" s="90" t="inlineStr">
        <is>
          <t>Uygun</t>
        </is>
      </c>
      <c r="D1" s="90" t="inlineStr">
        <is>
          <t>Mevcut</t>
        </is>
      </c>
      <c r="E1" s="90" t="inlineStr">
        <is>
          <t>Mulkiyet</t>
        </is>
      </c>
      <c r="F1" s="90" t="inlineStr">
        <is>
          <t>CedVar</t>
        </is>
      </c>
      <c r="G1" s="90" t="inlineStr">
        <is>
          <t>CedTur</t>
        </is>
      </c>
      <c r="H1" s="90" t="inlineStr">
        <is>
          <t>CedEk</t>
        </is>
      </c>
      <c r="I1" s="90" t="inlineStr">
        <is>
          <t>Taahhut</t>
        </is>
      </c>
      <c r="J1" s="90" t="inlineStr">
        <is>
          <t>Degisim</t>
        </is>
      </c>
      <c r="K1" s="90" t="inlineStr">
        <is>
          <t>IzinGorus</t>
        </is>
      </c>
      <c r="L1" s="90" t="inlineStr">
        <is>
          <t>IzinEk</t>
        </is>
      </c>
      <c r="M1" s="90" t="inlineStr">
        <is>
          <t>IzinVar</t>
        </is>
      </c>
      <c r="N1" s="90" t="inlineStr">
        <is>
          <t>Yenileme</t>
        </is>
      </c>
      <c r="O1" s="90" t="inlineStr">
        <is>
          <t>Gfb</t>
        </is>
      </c>
      <c r="P1" s="90" t="inlineStr">
        <is>
          <t>Rapor</t>
        </is>
      </c>
      <c r="Q1" s="90" t="inlineStr">
        <is>
          <t>SifirKontrol</t>
        </is>
      </c>
      <c r="R1" s="90" t="inlineStr">
        <is>
          <t>Beyan</t>
        </is>
      </c>
      <c r="S1" s="90" t="inlineStr">
        <is>
          <t>Gerekli</t>
        </is>
      </c>
      <c r="T1" s="90" t="inlineStr">
        <is>
          <t>Gekap</t>
        </is>
      </c>
      <c r="U1" s="90" t="inlineStr">
        <is>
          <t>BekraKapsam</t>
        </is>
      </c>
      <c r="V1" s="90" t="inlineStr">
        <is>
          <t>BekraSeviye</t>
        </is>
      </c>
      <c r="W1" s="90" t="inlineStr">
        <is>
          <t>BekraGuncel</t>
        </is>
      </c>
      <c r="X1" s="90" t="inlineStr">
        <is>
          <t>HatAyri</t>
        </is>
      </c>
      <c r="Y1" s="90" t="inlineStr">
        <is>
          <t>Kapanis</t>
        </is>
      </c>
      <c r="Z1" s="90" t="inlineStr">
        <is>
          <t>Tutanak</t>
        </is>
      </c>
      <c r="AA1" s="90" t="inlineStr">
        <is>
          <t>Iller</t>
        </is>
      </c>
    </row>
    <row r="2">
      <c r="A2" t="inlineStr">
        <is>
          <t>Var</t>
        </is>
      </c>
      <c r="B2" t="inlineStr">
        <is>
          <t>Güncel</t>
        </is>
      </c>
      <c r="C2" t="inlineStr">
        <is>
          <t>Uygun</t>
        </is>
      </c>
      <c r="D2" t="inlineStr">
        <is>
          <t>Mevcut</t>
        </is>
      </c>
      <c r="E2" t="inlineStr">
        <is>
          <t>Kira</t>
        </is>
      </c>
      <c r="F2" t="inlineStr">
        <is>
          <t>Var</t>
        </is>
      </c>
      <c r="G2" t="inlineStr">
        <is>
          <t>ÇED gerekli değildir</t>
        </is>
      </c>
      <c r="H2" t="inlineStr">
        <is>
          <t>Ek-1</t>
        </is>
      </c>
      <c r="I2" t="inlineStr">
        <is>
          <t>Uygun</t>
        </is>
      </c>
      <c r="J2" t="inlineStr">
        <is>
          <t>Var</t>
        </is>
      </c>
      <c r="K2" t="inlineStr">
        <is>
          <t>Var</t>
        </is>
      </c>
      <c r="L2" t="inlineStr">
        <is>
          <t>Ek-1</t>
        </is>
      </c>
      <c r="M2" t="inlineStr">
        <is>
          <t>Var</t>
        </is>
      </c>
      <c r="N2" t="inlineStr">
        <is>
          <t>Takipte</t>
        </is>
      </c>
      <c r="O2" t="inlineStr">
        <is>
          <t>Var</t>
        </is>
      </c>
      <c r="P2" t="inlineStr">
        <is>
          <t>Uygun</t>
        </is>
      </c>
      <c r="Q2" t="inlineStr">
        <is>
          <t>Geçerli</t>
        </is>
      </c>
      <c r="R2" t="inlineStr">
        <is>
          <t>Yapıldı</t>
        </is>
      </c>
      <c r="S2" t="inlineStr">
        <is>
          <t>Gerekli</t>
        </is>
      </c>
      <c r="T2" t="inlineStr">
        <is>
          <t>Var</t>
        </is>
      </c>
      <c r="U2" t="inlineStr">
        <is>
          <t>Kapsam içi</t>
        </is>
      </c>
      <c r="V2" t="inlineStr">
        <is>
          <t>Alt seviye</t>
        </is>
      </c>
      <c r="W2" t="inlineStr">
        <is>
          <t>Güncel</t>
        </is>
      </c>
      <c r="X2" t="inlineStr">
        <is>
          <t>Ayrı</t>
        </is>
      </c>
      <c r="Y2" t="inlineStr">
        <is>
          <t>Kapatıldı</t>
        </is>
      </c>
      <c r="Z2" t="inlineStr">
        <is>
          <t>Tamam</t>
        </is>
      </c>
      <c r="AA2" t="inlineStr">
        <is>
          <t>Adana</t>
        </is>
      </c>
    </row>
    <row r="3">
      <c r="A3" t="inlineStr">
        <is>
          <t>Yok</t>
        </is>
      </c>
      <c r="B3" t="inlineStr">
        <is>
          <t>Güncel değil</t>
        </is>
      </c>
      <c r="C3" t="inlineStr">
        <is>
          <t>Uygun değil</t>
        </is>
      </c>
      <c r="D3" t="inlineStr">
        <is>
          <t>Yok</t>
        </is>
      </c>
      <c r="E3" t="inlineStr">
        <is>
          <t>Tapu</t>
        </is>
      </c>
      <c r="F3" t="inlineStr">
        <is>
          <t>Yok</t>
        </is>
      </c>
      <c r="G3" t="inlineStr">
        <is>
          <t>ÇED olumlu</t>
        </is>
      </c>
      <c r="H3" t="inlineStr">
        <is>
          <t>Ek-2</t>
        </is>
      </c>
      <c r="I3" t="inlineStr">
        <is>
          <t>Uygun değil</t>
        </is>
      </c>
      <c r="J3" t="inlineStr">
        <is>
          <t>Yok</t>
        </is>
      </c>
      <c r="K3" t="inlineStr">
        <is>
          <t>Yok</t>
        </is>
      </c>
      <c r="L3" t="inlineStr">
        <is>
          <t>Ek-2</t>
        </is>
      </c>
      <c r="M3" t="inlineStr">
        <is>
          <t>Yok</t>
        </is>
      </c>
      <c r="N3" t="inlineStr">
        <is>
          <t>Başvuru yapıldı</t>
        </is>
      </c>
      <c r="O3" t="inlineStr">
        <is>
          <t>Yok</t>
        </is>
      </c>
      <c r="P3" t="inlineStr">
        <is>
          <t>Uygun değil</t>
        </is>
      </c>
      <c r="Q3" t="inlineStr">
        <is>
          <t>Yenileme zamanı</t>
        </is>
      </c>
      <c r="R3" t="inlineStr">
        <is>
          <t>Yapılmadı</t>
        </is>
      </c>
      <c r="S3" t="inlineStr">
        <is>
          <t>Gerekli değil</t>
        </is>
      </c>
      <c r="T3" t="inlineStr">
        <is>
          <t>Yok</t>
        </is>
      </c>
      <c r="U3" t="inlineStr">
        <is>
          <t>Kapsam dışı</t>
        </is>
      </c>
      <c r="V3" t="inlineStr">
        <is>
          <t>Üst seviye</t>
        </is>
      </c>
      <c r="W3" t="inlineStr">
        <is>
          <t>Güncel değil</t>
        </is>
      </c>
      <c r="X3" t="inlineStr">
        <is>
          <t>Ayrı değil</t>
        </is>
      </c>
      <c r="Y3" t="inlineStr">
        <is>
          <t>Açık</t>
        </is>
      </c>
      <c r="Z3" t="inlineStr">
        <is>
          <t>Eksik</t>
        </is>
      </c>
      <c r="AA3" t="inlineStr">
        <is>
          <t>Adıyaman</t>
        </is>
      </c>
    </row>
    <row r="4">
      <c r="B4" t="inlineStr">
        <is>
          <t>Yok</t>
        </is>
      </c>
      <c r="C4" t="inlineStr">
        <is>
          <t>Kısmen</t>
        </is>
      </c>
      <c r="D4" t="inlineStr">
        <is>
          <t>Süresi dolmuş</t>
        </is>
      </c>
      <c r="E4" t="inlineStr">
        <is>
          <t>Diğer</t>
        </is>
      </c>
      <c r="F4" t="inlineStr">
        <is>
          <t>Süreçte</t>
        </is>
      </c>
      <c r="G4" t="inlineStr">
        <is>
          <t>ÇED olumsuz</t>
        </is>
      </c>
      <c r="H4" t="inlineStr">
        <is>
          <t>Kapsam dışı</t>
        </is>
      </c>
      <c r="I4" t="inlineStr">
        <is>
          <t>Kısmen</t>
        </is>
      </c>
      <c r="J4" t="inlineStr">
        <is>
          <t>Planlanıyor</t>
        </is>
      </c>
      <c r="K4" t="inlineStr">
        <is>
          <t>Süreçte</t>
        </is>
      </c>
      <c r="L4" t="inlineStr">
        <is>
          <t>Muaf</t>
        </is>
      </c>
      <c r="M4" t="inlineStr">
        <is>
          <t>Başvuru yapıldı</t>
        </is>
      </c>
      <c r="N4" t="inlineStr">
        <is>
          <t>Yenilendi</t>
        </is>
      </c>
      <c r="O4" t="inlineStr">
        <is>
          <t>Gerekmiyor</t>
        </is>
      </c>
      <c r="P4" t="inlineStr">
        <is>
          <t>Bekleniyor</t>
        </is>
      </c>
      <c r="Q4" t="inlineStr">
        <is>
          <t>Süresi doldu</t>
        </is>
      </c>
      <c r="R4" t="inlineStr">
        <is>
          <t>Kapsam dışı</t>
        </is>
      </c>
      <c r="S4" t="inlineStr">
        <is>
          <t>Değerlendirilmedi</t>
        </is>
      </c>
      <c r="T4" t="inlineStr">
        <is>
          <t>Değerlendirilmedi</t>
        </is>
      </c>
      <c r="U4" t="inlineStr">
        <is>
          <t>Değerlendirilmedi</t>
        </is>
      </c>
      <c r="V4" t="inlineStr">
        <is>
          <t>Kapsam dışı</t>
        </is>
      </c>
      <c r="W4" t="inlineStr">
        <is>
          <t>Bildirim yok</t>
        </is>
      </c>
      <c r="X4" t="inlineStr">
        <is>
          <t>Kontrol edilmedi</t>
        </is>
      </c>
      <c r="Y4" t="inlineStr">
        <is>
          <t>Kısmen</t>
        </is>
      </c>
      <c r="Z4" t="inlineStr">
        <is>
          <t>Yok</t>
        </is>
      </c>
      <c r="AA4" t="inlineStr">
        <is>
          <t>Afyonkarahisar</t>
        </is>
      </c>
    </row>
    <row r="5">
      <c r="G5" t="inlineStr">
        <is>
          <t>Süreçte</t>
        </is>
      </c>
      <c r="I5" t="inlineStr">
        <is>
          <t>Değerlendirilmedi</t>
        </is>
      </c>
      <c r="K5" t="inlineStr">
        <is>
          <t>Muaf</t>
        </is>
      </c>
      <c r="L5" t="inlineStr">
        <is>
          <t>Kapsam dışı</t>
        </is>
      </c>
      <c r="M5" t="inlineStr">
        <is>
          <t>Muaf</t>
        </is>
      </c>
      <c r="N5" t="inlineStr">
        <is>
          <t>Süresi geçti</t>
        </is>
      </c>
      <c r="P5" t="inlineStr">
        <is>
          <t>Yok</t>
        </is>
      </c>
      <c r="Q5" t="inlineStr">
        <is>
          <t>Yok</t>
        </is>
      </c>
      <c r="AA5" t="inlineStr">
        <is>
          <t>Ağrı</t>
        </is>
      </c>
    </row>
    <row r="6">
      <c r="N6" t="inlineStr">
        <is>
          <t>Gerekmiyor</t>
        </is>
      </c>
      <c r="AA6" t="inlineStr">
        <is>
          <t>Aksaray</t>
        </is>
      </c>
    </row>
    <row r="7">
      <c r="AA7" t="inlineStr">
        <is>
          <t>Amasya</t>
        </is>
      </c>
    </row>
    <row r="8">
      <c r="AA8" t="inlineStr">
        <is>
          <t>Ankara</t>
        </is>
      </c>
    </row>
    <row r="9">
      <c r="AA9" t="inlineStr">
        <is>
          <t>Antalya</t>
        </is>
      </c>
    </row>
    <row r="10">
      <c r="AA10" t="inlineStr">
        <is>
          <t>Ardahan</t>
        </is>
      </c>
    </row>
    <row r="11">
      <c r="AA11" t="inlineStr">
        <is>
          <t>Artvin</t>
        </is>
      </c>
    </row>
    <row r="12">
      <c r="AA12" t="inlineStr">
        <is>
          <t>Aydın</t>
        </is>
      </c>
    </row>
    <row r="13">
      <c r="AA13" t="inlineStr">
        <is>
          <t>Balıkesir</t>
        </is>
      </c>
    </row>
    <row r="14">
      <c r="AA14" t="inlineStr">
        <is>
          <t>Bartın</t>
        </is>
      </c>
    </row>
    <row r="15">
      <c r="AA15" t="inlineStr">
        <is>
          <t>Batman</t>
        </is>
      </c>
    </row>
    <row r="16">
      <c r="AA16" t="inlineStr">
        <is>
          <t>Bayburt</t>
        </is>
      </c>
    </row>
    <row r="17">
      <c r="AA17" t="inlineStr">
        <is>
          <t>Bilecik</t>
        </is>
      </c>
    </row>
    <row r="18">
      <c r="AA18" t="inlineStr">
        <is>
          <t>Bingöl</t>
        </is>
      </c>
    </row>
    <row r="19">
      <c r="AA19" t="inlineStr">
        <is>
          <t>Bitlis</t>
        </is>
      </c>
    </row>
    <row r="20">
      <c r="AA20" t="inlineStr">
        <is>
          <t>Bolu</t>
        </is>
      </c>
    </row>
    <row r="21">
      <c r="AA21" t="inlineStr">
        <is>
          <t>Burdur</t>
        </is>
      </c>
    </row>
    <row r="22">
      <c r="AA22" t="inlineStr">
        <is>
          <t>Bursa</t>
        </is>
      </c>
    </row>
    <row r="23">
      <c r="AA23" t="inlineStr">
        <is>
          <t>Çanakkale</t>
        </is>
      </c>
    </row>
    <row r="24">
      <c r="AA24" t="inlineStr">
        <is>
          <t>Çankırı</t>
        </is>
      </c>
    </row>
    <row r="25">
      <c r="AA25" t="inlineStr">
        <is>
          <t>Çorum</t>
        </is>
      </c>
    </row>
    <row r="26">
      <c r="AA26" t="inlineStr">
        <is>
          <t>Denizli</t>
        </is>
      </c>
    </row>
    <row r="27">
      <c r="AA27" t="inlineStr">
        <is>
          <t>Diyarbakır</t>
        </is>
      </c>
    </row>
    <row r="28">
      <c r="AA28" t="inlineStr">
        <is>
          <t>Düzce</t>
        </is>
      </c>
    </row>
    <row r="29">
      <c r="AA29" t="inlineStr">
        <is>
          <t>Edirne</t>
        </is>
      </c>
    </row>
    <row r="30">
      <c r="AA30" t="inlineStr">
        <is>
          <t>Elazığ</t>
        </is>
      </c>
    </row>
    <row r="31">
      <c r="AA31" t="inlineStr">
        <is>
          <t>Erzincan</t>
        </is>
      </c>
    </row>
    <row r="32">
      <c r="AA32" t="inlineStr">
        <is>
          <t>Erzurum</t>
        </is>
      </c>
    </row>
    <row r="33">
      <c r="AA33" t="inlineStr">
        <is>
          <t>Eskişehir</t>
        </is>
      </c>
    </row>
    <row r="34">
      <c r="AA34" t="inlineStr">
        <is>
          <t>Gaziantep</t>
        </is>
      </c>
    </row>
    <row r="35">
      <c r="AA35" t="inlineStr">
        <is>
          <t>Giresun</t>
        </is>
      </c>
    </row>
    <row r="36">
      <c r="AA36" t="inlineStr">
        <is>
          <t>Gümüşhane</t>
        </is>
      </c>
    </row>
    <row r="37">
      <c r="AA37" t="inlineStr">
        <is>
          <t>Hakkari</t>
        </is>
      </c>
    </row>
    <row r="38">
      <c r="AA38" t="inlineStr">
        <is>
          <t>Hatay</t>
        </is>
      </c>
    </row>
    <row r="39">
      <c r="AA39" t="inlineStr">
        <is>
          <t>Iğdır</t>
        </is>
      </c>
    </row>
    <row r="40">
      <c r="AA40" t="inlineStr">
        <is>
          <t>Isparta</t>
        </is>
      </c>
    </row>
    <row r="41">
      <c r="AA41" t="inlineStr">
        <is>
          <t>İstanbul</t>
        </is>
      </c>
    </row>
    <row r="42">
      <c r="AA42" t="inlineStr">
        <is>
          <t>İzmir</t>
        </is>
      </c>
    </row>
    <row r="43">
      <c r="AA43" t="inlineStr">
        <is>
          <t>Kahramanmaraş</t>
        </is>
      </c>
    </row>
    <row r="44">
      <c r="AA44" t="inlineStr">
        <is>
          <t>Karabük</t>
        </is>
      </c>
    </row>
    <row r="45">
      <c r="AA45" t="inlineStr">
        <is>
          <t>Karaman</t>
        </is>
      </c>
    </row>
    <row r="46">
      <c r="AA46" t="inlineStr">
        <is>
          <t>Kars</t>
        </is>
      </c>
    </row>
    <row r="47">
      <c r="AA47" t="inlineStr">
        <is>
          <t>Kastamonu</t>
        </is>
      </c>
    </row>
    <row r="48">
      <c r="AA48" t="inlineStr">
        <is>
          <t>Kayseri</t>
        </is>
      </c>
    </row>
    <row r="49">
      <c r="AA49" t="inlineStr">
        <is>
          <t>Kırıkkale</t>
        </is>
      </c>
    </row>
    <row r="50">
      <c r="AA50" t="inlineStr">
        <is>
          <t>Kırklareli</t>
        </is>
      </c>
    </row>
    <row r="51">
      <c r="AA51" t="inlineStr">
        <is>
          <t>Kırşehir</t>
        </is>
      </c>
    </row>
    <row r="52">
      <c r="AA52" t="inlineStr">
        <is>
          <t>Kilis</t>
        </is>
      </c>
    </row>
    <row r="53">
      <c r="AA53" t="inlineStr">
        <is>
          <t>Kocaeli</t>
        </is>
      </c>
    </row>
    <row r="54">
      <c r="AA54" t="inlineStr">
        <is>
          <t>Konya</t>
        </is>
      </c>
    </row>
    <row r="55">
      <c r="AA55" t="inlineStr">
        <is>
          <t>Kütahya</t>
        </is>
      </c>
    </row>
    <row r="56">
      <c r="AA56" t="inlineStr">
        <is>
          <t>Malatya</t>
        </is>
      </c>
    </row>
    <row r="57">
      <c r="AA57" t="inlineStr">
        <is>
          <t>Manisa</t>
        </is>
      </c>
    </row>
    <row r="58">
      <c r="AA58" t="inlineStr">
        <is>
          <t>Mardin</t>
        </is>
      </c>
    </row>
    <row r="59">
      <c r="AA59" t="inlineStr">
        <is>
          <t>Mersin</t>
        </is>
      </c>
    </row>
    <row r="60">
      <c r="AA60" t="inlineStr">
        <is>
          <t>Muğla</t>
        </is>
      </c>
    </row>
    <row r="61">
      <c r="AA61" t="inlineStr">
        <is>
          <t>Muş</t>
        </is>
      </c>
    </row>
    <row r="62">
      <c r="AA62" t="inlineStr">
        <is>
          <t>Nevşehir</t>
        </is>
      </c>
    </row>
    <row r="63">
      <c r="AA63" t="inlineStr">
        <is>
          <t>Niğde</t>
        </is>
      </c>
    </row>
    <row r="64">
      <c r="AA64" t="inlineStr">
        <is>
          <t>Ordu</t>
        </is>
      </c>
    </row>
    <row r="65">
      <c r="AA65" t="inlineStr">
        <is>
          <t>Osmaniye</t>
        </is>
      </c>
    </row>
    <row r="66">
      <c r="AA66" t="inlineStr">
        <is>
          <t>Rize</t>
        </is>
      </c>
    </row>
    <row r="67">
      <c r="AA67" t="inlineStr">
        <is>
          <t>Sakarya</t>
        </is>
      </c>
    </row>
    <row r="68">
      <c r="AA68" t="inlineStr">
        <is>
          <t>Samsun</t>
        </is>
      </c>
    </row>
    <row r="69">
      <c r="AA69" t="inlineStr">
        <is>
          <t>Siirt</t>
        </is>
      </c>
    </row>
    <row r="70">
      <c r="AA70" t="inlineStr">
        <is>
          <t>Sinop</t>
        </is>
      </c>
    </row>
    <row r="71">
      <c r="AA71" t="inlineStr">
        <is>
          <t>Sivas</t>
        </is>
      </c>
    </row>
    <row r="72">
      <c r="AA72" t="inlineStr">
        <is>
          <t>Şanlıurfa</t>
        </is>
      </c>
    </row>
    <row r="73">
      <c r="AA73" t="inlineStr">
        <is>
          <t>Şırnak</t>
        </is>
      </c>
    </row>
    <row r="74">
      <c r="AA74" t="inlineStr">
        <is>
          <t>Tekirdağ</t>
        </is>
      </c>
    </row>
    <row r="75">
      <c r="AA75" t="inlineStr">
        <is>
          <t>Tokat</t>
        </is>
      </c>
    </row>
    <row r="76">
      <c r="AA76" t="inlineStr">
        <is>
          <t>Trabzon</t>
        </is>
      </c>
    </row>
    <row r="77">
      <c r="AA77" t="inlineStr">
        <is>
          <t>Tunceli</t>
        </is>
      </c>
    </row>
    <row r="78">
      <c r="AA78" t="inlineStr">
        <is>
          <t>Uşak</t>
        </is>
      </c>
    </row>
    <row r="79">
      <c r="AA79" t="inlineStr">
        <is>
          <t>Van</t>
        </is>
      </c>
    </row>
    <row r="80">
      <c r="AA80" t="inlineStr">
        <is>
          <t>Yalova</t>
        </is>
      </c>
    </row>
    <row r="81">
      <c r="AA81" t="inlineStr">
        <is>
          <t>Yozgat</t>
        </is>
      </c>
    </row>
    <row r="82">
      <c r="AA82" t="inlineStr">
        <is>
          <t>Zonguldak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Çevre danışmanlığı takip paneli</dc:creator>
  <dc:title>Çevre danışmanlığı takip paneli</dc:title>
  <dc:subject>30 firma, belge takibi ve otomatik hatırlatıcı</dc:subject>
  <dcterms:created xsi:type="dcterms:W3CDTF">2026-10-28T10:50:13Z</dcterms:created>
  <dcterms:modified xsi:type="dcterms:W3CDTF">2026-10-28T10:50:13Z</dcterms:modified>
</cp:coreProperties>
</file>
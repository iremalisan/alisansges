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malar" sheetId="1" state="visible" r:id="rId1"/>
    <sheet name="Yaklaşan işler" sheetId="2" state="visible" r:id="rId2"/>
    <sheet name="Nasıl kullanılır" sheetId="3" state="visible" r:id="rId3"/>
    <sheet name="Listeler" sheetId="4" state="hidden" r:id="rId4"/>
  </sheets>
  <definedNames>
    <definedName name="VarYok">Listeler!$A$2:$A$3</definedName>
    <definedName name="Guncel">Listeler!$B$2:$B$4</definedName>
    <definedName name="Uygun">Listeler!$C$2:$C$4</definedName>
    <definedName name="Mevcut">Listeler!$D$2:$D$4</definedName>
    <definedName name="Mulkiyet">Listeler!$E$2:$E$4</definedName>
    <definedName name="CedVar">Listeler!$F$2:$F$4</definedName>
    <definedName name="CedTur">Listeler!$G$2:$G$5</definedName>
    <definedName name="CedEk">Listeler!$H$2:$H$4</definedName>
    <definedName name="Taahhut">Listeler!$I$2:$I$5</definedName>
    <definedName name="Degisim">Listeler!$J$2:$J$4</definedName>
    <definedName name="IzinGorus">Listeler!$K$2:$K$5</definedName>
    <definedName name="IzinEk">Listeler!$L$2:$L$5</definedName>
    <definedName name="IzinVar">Listeler!$M$2:$M$5</definedName>
    <definedName name="Yenileme">Listeler!$N$2:$N$6</definedName>
    <definedName name="Gfb">Listeler!$O$2:$O$4</definedName>
    <definedName name="Rapor">Listeler!$P$2:$P$5</definedName>
    <definedName name="SifirKontrol">Listeler!$Q$2:$Q$5</definedName>
    <definedName name="Beyan">Listeler!$R$2:$R$4</definedName>
    <definedName name="Gerekli">Listeler!$S$2:$S$4</definedName>
    <definedName name="Gekap">Listeler!$T$2:$T$4</definedName>
    <definedName name="BekraKapsam">Listeler!$U$2:$U$4</definedName>
    <definedName name="BekraSeviye">Listeler!$V$2:$V$4</definedName>
    <definedName name="BekraGuncel">Listeler!$W$2:$W$4</definedName>
    <definedName name="HatAyri">Listeler!$X$2:$X$4</definedName>
    <definedName name="Kapanis">Listeler!$Y$2:$Y$4</definedName>
    <definedName name="Tutanak">Listeler!$Z$2:$Z$4</definedName>
    <definedName name="Oncelik">Listeler!$AA$2:$AA$5</definedName>
    <definedName name="Dosya">Listeler!$AB$2:$AB$5</definedName>
    <definedName name="Siklik">Listeler!$AC$2:$AC$6</definedName>
    <definedName name="Iller">Listeler!$AD$2:$AD$82</definedName>
    <definedName name="_xlnm._FilterDatabase" localSheetId="0" hidden="1">'Firmalar'!$A$4:$GG$44</definedName>
    <definedName name="_xlnm.Print_Titles" localSheetId="0">'Firmalar'!$1:$4,'Firmalar'!$A:$B</definedName>
    <definedName name="_xlnm.Print_Area" localSheetId="0">'Firmalar'!$A$1:$V$44</definedName>
    <definedName name="_xlnm._FilterDatabase" localSheetId="1" hidden="1">'Yaklaşan işler'!$A$4:$G$764</definedName>
    <definedName name="_xlnm.Print_Titles" localSheetId="1">'Yaklaşan işler'!$1:$4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32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color rgb="00FFFFFF"/>
      <sz val="20"/>
    </font>
    <font>
      <name val="Calibri"/>
      <b val="1"/>
      <color rgb="00FFFFFF"/>
      <sz val="10"/>
    </font>
    <font>
      <name val="Calibri"/>
      <b val="1"/>
      <color rgb="0014532D"/>
      <sz val="14"/>
    </font>
    <font>
      <name val="Calibri"/>
      <b val="1"/>
      <color rgb="009C0006"/>
      <sz val="16"/>
    </font>
    <font>
      <name val="Calibri"/>
      <color rgb="007F1D1D"/>
      <sz val="10"/>
    </font>
    <font>
      <name val="Calibri"/>
      <b val="1"/>
      <color rgb="0014532D"/>
      <sz val="16"/>
    </font>
    <font>
      <name val="Calibri"/>
      <color rgb="0014532D"/>
      <sz val="10"/>
    </font>
    <font>
      <name val="Calibri"/>
      <color rgb="00374151"/>
      <sz val="10"/>
    </font>
    <font>
      <name val="Calibri"/>
      <i val="1"/>
      <color rgb="004B5563"/>
      <sz val="9"/>
    </font>
    <font>
      <name val="Calibri"/>
      <b val="1"/>
      <color rgb="006B7280"/>
      <sz val="10"/>
    </font>
    <font>
      <name val="Calibri"/>
      <b val="1"/>
      <color rgb="001F2933"/>
      <sz val="11"/>
    </font>
    <font>
      <name val="Calibri"/>
      <i val="1"/>
      <color rgb="001E3A5F"/>
      <sz val="11"/>
    </font>
    <font>
      <name val="Calibri"/>
      <color rgb="001F2933"/>
      <sz val="11"/>
    </font>
    <font>
      <name val="Calibri"/>
      <b val="1"/>
      <color rgb="001B4332"/>
      <sz val="10"/>
    </font>
    <font>
      <name val="Calibri"/>
      <b val="1"/>
      <color rgb="001D4E89"/>
      <sz val="10"/>
    </font>
    <font>
      <name val="Calibri"/>
      <b val="1"/>
      <color rgb="007A3E12"/>
      <sz val="10"/>
    </font>
    <font>
      <name val="Calibri"/>
      <b val="1"/>
      <color rgb="003F4C6B"/>
      <sz val="10"/>
    </font>
    <font>
      <name val="Calibri"/>
      <b val="1"/>
      <color rgb="000E7490"/>
      <sz val="10"/>
    </font>
    <font>
      <name val="Calibri"/>
      <b val="1"/>
      <color rgb="003F6212"/>
      <sz val="10"/>
    </font>
    <font>
      <name val="Calibri"/>
      <b val="1"/>
      <color rgb="006B4F2A"/>
      <sz val="10"/>
    </font>
    <font>
      <name val="Calibri"/>
      <b val="1"/>
      <color rgb="005B3A6E"/>
      <sz val="10"/>
    </font>
    <font>
      <name val="Calibri"/>
      <i val="1"/>
      <color rgb="006B7280"/>
      <sz val="11"/>
    </font>
    <font>
      <name val="Calibri"/>
      <b val="1"/>
      <color rgb="00FFFFFF"/>
      <sz val="18"/>
    </font>
    <font>
      <name val="Calibri"/>
      <b val="1"/>
      <sz val="16"/>
    </font>
    <font>
      <name val="Calibri"/>
      <b val="1"/>
      <color rgb="0092400E"/>
      <sz val="16"/>
    </font>
    <font>
      <name val="Calibri"/>
      <b val="1"/>
      <color rgb="00854D0E"/>
      <sz val="16"/>
    </font>
    <font>
      <name val="Calibri"/>
      <b val="1"/>
      <color rgb="00FFFFFF"/>
      <sz val="22"/>
    </font>
    <font>
      <name val="Calibri"/>
      <color rgb="001F2933"/>
      <sz val="13"/>
    </font>
    <font>
      <name val="Calibri"/>
      <color rgb="001F2933"/>
      <sz val="12"/>
    </font>
    <font>
      <name val="Calibri"/>
      <b val="1"/>
      <color rgb="001E3A5F"/>
      <sz val="14"/>
    </font>
  </fonts>
  <fills count="32">
    <fill>
      <patternFill/>
    </fill>
    <fill>
      <patternFill patternType="gray125"/>
    </fill>
    <fill>
      <patternFill patternType="solid">
        <fgColor rgb="00143D32"/>
      </patternFill>
    </fill>
    <fill>
      <patternFill patternType="solid">
        <fgColor rgb="001F4E3D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3F4F6"/>
      </patternFill>
    </fill>
    <fill>
      <patternFill patternType="solid">
        <fgColor rgb="001F2933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1E3A5F"/>
      </patternFill>
    </fill>
    <fill>
      <patternFill patternType="solid">
        <fgColor rgb="00E8F1FB"/>
      </patternFill>
    </fill>
    <fill>
      <patternFill patternType="solid">
        <fgColor rgb="001B4332"/>
      </patternFill>
    </fill>
    <fill>
      <patternFill patternType="solid">
        <fgColor rgb="00E8F5E9"/>
      </patternFill>
    </fill>
    <fill>
      <patternFill patternType="solid">
        <fgColor rgb="001D4E89"/>
      </patternFill>
    </fill>
    <fill>
      <patternFill patternType="solid">
        <fgColor rgb="007A3E12"/>
      </patternFill>
    </fill>
    <fill>
      <patternFill patternType="solid">
        <fgColor rgb="00FBF1E6"/>
      </patternFill>
    </fill>
    <fill>
      <patternFill patternType="solid">
        <fgColor rgb="003F4C6B"/>
      </patternFill>
    </fill>
    <fill>
      <patternFill patternType="solid">
        <fgColor rgb="00EEF0F6"/>
      </patternFill>
    </fill>
    <fill>
      <patternFill patternType="solid">
        <fgColor rgb="000E7490"/>
      </patternFill>
    </fill>
    <fill>
      <patternFill patternType="solid">
        <fgColor rgb="00E7F6F9"/>
      </patternFill>
    </fill>
    <fill>
      <patternFill patternType="solid">
        <fgColor rgb="003F6212"/>
      </patternFill>
    </fill>
    <fill>
      <patternFill patternType="solid">
        <fgColor rgb="00F1F6E8"/>
      </patternFill>
    </fill>
    <fill>
      <patternFill patternType="solid">
        <fgColor rgb="006B4F2A"/>
      </patternFill>
    </fill>
    <fill>
      <patternFill patternType="solid">
        <fgColor rgb="00F8F1E7"/>
      </patternFill>
    </fill>
    <fill>
      <patternFill patternType="solid">
        <fgColor rgb="005B3A6E"/>
      </patternFill>
    </fill>
    <fill>
      <patternFill patternType="solid">
        <fgColor rgb="00F6F0FA"/>
      </patternFill>
    </fill>
    <fill>
      <patternFill patternType="solid">
        <fgColor rgb="007C2D12"/>
      </patternFill>
    </fill>
    <fill>
      <patternFill patternType="solid">
        <fgColor rgb="007F1D1D"/>
      </patternFill>
    </fill>
    <fill>
      <patternFill patternType="solid">
        <fgColor rgb="0092400E"/>
      </patternFill>
    </fill>
    <fill>
      <patternFill patternType="solid">
        <fgColor rgb="00854D0E"/>
      </patternFill>
    </fill>
  </fills>
  <borders count="11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medium">
        <color rgb="001B4332"/>
      </left>
    </border>
    <border>
      <left style="medium">
        <color rgb="001D4E89"/>
      </left>
    </border>
    <border>
      <left style="medium">
        <color rgb="007A3E12"/>
      </left>
    </border>
    <border>
      <left style="medium">
        <color rgb="003F4C6B"/>
      </left>
    </border>
    <border>
      <left style="medium">
        <color rgb="000E7490"/>
      </left>
    </border>
    <border>
      <left style="medium">
        <color rgb="003F6212"/>
      </left>
    </border>
    <border>
      <left style="medium">
        <color rgb="006B4F2A"/>
      </left>
    </border>
    <border>
      <left style="medium">
        <color rgb="005B3A6E"/>
      </left>
    </border>
    <border>
      <left style="medium">
        <color rgb="001E3A5F"/>
      </left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3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/>
    </xf>
    <xf numFmtId="0" fontId="8" fillId="0" borderId="0" pivotButton="0" quotePrefix="0" xfId="0"/>
    <xf numFmtId="0" fontId="9" fillId="6" borderId="0" applyAlignment="1" pivotButton="0" quotePrefix="0" xfId="0">
      <alignment horizontal="left" vertical="center" wrapText="1" indent="1"/>
    </xf>
    <xf numFmtId="0" fontId="0" fillId="6" borderId="0" pivotButton="0" quotePrefix="0" xfId="0"/>
    <xf numFmtId="0" fontId="10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3" fillId="8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textRotation="90" wrapText="1"/>
    </xf>
    <xf numFmtId="0" fontId="15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textRotation="90" wrapText="1"/>
    </xf>
    <xf numFmtId="0" fontId="16" fillId="12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textRotation="90" wrapText="1"/>
    </xf>
    <xf numFmtId="0" fontId="17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textRotation="90" wrapText="1"/>
    </xf>
    <xf numFmtId="0" fontId="18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textRotation="90" wrapText="1"/>
    </xf>
    <xf numFmtId="0" fontId="19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textRotation="90" wrapText="1"/>
    </xf>
    <xf numFmtId="0" fontId="20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textRotation="90" wrapText="1"/>
    </xf>
    <xf numFmtId="0" fontId="21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textRotation="90" wrapText="1"/>
    </xf>
    <xf numFmtId="0" fontId="22" fillId="27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textRotation="90" wrapText="1"/>
    </xf>
    <xf numFmtId="0" fontId="11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 wrapText="1"/>
    </xf>
    <xf numFmtId="1" fontId="13" fillId="12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164" fontId="13" fillId="12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49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 wrapText="1"/>
    </xf>
    <xf numFmtId="0" fontId="0" fillId="13" borderId="2" applyAlignment="1" pivotButton="0" quotePrefix="0" xfId="0">
      <alignment horizontal="center" vertical="center"/>
    </xf>
    <xf numFmtId="164" fontId="14" fillId="10" borderId="1" applyAlignment="1" pivotButton="0" quotePrefix="0" xfId="0">
      <alignment horizontal="center" vertical="center"/>
    </xf>
    <xf numFmtId="0" fontId="0" fillId="15" borderId="3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0" fontId="0" fillId="18" borderId="5" applyAlignment="1" pivotButton="0" quotePrefix="0" xfId="0">
      <alignment horizontal="center" vertical="center"/>
    </xf>
    <xf numFmtId="1" fontId="14" fillId="10" borderId="1" applyAlignment="1" pivotButton="0" quotePrefix="0" xfId="0">
      <alignment horizontal="center" vertical="center"/>
    </xf>
    <xf numFmtId="0" fontId="0" fillId="20" borderId="6" applyAlignment="1" pivotButton="0" quotePrefix="0" xfId="0">
      <alignment horizontal="center" vertical="center"/>
    </xf>
    <xf numFmtId="0" fontId="0" fillId="22" borderId="7" applyAlignment="1" pivotButton="0" quotePrefix="0" xfId="0">
      <alignment horizontal="center" vertical="center"/>
    </xf>
    <xf numFmtId="0" fontId="0" fillId="24" borderId="8" applyAlignment="1" pivotButton="0" quotePrefix="0" xfId="0">
      <alignment horizontal="center" vertical="center"/>
    </xf>
    <xf numFmtId="0" fontId="0" fillId="26" borderId="9" applyAlignment="1" pivotButton="0" quotePrefix="0" xfId="0">
      <alignment horizontal="center" vertical="center"/>
    </xf>
    <xf numFmtId="0" fontId="0" fillId="11" borderId="10" applyAlignment="1" pivotButton="0" quotePrefix="0" xfId="0">
      <alignment horizontal="center" vertical="center"/>
    </xf>
    <xf numFmtId="164" fontId="23" fillId="0" borderId="1" applyAlignment="1" pivotButton="0" quotePrefix="0" xfId="0">
      <alignment horizontal="center" vertical="center"/>
    </xf>
    <xf numFmtId="0" fontId="24" fillId="28" borderId="0" applyAlignment="1" pivotButton="0" quotePrefix="0" xfId="0">
      <alignment horizontal="left" vertical="center" indent="1"/>
    </xf>
    <xf numFmtId="0" fontId="0" fillId="28" borderId="0" pivotButton="0" quotePrefix="0" xfId="0"/>
    <xf numFmtId="0" fontId="3" fillId="29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3" fillId="3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0" fontId="3" fillId="31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10" fillId="0" borderId="0" pivotButton="0" quotePrefix="0" xfId="0"/>
    <xf numFmtId="0" fontId="14" fillId="0" borderId="1" applyAlignment="1" pivotButton="0" quotePrefix="0" xfId="0">
      <alignment horizontal="left" vertical="center"/>
    </xf>
    <xf numFmtId="164" fontId="14" fillId="0" borderId="1" applyAlignment="1" pivotButton="0" quotePrefix="0" xfId="0">
      <alignment horizontal="center" vertical="center"/>
    </xf>
    <xf numFmtId="1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28" fillId="2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left" vertical="center" wrapText="1"/>
    </xf>
    <xf numFmtId="0" fontId="1" fillId="0" borderId="0" pivotButton="0" quotePrefix="0" xfId="0"/>
  </cellXfs>
  <cellStyles count="1">
    <cellStyle name="Normal" xfId="0" builtinId="0" hidden="0"/>
  </cellStyles>
  <dxfs count="6">
    <dxf>
      <font>
        <name val="Calibri"/>
        <b val="1"/>
        <color rgb="009C0006"/>
        <sz val="11"/>
      </font>
      <fill>
        <patternFill patternType="solid">
          <fgColor rgb="00FFC7CE"/>
        </patternFill>
      </fill>
    </dxf>
    <dxf>
      <font>
        <name val="Calibri"/>
        <b val="1"/>
        <color rgb="007A5800"/>
        <sz val="11"/>
      </font>
      <fill>
        <patternFill patternType="solid">
          <fgColor rgb="00FFE699"/>
        </patternFill>
      </fill>
    </dxf>
    <dxf>
      <font>
        <name val="Calibri"/>
        <i val="1"/>
        <color rgb="006B7280"/>
        <sz val="11"/>
      </font>
      <fill>
        <patternFill patternType="solid">
          <fgColor rgb="00F3F4F6"/>
        </patternFill>
      </fill>
    </dxf>
    <dxf>
      <font>
        <name val="Calibri"/>
        <b val="1"/>
        <color rgb="00006100"/>
        <sz val="11"/>
      </font>
      <fill>
        <patternFill patternType="solid">
          <fgColor rgb="00C6EFCE"/>
        </patternFill>
      </fill>
    </dxf>
    <dxf>
      <font>
        <name val="Calibri"/>
        <b val="1"/>
        <color rgb="009C0006"/>
        <sz val="11"/>
      </font>
      <fill>
        <patternFill patternType="solid">
          <fgColor rgb="00FEE2E2"/>
        </patternFill>
      </fill>
    </dxf>
    <dxf>
      <font>
        <name val="Calibri"/>
        <b val="1"/>
        <color rgb="007A5800"/>
        <sz val="11"/>
      </font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Takip</author>
  </authors>
  <commentList>
    <comment ref="C4" authorId="0" shapeId="0">
      <text>
        <t>Sözleşme, iç tetkik, eğitim, sıfır atık, atık planı, emisyon ve çevre izninden süresi geçen veya yaklaşanların sayısı.</t>
      </text>
    </comment>
    <comment ref="D4" authorId="0" shapeId="0">
      <text>
        <t>Tüm son tarihler içinden en erken olan. Süresi geçen bir iş varsa o görünür.</t>
      </text>
    </comment>
    <comment ref="CC4" authorId="0" shapeId="0">
      <text>
        <t>Birden fazla baca varsa tarihleri yan yana yazın. Örnek: 1: 12.01.2026   2: 03.06.2026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43D32"/>
    <outlinePr summaryBelow="1" summaryRight="0"/>
    <pageSetUpPr fitToPage="1"/>
  </sheetPr>
  <dimension ref="A1:GG44"/>
  <sheetViews>
    <sheetView showGridLines="0" showOutlineSymbols="1" zoomScale="110" workbookViewId="0">
      <pane xSplit="6" ySplit="4" topLeftCell="G5" activePane="bottomRight" state="frozen"/>
      <selection pane="topRight" activeCell="B5" sqref="B5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0" customWidth="1" min="3" max="3"/>
    <col width="26" customWidth="1" min="4" max="4"/>
    <col width="15" customWidth="1" min="5" max="5"/>
    <col width="10" customWidth="1" min="6" max="6"/>
    <col width="12" customWidth="1" min="7" max="7"/>
    <col width="16" customWidth="1" min="8" max="8"/>
    <col width="16" customWidth="1" min="9" max="9"/>
    <col width="16" customWidth="1" min="10" max="10"/>
    <col width="22" customWidth="1" min="11" max="11"/>
    <col width="16" customWidth="1" min="12" max="12"/>
    <col width="26" customWidth="1" min="13" max="13"/>
    <col width="18" customWidth="1" min="14" max="14"/>
    <col width="32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4" customWidth="1" min="23" max="23"/>
    <col hidden="1" outlineLevel="1" width="28" customWidth="1" min="24" max="24"/>
    <col hidden="1" outlineLevel="1" width="32" customWidth="1" min="25" max="25"/>
    <col hidden="1" outlineLevel="1" width="24" customWidth="1" min="26" max="26"/>
    <col hidden="1" outlineLevel="1" width="14" customWidth="1" min="27" max="27"/>
    <col hidden="1" outlineLevel="1" width="18" customWidth="1" min="28" max="28"/>
    <col hidden="1" outlineLevel="1" width="16" customWidth="1" min="29" max="29"/>
    <col hidden="1" outlineLevel="1" width="18" customWidth="1" min="30" max="30"/>
    <col hidden="1" outlineLevel="1" width="16" customWidth="1" min="31" max="31"/>
    <col hidden="1" outlineLevel="1" width="15" customWidth="1" min="32" max="32"/>
    <col hidden="1" outlineLevel="1" width="14" customWidth="1" min="33" max="33"/>
    <col hidden="1" outlineLevel="1" width="14" customWidth="1" min="34" max="34"/>
    <col hidden="1" outlineLevel="1" width="14" customWidth="1" min="35" max="35"/>
    <col hidden="1" outlineLevel="1" width="24" customWidth="1" min="36" max="36"/>
    <col hidden="1" outlineLevel="1" width="14" customWidth="1" min="37" max="37"/>
    <col hidden="1" outlineLevel="1" width="14" customWidth="1" min="38" max="38"/>
    <col hidden="1" outlineLevel="1" width="14" customWidth="1" min="39" max="39"/>
    <col hidden="1" outlineLevel="1" width="28" customWidth="1" min="40" max="40"/>
    <col width="4" customWidth="1" min="41" max="41"/>
    <col hidden="1" outlineLevel="1" width="14" customWidth="1" min="42" max="42"/>
    <col hidden="1" outlineLevel="1" width="17" customWidth="1" min="43" max="43"/>
    <col hidden="1" outlineLevel="1" width="14" customWidth="1" min="44" max="44"/>
    <col hidden="1" outlineLevel="1" width="16" customWidth="1" min="45" max="45"/>
    <col hidden="1" outlineLevel="1" width="14" customWidth="1" min="46" max="46"/>
    <col hidden="1" outlineLevel="1" width="17" customWidth="1" min="47" max="47"/>
    <col hidden="1" outlineLevel="1" width="20" customWidth="1" min="48" max="48"/>
    <col hidden="1" outlineLevel="1" width="14" customWidth="1" min="49" max="49"/>
    <col width="4" customWidth="1" min="50" max="50"/>
    <col hidden="1" outlineLevel="1" width="14" customWidth="1" min="51" max="51"/>
    <col hidden="1" outlineLevel="1" width="14" customWidth="1" min="52" max="52"/>
    <col hidden="1" outlineLevel="1" width="17" customWidth="1" min="53" max="53"/>
    <col hidden="1" outlineLevel="1" width="18" customWidth="1" min="54" max="54"/>
    <col hidden="1" outlineLevel="1" width="18" customWidth="1" min="55" max="55"/>
    <col hidden="1" outlineLevel="1" width="15" customWidth="1" min="56" max="56"/>
    <col hidden="1" outlineLevel="1" width="18" customWidth="1" min="57" max="57"/>
    <col hidden="1" outlineLevel="1" width="21" customWidth="1" min="58" max="58"/>
    <col hidden="1" outlineLevel="1" width="14" customWidth="1" min="59" max="59"/>
    <col hidden="1" outlineLevel="1" width="16" customWidth="1" min="60" max="60"/>
    <col hidden="1" outlineLevel="1" width="17" customWidth="1" min="61" max="61"/>
    <col hidden="1" outlineLevel="1" width="18" customWidth="1" min="62" max="62"/>
    <col hidden="1" outlineLevel="1" width="18" customWidth="1" min="63" max="63"/>
    <col hidden="1" outlineLevel="1" width="20" customWidth="1" min="64" max="64"/>
    <col hidden="1" outlineLevel="1" width="14" customWidth="1" min="65" max="65"/>
    <col hidden="1" outlineLevel="1" width="14" customWidth="1" min="66" max="66"/>
    <col hidden="1" outlineLevel="1" width="18" customWidth="1" min="67" max="67"/>
    <col hidden="1" outlineLevel="1" width="16" customWidth="1" min="68" max="68"/>
    <col hidden="1" outlineLevel="1" width="14" customWidth="1" min="69" max="69"/>
    <col hidden="1" outlineLevel="1" width="14" customWidth="1" min="70" max="70"/>
    <col hidden="1" outlineLevel="1" width="28" customWidth="1" min="71" max="71"/>
    <col width="4" customWidth="1" min="72" max="72"/>
    <col hidden="1" outlineLevel="1" width="14" customWidth="1" min="73" max="73"/>
    <col hidden="1" outlineLevel="1" width="14" customWidth="1" min="74" max="74"/>
    <col hidden="1" outlineLevel="1" width="14" customWidth="1" min="75" max="75"/>
    <col hidden="1" outlineLevel="1" width="18" customWidth="1" min="76" max="76"/>
    <col hidden="1" outlineLevel="1" width="16" customWidth="1" min="77" max="77"/>
    <col hidden="1" outlineLevel="1" width="15" customWidth="1" min="78" max="78"/>
    <col hidden="1" outlineLevel="1" width="18" customWidth="1" min="79" max="79"/>
    <col hidden="1" outlineLevel="1" width="16" customWidth="1" min="80" max="80"/>
    <col hidden="1" outlineLevel="1" width="36" customWidth="1" min="81" max="81"/>
    <col hidden="1" outlineLevel="1" width="28" customWidth="1" min="82" max="82"/>
    <col width="4" customWidth="1" min="83" max="83"/>
    <col hidden="1" outlineLevel="1" width="14" customWidth="1" min="84" max="84"/>
    <col hidden="1" outlineLevel="1" width="24" customWidth="1" min="85" max="85"/>
    <col hidden="1" outlineLevel="1" width="15" customWidth="1" min="86" max="86"/>
    <col hidden="1" outlineLevel="1" width="15" customWidth="1" min="87" max="87"/>
    <col hidden="1" outlineLevel="1" width="18" customWidth="1" min="88" max="88"/>
    <col hidden="1" outlineLevel="1" width="14" customWidth="1" min="89" max="89"/>
    <col hidden="1" outlineLevel="1" width="20" customWidth="1" min="90" max="90"/>
    <col hidden="1" outlineLevel="1" width="14" customWidth="1" min="91" max="91"/>
    <col hidden="1" outlineLevel="1" width="14" customWidth="1" min="92" max="92"/>
    <col hidden="1" outlineLevel="1" width="14" customWidth="1" min="93" max="93"/>
    <col hidden="1" outlineLevel="1" width="14" customWidth="1" min="94" max="94"/>
    <col hidden="1" outlineLevel="1" width="15" customWidth="1" min="95" max="95"/>
    <col hidden="1" outlineLevel="1" width="15" customWidth="1" min="96" max="96"/>
    <col hidden="1" outlineLevel="1" width="18" customWidth="1" min="97" max="97"/>
    <col width="4" customWidth="1" min="98" max="98"/>
    <col hidden="1" outlineLevel="1" width="14" customWidth="1" min="99" max="99"/>
    <col hidden="1" outlineLevel="1" width="18" customWidth="1" min="100" max="100"/>
    <col hidden="1" outlineLevel="1" width="16" customWidth="1" min="101" max="101"/>
    <col hidden="1" outlineLevel="1" width="15" customWidth="1" min="102" max="102"/>
    <col hidden="1" outlineLevel="1" width="14" customWidth="1" min="103" max="103"/>
    <col hidden="1" outlineLevel="1" width="18" customWidth="1" min="104" max="104"/>
    <col hidden="1" outlineLevel="1" width="14" customWidth="1" min="105" max="105"/>
    <col hidden="1" outlineLevel="1" width="18" customWidth="1" min="106" max="106"/>
    <col hidden="1" outlineLevel="1" width="18" customWidth="1" min="107" max="107"/>
    <col hidden="1" outlineLevel="1" width="14" customWidth="1" min="108" max="108"/>
    <col hidden="1" outlineLevel="1" width="17" customWidth="1" min="109" max="109"/>
    <col hidden="1" outlineLevel="1" width="14" customWidth="1" min="110" max="110"/>
    <col hidden="1" outlineLevel="1" width="20" customWidth="1" min="111" max="111"/>
    <col hidden="1" outlineLevel="1" width="15" customWidth="1" min="112" max="112"/>
    <col hidden="1" outlineLevel="1" width="19" customWidth="1" min="113" max="113"/>
    <col hidden="1" outlineLevel="1" width="22" customWidth="1" min="114" max="114"/>
    <col hidden="1" outlineLevel="1" width="14" customWidth="1" min="115" max="115"/>
    <col hidden="1" outlineLevel="1" width="14" customWidth="1" min="116" max="116"/>
    <col hidden="1" outlineLevel="1" width="18" customWidth="1" min="117" max="117"/>
    <col hidden="1" outlineLevel="1" width="12" customWidth="1" min="118" max="118"/>
    <col hidden="1" outlineLevel="1" width="14" customWidth="1" min="119" max="119"/>
    <col width="4" customWidth="1" min="120" max="120"/>
    <col hidden="1" outlineLevel="1" width="16" customWidth="1" min="121" max="121"/>
    <col hidden="1" outlineLevel="1" width="19" customWidth="1" min="122" max="122"/>
    <col hidden="1" outlineLevel="1" width="18" customWidth="1" min="123" max="123"/>
    <col hidden="1" outlineLevel="1" width="14" customWidth="1" min="124" max="124"/>
    <col hidden="1" outlineLevel="1" width="18" customWidth="1" min="125" max="125"/>
    <col hidden="1" outlineLevel="1" width="16" customWidth="1" min="126" max="126"/>
    <col hidden="1" outlineLevel="1" width="14" customWidth="1" min="127" max="127"/>
    <col hidden="1" outlineLevel="1" width="14" customWidth="1" min="128" max="128"/>
    <col hidden="1" outlineLevel="1" width="14" customWidth="1" min="129" max="129"/>
    <col hidden="1" outlineLevel="1" width="24" customWidth="1" min="130" max="130"/>
    <col hidden="1" outlineLevel="1" width="14" customWidth="1" min="131" max="131"/>
    <col hidden="1" outlineLevel="1" width="15" customWidth="1" min="132" max="132"/>
    <col hidden="1" outlineLevel="1" width="14" customWidth="1" min="133" max="133"/>
    <col hidden="1" outlineLevel="1" width="14" customWidth="1" min="134" max="134"/>
    <col hidden="1" outlineLevel="1" width="18" customWidth="1" min="135" max="135"/>
    <col hidden="1" outlineLevel="1" width="24" customWidth="1" min="136" max="136"/>
    <col width="4" customWidth="1" min="137" max="137"/>
    <col hidden="1" outlineLevel="1" width="14" customWidth="1" min="138" max="138"/>
    <col hidden="1" outlineLevel="1" width="15" customWidth="1" min="139" max="139"/>
    <col hidden="1" outlineLevel="1" width="15" customWidth="1" min="140" max="140"/>
    <col hidden="1" outlineLevel="1" width="14" customWidth="1" min="141" max="141"/>
    <col hidden="1" outlineLevel="1" width="16" customWidth="1" min="142" max="142"/>
    <col hidden="1" outlineLevel="1" width="15" customWidth="1" min="143" max="143"/>
    <col hidden="1" outlineLevel="1" width="14" customWidth="1" min="144" max="144"/>
    <col hidden="1" outlineLevel="1" width="16" customWidth="1" min="145" max="145"/>
    <col hidden="1" outlineLevel="1" width="16" customWidth="1" min="146" max="146"/>
    <col hidden="1" outlineLevel="1" width="28" customWidth="1" min="147" max="147"/>
    <col hidden="1" outlineLevel="1" width="16" customWidth="1" min="148" max="148"/>
    <col hidden="1" outlineLevel="1" width="16" customWidth="1" min="149" max="149"/>
    <col hidden="1" outlineLevel="1" width="26" customWidth="1" min="150" max="150"/>
    <col hidden="1" outlineLevel="1" width="26" customWidth="1" min="151" max="151"/>
    <col hidden="1" outlineLevel="1" width="16" customWidth="1" min="152" max="152"/>
    <col hidden="1" outlineLevel="1" width="26" customWidth="1" min="153" max="153"/>
    <col hidden="1" outlineLevel="1" width="15" customWidth="1" min="154" max="154"/>
    <col hidden="1" outlineLevel="1" width="14" customWidth="1" min="155" max="155"/>
    <col hidden="1" outlineLevel="1" width="24" customWidth="1" min="156" max="156"/>
    <col hidden="1" outlineLevel="1" width="16" customWidth="1" min="157" max="157"/>
    <col hidden="1" outlineLevel="1" width="16" customWidth="1" min="158" max="158"/>
    <col width="4" customWidth="1" min="159" max="159"/>
    <col hidden="1" outlineLevel="1" width="16" customWidth="1" min="160" max="160"/>
    <col hidden="1" outlineLevel="1" width="16" customWidth="1" min="161" max="161"/>
    <col hidden="1" outlineLevel="1" width="16" customWidth="1" min="162" max="162"/>
    <col hidden="1" outlineLevel="1" width="16" customWidth="1" min="163" max="163"/>
    <col hidden="1" outlineLevel="1" width="16" customWidth="1" min="164" max="164"/>
    <col hidden="1" outlineLevel="1" width="16" customWidth="1" min="165" max="165"/>
    <col hidden="1" outlineLevel="1" width="16" customWidth="1" min="166" max="166"/>
    <col hidden="1" outlineLevel="1" width="16" customWidth="1" min="167" max="167"/>
    <col hidden="1" outlineLevel="1" width="16" customWidth="1" min="168" max="168"/>
    <col hidden="1" outlineLevel="1" width="16" customWidth="1" min="169" max="169"/>
    <col hidden="1" outlineLevel="1" width="18" customWidth="1" min="170" max="170"/>
    <col hidden="1" width="14" customWidth="1" min="171" max="171"/>
    <col hidden="1" width="14" customWidth="1" min="172" max="172"/>
    <col hidden="1" width="14" customWidth="1" min="173" max="173"/>
    <col hidden="1" width="14" customWidth="1" min="174" max="174"/>
    <col hidden="1" width="14" customWidth="1" min="175" max="175"/>
    <col hidden="1" width="14" customWidth="1" min="176" max="176"/>
    <col hidden="1" width="14" customWidth="1" min="177" max="177"/>
    <col hidden="1" width="14" customWidth="1" min="178" max="178"/>
    <col hidden="1" width="14" customWidth="1" min="179" max="179"/>
    <col hidden="1" width="14" customWidth="1" min="180" max="180"/>
    <col hidden="1" width="14" customWidth="1" min="181" max="181"/>
    <col hidden="1" width="14" customWidth="1" min="182" max="182"/>
    <col hidden="1" width="14" customWidth="1" min="183" max="183"/>
    <col hidden="1" width="14" customWidth="1" min="184" max="184"/>
    <col hidden="1" width="14" customWidth="1" min="185" max="185"/>
    <col hidden="1" width="14" customWidth="1" min="186" max="186"/>
    <col hidden="1" width="14" customWidth="1" min="187" max="187"/>
    <col hidden="1" width="14" customWidth="1" min="188" max="188"/>
    <col hidden="1" width="14" customWidth="1" min="189" max="189"/>
  </cols>
  <sheetData>
    <row r="1" ht="34" customHeight="1">
      <c r="A1" s="1" t="inlineStr">
        <is>
          <t>ÇEVRE DANIŞMANLIĞI  ·  FİRMA TAKİP PANELİ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36" customHeight="1">
      <c r="A2" s="3" t="inlineStr">
        <is>
          <t>Bugün</t>
        </is>
      </c>
      <c r="B2" s="4">
        <f>TODAY()</f>
        <v/>
      </c>
      <c r="C2" s="5">
        <f>COUNTIF(C5:C44,"&gt;0")</f>
        <v/>
      </c>
      <c r="D2" s="6" t="inlineStr">
        <is>
          <t>firmada açık uyarı</t>
        </is>
      </c>
      <c r="E2" s="7">
        <f>COUNTIF(H5:H44,"Aktif")</f>
        <v/>
      </c>
      <c r="F2" s="8" t="inlineStr">
        <is>
          <t>aktif dosya</t>
        </is>
      </c>
      <c r="G2" s="9" t="inlineStr">
        <is>
          <t>Her satır bir firmadır. Sağdaki renkli şeritler kapalı bölümdür; üstteki + ile açılır. Mavi sütunlar otomatiktir. En yakın iş, süresi geçen tarihleri öne alır. Sözleşme 60 gün, çevre izni 180 gün, iç tetkik ve eğitim 1 ay, sıfır atık ve atık planı 3 ay, emisyon 45 gün kala uyarır.</t>
        </is>
      </c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</row>
    <row r="3" ht="18" customHeight="1">
      <c r="A3" s="11" t="inlineStr">
        <is>
          <t>Günlük görünüm sabit kalsın diye No'dan Kalan gün'e kadar donduruludur. Yeni firma için alttaki boş satıra yazın; formül bitince satırı kopyalayın.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</row>
    <row r="4" ht="48" customHeight="1">
      <c r="A4" s="13" t="inlineStr">
        <is>
          <t>No</t>
        </is>
      </c>
      <c r="B4" s="13" t="inlineStr">
        <is>
          <t>Firma / tesis adı</t>
        </is>
      </c>
      <c r="C4" s="14" t="inlineStr">
        <is>
          <t>Aktif uyarı</t>
        </is>
      </c>
      <c r="D4" s="14" t="inlineStr">
        <is>
          <t>En yakın iş</t>
        </is>
      </c>
      <c r="E4" s="14" t="inlineStr">
        <is>
          <t>En yakın tarih</t>
        </is>
      </c>
      <c r="F4" s="14" t="inlineStr">
        <is>
          <t>Kalan gün</t>
        </is>
      </c>
      <c r="G4" s="13" t="inlineStr">
        <is>
          <t>Öncelik</t>
        </is>
      </c>
      <c r="H4" s="13" t="inlineStr">
        <is>
          <t>Dosya durumu</t>
        </is>
      </c>
      <c r="I4" s="13" t="inlineStr">
        <is>
          <t>İl</t>
        </is>
      </c>
      <c r="J4" s="13" t="inlineStr">
        <is>
          <t>İlçe</t>
        </is>
      </c>
      <c r="K4" s="13" t="inlineStr">
        <is>
          <t>Firma yetkilisi</t>
        </is>
      </c>
      <c r="L4" s="13" t="inlineStr">
        <is>
          <t>Yetkili telefon</t>
        </is>
      </c>
      <c r="M4" s="13" t="inlineStr">
        <is>
          <t>Yetkili e-posta</t>
        </is>
      </c>
      <c r="N4" s="13" t="inlineStr">
        <is>
          <t>Bizim danışman</t>
        </is>
      </c>
      <c r="O4" s="13" t="inlineStr">
        <is>
          <t>Öncelikli not</t>
        </is>
      </c>
      <c r="P4" s="14" t="inlineStr">
        <is>
          <t>Sözleşme</t>
        </is>
      </c>
      <c r="Q4" s="14" t="inlineStr">
        <is>
          <t>İç tetkik</t>
        </is>
      </c>
      <c r="R4" s="14" t="inlineStr">
        <is>
          <t>Çevre eğitimi</t>
        </is>
      </c>
      <c r="S4" s="14" t="inlineStr">
        <is>
          <t>Sıfır Atık</t>
        </is>
      </c>
      <c r="T4" s="14" t="inlineStr">
        <is>
          <t>Atık planı</t>
        </is>
      </c>
      <c r="U4" s="14" t="inlineStr">
        <is>
          <t>Emisyon</t>
        </is>
      </c>
      <c r="V4" s="14" t="inlineStr">
        <is>
          <t>Çevre izni</t>
        </is>
      </c>
      <c r="W4" s="15" t="inlineStr">
        <is>
          <t>Kimlik</t>
        </is>
      </c>
      <c r="X4" s="16" t="inlineStr">
        <is>
          <t>Ticari unvan</t>
        </is>
      </c>
      <c r="Y4" s="16" t="inlineStr">
        <is>
          <t>Tesis adresi</t>
        </is>
      </c>
      <c r="Z4" s="16" t="inlineStr">
        <is>
          <t>Faaliyet konusu</t>
        </is>
      </c>
      <c r="AA4" s="16" t="inlineStr">
        <is>
          <t>NACE kodu</t>
        </is>
      </c>
      <c r="AB4" s="16" t="inlineStr">
        <is>
          <t>Vergi dairesi</t>
        </is>
      </c>
      <c r="AC4" s="16" t="inlineStr">
        <is>
          <t>Vergi numarası</t>
        </is>
      </c>
      <c r="AD4" s="16" t="inlineStr">
        <is>
          <t>MERSİS numarası</t>
        </is>
      </c>
      <c r="AE4" s="16" t="inlineStr">
        <is>
          <t>ÇKN numarası</t>
        </is>
      </c>
      <c r="AF4" s="16" t="inlineStr">
        <is>
          <t>Mülkiyet (kira / tapu)</t>
        </is>
      </c>
      <c r="AG4" s="16" t="inlineStr">
        <is>
          <t>Kira / tapu belgesi</t>
        </is>
      </c>
      <c r="AH4" s="16" t="inlineStr">
        <is>
          <t>Yetkili unvanı</t>
        </is>
      </c>
      <c r="AI4" s="16" t="inlineStr">
        <is>
          <t>Tesis telefon</t>
        </is>
      </c>
      <c r="AJ4" s="16" t="inlineStr">
        <is>
          <t>Tesis e-posta</t>
        </is>
      </c>
      <c r="AK4" s="16" t="inlineStr">
        <is>
          <t>Sözleşme başlangıç</t>
        </is>
      </c>
      <c r="AL4" s="16" t="inlineStr">
        <is>
          <t>Sözleşme bitiş</t>
        </is>
      </c>
      <c r="AM4" s="16" t="inlineStr">
        <is>
          <t>Ziyaret sıklığı</t>
        </is>
      </c>
      <c r="AN4" s="16" t="inlineStr">
        <is>
          <t>İrtibat / özel not</t>
        </is>
      </c>
      <c r="AO4" s="17" t="inlineStr">
        <is>
          <t>Belge</t>
        </is>
      </c>
      <c r="AP4" s="18" t="inlineStr">
        <is>
          <t>İş akım şeması</t>
        </is>
      </c>
      <c r="AQ4" s="18" t="inlineStr">
        <is>
          <t>İş akım şeması güncel mi</t>
        </is>
      </c>
      <c r="AR4" s="18" t="inlineStr">
        <is>
          <t>Vaziyet planı</t>
        </is>
      </c>
      <c r="AS4" s="18" t="inlineStr">
        <is>
          <t>Vaziyet planı güncel mi</t>
        </is>
      </c>
      <c r="AT4" s="18" t="inlineStr">
        <is>
          <t>Kapasite raporu</t>
        </is>
      </c>
      <c r="AU4" s="18" t="inlineStr">
        <is>
          <t>Proses / ekipman listesi</t>
        </is>
      </c>
      <c r="AV4" s="18" t="inlineStr">
        <is>
          <t>Tapu / kira belgesi güncel mi</t>
        </is>
      </c>
      <c r="AW4" s="18" t="inlineStr">
        <is>
          <t>Faaliyet değişikliği</t>
        </is>
      </c>
      <c r="AX4" s="19" t="inlineStr">
        <is>
          <t>İzin</t>
        </is>
      </c>
      <c r="AY4" s="20" t="inlineStr">
        <is>
          <t>ÇED görüşü / kararı</t>
        </is>
      </c>
      <c r="AZ4" s="20" t="inlineStr">
        <is>
          <t>ÇED kararı türü</t>
        </is>
      </c>
      <c r="BA4" s="20" t="inlineStr">
        <is>
          <t>ÇED görüş / karar tarihi</t>
        </is>
      </c>
      <c r="BB4" s="20" t="inlineStr">
        <is>
          <t>ÇED karar sayısı</t>
        </is>
      </c>
      <c r="BC4" s="20" t="inlineStr">
        <is>
          <t>ÇED kapsamı (Ek-1 / Ek-2)</t>
        </is>
      </c>
      <c r="BD4" s="20" t="inlineStr">
        <is>
          <t>ÇED taahhüt uygunluğu</t>
        </is>
      </c>
      <c r="BE4" s="20" t="inlineStr">
        <is>
          <t>ÇED kapsamında değişiklik</t>
        </is>
      </c>
      <c r="BF4" s="20" t="inlineStr">
        <is>
          <t>Kapasite artışı / proses planı</t>
        </is>
      </c>
      <c r="BG4" s="20" t="inlineStr">
        <is>
          <t>Çevre izin görüşü</t>
        </is>
      </c>
      <c r="BH4" s="20" t="inlineStr">
        <is>
          <t>Çevre izin görüş tarihi</t>
        </is>
      </c>
      <c r="BI4" s="20" t="inlineStr">
        <is>
          <t>İzin yönetmeliği kapsamı</t>
        </is>
      </c>
      <c r="BJ4" s="20" t="inlineStr">
        <is>
          <t>Çevre izin/lisans belgesi</t>
        </is>
      </c>
      <c r="BK4" s="20" t="inlineStr">
        <is>
          <t>Çevre izin belge no</t>
        </is>
      </c>
      <c r="BL4" s="20" t="inlineStr">
        <is>
          <t>Çevre izin kapsamı</t>
        </is>
      </c>
      <c r="BM4" s="20" t="inlineStr">
        <is>
          <t>Çevre izin bitiş</t>
        </is>
      </c>
      <c r="BN4" s="20" t="inlineStr">
        <is>
          <t>İzin yenileme takibi</t>
        </is>
      </c>
      <c r="BO4" s="20" t="inlineStr">
        <is>
          <t>İzin yenileme başvuru tarihi</t>
        </is>
      </c>
      <c r="BP4" s="20" t="inlineStr">
        <is>
          <t>Geçici faaliyet belgesi</t>
        </is>
      </c>
      <c r="BQ4" s="20" t="inlineStr">
        <is>
          <t>GFB sayı</t>
        </is>
      </c>
      <c r="BR4" s="20" t="inlineStr">
        <is>
          <t>GFB bitiş</t>
        </is>
      </c>
      <c r="BS4" s="20" t="inlineStr">
        <is>
          <t>Bekleyen kurum görüşü</t>
        </is>
      </c>
      <c r="BT4" s="21" t="inlineStr">
        <is>
          <t>Hava</t>
        </is>
      </c>
      <c r="BU4" s="22" t="inlineStr">
        <is>
          <t>Emisyon bacası</t>
        </is>
      </c>
      <c r="BV4" s="22" t="inlineStr">
        <is>
          <t>Ölçüme tabi baca sayısı</t>
        </is>
      </c>
      <c r="BW4" s="22" t="inlineStr">
        <is>
          <t>Son emisyon ölçümü</t>
        </is>
      </c>
      <c r="BX4" s="22" t="inlineStr">
        <is>
          <t>Sonraki emisyon ölçümü (elle)</t>
        </is>
      </c>
      <c r="BY4" s="22" t="inlineStr">
        <is>
          <t>Emisyon raporu uygun mu</t>
        </is>
      </c>
      <c r="BZ4" s="22" t="inlineStr">
        <is>
          <t>Baca listesi güncel mi</t>
        </is>
      </c>
      <c r="CA4" s="22" t="inlineStr">
        <is>
          <t>Baca / proses değişikliği</t>
        </is>
      </c>
      <c r="CB4" s="22" t="inlineStr">
        <is>
          <t>Sürekli emisyon sistemi</t>
        </is>
      </c>
      <c r="CC4" s="22" t="inlineStr">
        <is>
          <t>Baca ölçüm notu</t>
        </is>
      </c>
      <c r="CD4" s="22" t="inlineStr">
        <is>
          <t>Emisyon uygunsuzluğu</t>
        </is>
      </c>
      <c r="CE4" s="23" t="inlineStr">
        <is>
          <t>Su</t>
        </is>
      </c>
      <c r="CF4" s="24" t="inlineStr">
        <is>
          <t>Atıksu oluşuyor mu</t>
        </is>
      </c>
      <c r="CG4" s="24" t="inlineStr">
        <is>
          <t>Deşarj noktası / alıcı ortam</t>
        </is>
      </c>
      <c r="CH4" s="24" t="inlineStr">
        <is>
          <t>Deşarj noktası sayısı</t>
        </is>
      </c>
      <c r="CI4" s="24" t="inlineStr">
        <is>
          <t>Kanal bağlantı belgesi</t>
        </is>
      </c>
      <c r="CJ4" s="24" t="inlineStr">
        <is>
          <t>Kanal bağlantı belge no</t>
        </is>
      </c>
      <c r="CK4" s="24" t="inlineStr">
        <is>
          <t>Kanal belgesi bitiş</t>
        </is>
      </c>
      <c r="CL4" s="24" t="inlineStr">
        <is>
          <t>Deşarj / kalite kontrol izni</t>
        </is>
      </c>
      <c r="CM4" s="24" t="inlineStr">
        <is>
          <t>Deşarj izni bitiş</t>
        </is>
      </c>
      <c r="CN4" s="24" t="inlineStr">
        <is>
          <t>Atıksu arıtma tesisi</t>
        </is>
      </c>
      <c r="CO4" s="24" t="inlineStr">
        <is>
          <t>AAT kimlik belgesi</t>
        </is>
      </c>
      <c r="CP4" s="24" t="inlineStr">
        <is>
          <t>Son atıksu analiz</t>
        </is>
      </c>
      <c r="CQ4" s="24" t="inlineStr">
        <is>
          <t>Sonraki atıksu analiz</t>
        </is>
      </c>
      <c r="CR4" s="24" t="inlineStr">
        <is>
          <t>Arıtma çamuru yönetimi</t>
        </is>
      </c>
      <c r="CS4" s="24" t="inlineStr">
        <is>
          <t>Yağmur suyu / atıksu hattı</t>
        </is>
      </c>
      <c r="CT4" s="25" t="inlineStr">
        <is>
          <t>Atık</t>
        </is>
      </c>
      <c r="CU4" s="26" t="inlineStr">
        <is>
          <t>Sıfır Atık belgesi</t>
        </is>
      </c>
      <c r="CV4" s="26" t="inlineStr">
        <is>
          <t>Sıfır Atık belge no</t>
        </is>
      </c>
      <c r="CW4" s="26" t="inlineStr">
        <is>
          <t>Sıfır Atık belge tarihi</t>
        </is>
      </c>
      <c r="CX4" s="26" t="inlineStr">
        <is>
          <t>Sıfır Atık geçerlilik</t>
        </is>
      </c>
      <c r="CY4" s="26" t="inlineStr">
        <is>
          <t>Atık alanı</t>
        </is>
      </c>
      <c r="CZ4" s="26" t="inlineStr">
        <is>
          <t>Tehlikeli atık geçici depolama</t>
        </is>
      </c>
      <c r="DA4" s="26" t="inlineStr">
        <is>
          <t>Atık alanı uygun mu</t>
        </is>
      </c>
      <c r="DB4" s="26" t="inlineStr">
        <is>
          <t>Atık alanı zemin sızdırmazlığı</t>
        </is>
      </c>
      <c r="DC4" s="26" t="inlineStr">
        <is>
          <t>Atık alanı levha / etiket</t>
        </is>
      </c>
      <c r="DD4" s="26" t="inlineStr">
        <is>
          <t>Sıfır atık kutuları</t>
        </is>
      </c>
      <c r="DE4" s="26" t="inlineStr">
        <is>
          <t>Kutu etiketleri uygun mu</t>
        </is>
      </c>
      <c r="DF4" s="26" t="inlineStr">
        <is>
          <t>Atık yönetim planı</t>
        </is>
      </c>
      <c r="DG4" s="26" t="inlineStr">
        <is>
          <t>Atık yönetim planı güncel mi</t>
        </is>
      </c>
      <c r="DH4" s="26" t="inlineStr">
        <is>
          <t>Atık planı onay tarihi</t>
        </is>
      </c>
      <c r="DI4" s="26" t="inlineStr">
        <is>
          <t>Atık sözleşmeleri güncel mi</t>
        </is>
      </c>
      <c r="DJ4" s="26" t="inlineStr">
        <is>
          <t>Taşıma / bertaraf sözleşmeleri ayrı kontrol</t>
        </is>
      </c>
      <c r="DK4" s="26" t="inlineStr">
        <is>
          <t>MOTAT / atık sevki</t>
        </is>
      </c>
      <c r="DL4" s="26" t="inlineStr">
        <is>
          <t>Son MOTAT sevkiyat</t>
        </is>
      </c>
      <c r="DM4" s="26" t="inlineStr">
        <is>
          <t>Yıllık atık beyanı (TABS)</t>
        </is>
      </c>
      <c r="DN4" s="26" t="inlineStr">
        <is>
          <t>Son atık beyan yılı</t>
        </is>
      </c>
      <c r="DO4" s="26" t="inlineStr">
        <is>
          <t>TABS kontrol tarihi</t>
        </is>
      </c>
      <c r="DP4" s="27" t="inlineStr">
        <is>
          <t>Diğer</t>
        </is>
      </c>
      <c r="DQ4" s="28" t="inlineStr">
        <is>
          <t>Kirlenmiş sahalar kaydı</t>
        </is>
      </c>
      <c r="DR4" s="28" t="inlineStr">
        <is>
          <t>Kirlenmiş sahalar bildirimi</t>
        </is>
      </c>
      <c r="DS4" s="28" t="inlineStr">
        <is>
          <t>Kirlenmiş sahalar son bildirim</t>
        </is>
      </c>
      <c r="DT4" s="28" t="inlineStr">
        <is>
          <t>Kimyasal depolama</t>
        </is>
      </c>
      <c r="DU4" s="28" t="inlineStr">
        <is>
          <t>Dökülme müdahale ekipmanı</t>
        </is>
      </c>
      <c r="DV4" s="28" t="inlineStr">
        <is>
          <t>Gürültü değerlendirmesi</t>
        </is>
      </c>
      <c r="DW4" s="28" t="inlineStr">
        <is>
          <t>Gürültü ölçüm raporu</t>
        </is>
      </c>
      <c r="DX4" s="28" t="inlineStr">
        <is>
          <t>GEKAP yükümlülüğü</t>
        </is>
      </c>
      <c r="DY4" s="28" t="inlineStr">
        <is>
          <t>Son GEKAP dönemi</t>
        </is>
      </c>
      <c r="DZ4" s="28" t="inlineStr">
        <is>
          <t>Diğer beyan / bildirim</t>
        </is>
      </c>
      <c r="EA4" s="28" t="inlineStr">
        <is>
          <t>BEKRA kapsamı</t>
        </is>
      </c>
      <c r="EB4" s="28" t="inlineStr">
        <is>
          <t>BEKRA kuruluş seviyesi</t>
        </is>
      </c>
      <c r="EC4" s="28" t="inlineStr">
        <is>
          <t>BEKRA bildirimi</t>
        </is>
      </c>
      <c r="ED4" s="28" t="inlineStr">
        <is>
          <t>Son BEKRA bildirimi</t>
        </is>
      </c>
      <c r="EE4" s="28" t="inlineStr">
        <is>
          <t>BEKRA bildirimi güncel mi</t>
        </is>
      </c>
      <c r="EF4" s="28" t="inlineStr">
        <is>
          <t>BEKRA notu</t>
        </is>
      </c>
      <c r="EG4" s="29" t="inlineStr">
        <is>
          <t>Denetim</t>
        </is>
      </c>
      <c r="EH4" s="30" t="inlineStr">
        <is>
          <t>Son saha ziyareti</t>
        </is>
      </c>
      <c r="EI4" s="30" t="inlineStr">
        <is>
          <t>Sonraki saha ziyareti</t>
        </is>
      </c>
      <c r="EJ4" s="30" t="inlineStr">
        <is>
          <t>Saha ziyaret tutanağı</t>
        </is>
      </c>
      <c r="EK4" s="30" t="inlineStr">
        <is>
          <t>Son iç tetkik</t>
        </is>
      </c>
      <c r="EL4" s="30" t="inlineStr">
        <is>
          <t>Sonraki iç tetkik (elle)</t>
        </is>
      </c>
      <c r="EM4" s="30" t="inlineStr">
        <is>
          <t>İç tetkik uygunsuzluğu</t>
        </is>
      </c>
      <c r="EN4" s="30" t="inlineStr">
        <is>
          <t>Son çevre eğitimi</t>
        </is>
      </c>
      <c r="EO4" s="30" t="inlineStr">
        <is>
          <t>Sonraki çevre eğitimi (elle)</t>
        </is>
      </c>
      <c r="EP4" s="30" t="inlineStr">
        <is>
          <t>Eğitim katılım tutanağı</t>
        </is>
      </c>
      <c r="EQ4" s="30" t="inlineStr">
        <is>
          <t>Açık uygunsuzluk / eksik evrak</t>
        </is>
      </c>
      <c r="ER4" s="30" t="inlineStr">
        <is>
          <t>Açık uygunsuzluk sayısı</t>
        </is>
      </c>
      <c r="ES4" s="30" t="inlineStr">
        <is>
          <t>Uygunsuzluk kapanış hedefi</t>
        </is>
      </c>
      <c r="ET4" s="30" t="inlineStr">
        <is>
          <t>Firmadan beklenen</t>
        </is>
      </c>
      <c r="EU4" s="30" t="inlineStr">
        <is>
          <t>Danışmanın yapacağı iş</t>
        </is>
      </c>
      <c r="EV4" s="30" t="inlineStr">
        <is>
          <t>Son il müdürlüğü denetimi</t>
        </is>
      </c>
      <c r="EW4" s="30" t="inlineStr">
        <is>
          <t>Denetim sonrası eksikler</t>
        </is>
      </c>
      <c r="EX4" s="30" t="inlineStr">
        <is>
          <t>İdari yaptırım / ceza</t>
        </is>
      </c>
      <c r="EY4" s="30" t="inlineStr">
        <is>
          <t>Çevresel şikâyet</t>
        </is>
      </c>
      <c r="EZ4" s="30" t="inlineStr">
        <is>
          <t>Resmî yazışma konusu</t>
        </is>
      </c>
      <c r="FA4" s="30" t="inlineStr">
        <is>
          <t>Resmî yazı cevap son tarihi</t>
        </is>
      </c>
      <c r="FB4" s="30" t="inlineStr">
        <is>
          <t>Öncelikli işlem son tarihi</t>
        </is>
      </c>
      <c r="FC4" s="31" t="inlineStr">
        <is>
          <t>Takvim</t>
        </is>
      </c>
      <c r="FD4" s="14" t="inlineStr">
        <is>
          <t>İç tetkik sonraki (+1 yıl)</t>
        </is>
      </c>
      <c r="FE4" s="14" t="inlineStr">
        <is>
          <t>İç tetkik uyarı başlangıcı</t>
        </is>
      </c>
      <c r="FF4" s="14" t="inlineStr">
        <is>
          <t>Eğitim sonraki (+1 yıl)</t>
        </is>
      </c>
      <c r="FG4" s="14" t="inlineStr">
        <is>
          <t>Eğitim uyarı başlangıcı</t>
        </is>
      </c>
      <c r="FH4" s="14" t="inlineStr">
        <is>
          <t>Sıfır Atık bitiş (+5 yıl)</t>
        </is>
      </c>
      <c r="FI4" s="14" t="inlineStr">
        <is>
          <t>Sıfır Atık başvuru (3 ay önce)</t>
        </is>
      </c>
      <c r="FJ4" s="14" t="inlineStr">
        <is>
          <t>Atık planı bitiş (+3 yıl)</t>
        </is>
      </c>
      <c r="FK4" s="14" t="inlineStr">
        <is>
          <t>Atık planı başvuru (3 ay önce)</t>
        </is>
      </c>
      <c r="FL4" s="14" t="inlineStr">
        <is>
          <t>Emisyon teyidi (+2 yıl)</t>
        </is>
      </c>
      <c r="FM4" s="14" t="inlineStr">
        <is>
          <t>Emisyon başvuru (45 gün önce)</t>
        </is>
      </c>
      <c r="FN4" s="14" t="inlineStr">
        <is>
          <t>İzin başvuru son (180 gün önce)</t>
        </is>
      </c>
      <c r="FO4" s="14" t="inlineStr">
        <is>
          <t>Çevre izni bitiş</t>
        </is>
      </c>
      <c r="FP4" s="14" t="inlineStr">
        <is>
          <t>Çevre izni başvurusu</t>
        </is>
      </c>
      <c r="FQ4" s="14" t="inlineStr">
        <is>
          <t>GFB bitiş</t>
        </is>
      </c>
      <c r="FR4" s="14" t="inlineStr">
        <is>
          <t>Sözleşme bitiş</t>
        </is>
      </c>
      <c r="FS4" s="14" t="inlineStr">
        <is>
          <t>Sıfır Atık bitiş</t>
        </is>
      </c>
      <c r="FT4" s="14" t="inlineStr">
        <is>
          <t>Atık planı bitiş</t>
        </is>
      </c>
      <c r="FU4" s="14" t="inlineStr">
        <is>
          <t>Emisyon teyidi</t>
        </is>
      </c>
      <c r="FV4" s="14" t="inlineStr">
        <is>
          <t>Emisyon ölçümü</t>
        </is>
      </c>
      <c r="FW4" s="14" t="inlineStr">
        <is>
          <t>İç tetkik</t>
        </is>
      </c>
      <c r="FX4" s="14" t="inlineStr">
        <is>
          <t>İç tetkik planı</t>
        </is>
      </c>
      <c r="FY4" s="14" t="inlineStr">
        <is>
          <t>Çevre eğitimi</t>
        </is>
      </c>
      <c r="FZ4" s="14" t="inlineStr">
        <is>
          <t>Eğitim planı</t>
        </is>
      </c>
      <c r="GA4" s="14" t="inlineStr">
        <is>
          <t>Kanal belgesi bitiş</t>
        </is>
      </c>
      <c r="GB4" s="14" t="inlineStr">
        <is>
          <t>Deşarj izni bitiş</t>
        </is>
      </c>
      <c r="GC4" s="14" t="inlineStr">
        <is>
          <t>Atıksu analizi</t>
        </is>
      </c>
      <c r="GD4" s="14" t="inlineStr">
        <is>
          <t>Saha ziyareti</t>
        </is>
      </c>
      <c r="GE4" s="14" t="inlineStr">
        <is>
          <t>Resmî yazı cevabı</t>
        </is>
      </c>
      <c r="GF4" s="14" t="inlineStr">
        <is>
          <t>Uygunsuzluk kapanışı</t>
        </is>
      </c>
      <c r="GG4" s="14" t="inlineStr">
        <is>
          <t>Öncelikli işlem</t>
        </is>
      </c>
    </row>
    <row r="5" ht="22" customHeight="1">
      <c r="A5" s="32" t="n">
        <v>1</v>
      </c>
      <c r="B5" s="33" t="n"/>
      <c r="C5" s="34">
        <f>IF(B5="","",((P5="Süresi geçti")+(P5="Yaklaşıyor")+(P5="Tarih hatalı"))+((Q5="Süresi geçti")+(Q5="Yaklaşıyor")+(Q5="Tarih hatalı"))+((R5="Süresi geçti")+(R5="Yaklaşıyor")+(R5="Tarih hatalı"))+((S5="Süresi geçti")+(S5="Yaklaşıyor")+(S5="Tarih hatalı"))+((T5="Süresi geçti")+(T5="Yaklaşıyor")+(T5="Tarih hatalı"))+((U5="Süresi geçti")+(U5="Yaklaşıyor")+(U5="Tarih hatalı"))+((V5="Süresi geçti")+(V5="Yaklaşıyor")+(V5="Tarih hatalı")))</f>
        <v/>
      </c>
      <c r="D5" s="35">
        <f>IF(OR(B5="",E5=""),"",INDEX($FO$4:$GG$4,1,MATCH(E5,FO5:GG5,0)))</f>
        <v/>
      </c>
      <c r="E5" s="36">
        <f>IF(B5="","",IF(COUNT(FO5:GG5)=0,"",SMALL(FO5:GG5,1)))</f>
        <v/>
      </c>
      <c r="F5" s="34">
        <f>IF(E5="","",E5-TODAY())</f>
        <v/>
      </c>
      <c r="G5" s="37" t="n"/>
      <c r="H5" s="37" t="n"/>
      <c r="I5" s="37" t="n"/>
      <c r="J5" s="37" t="n"/>
      <c r="K5" s="37" t="n"/>
      <c r="L5" s="38" t="n"/>
      <c r="M5" s="37" t="n"/>
      <c r="N5" s="37" t="n"/>
      <c r="O5" s="39" t="n"/>
      <c r="P5" s="35">
        <f>IF(B5="","",IF(NOT(ISNUMBER(AL5)),"Tarih girilmedi",IFERROR(IF(TODAY()&gt;AL5,"Süresi geçti",IF(TODAY()&gt;=(AL5-60),"Yaklaşıyor","Takipte")),"Tarih hatalı")))</f>
        <v/>
      </c>
      <c r="Q5" s="35">
        <f>IF(B5="","",IF(NOT(ISNUMBER(EK5)),"Tarih girilmedi",IFERROR(IF(TODAY()&gt;EDATE(EK5,12),"Süresi geçti",IF(TODAY()&gt;=EDATE(EK5,11),"Yaklaşıyor","Takipte")),"Tarih hatalı")))</f>
        <v/>
      </c>
      <c r="R5" s="35">
        <f>IF(B5="","",IF(NOT(ISNUMBER(EN5)),"Tarih girilmedi",IFERROR(IF(TODAY()&gt;EDATE(EN5,12),"Süresi geçti",IF(TODAY()&gt;=EDATE(EN5,11),"Yaklaşıyor","Takipte")),"Tarih hatalı")))</f>
        <v/>
      </c>
      <c r="S5" s="35">
        <f>IF(B5="","",IF(NOT(ISNUMBER(CW5)),"Tarih girilmedi",IFERROR(IF(TODAY()&gt;EDATE(CW5,60),"Süresi geçti",IF(TODAY()&gt;=EDATE(CW5,57),"Yaklaşıyor","Takipte")),"Tarih hatalı")))</f>
        <v/>
      </c>
      <c r="T5" s="35">
        <f>IF(B5="","",IF(NOT(ISNUMBER(DH5)),"Tarih girilmedi",IFERROR(IF(TODAY()&gt;EDATE(DH5,36),"Süresi geçti",IF(TODAY()&gt;=EDATE(DH5,33),"Yaklaşıyor","Takipte")),"Tarih hatalı")))</f>
        <v/>
      </c>
      <c r="U5" s="35">
        <f>IF(B5="","",IF(NOT(ISNUMBER(BW5)),"Tarih girilmedi",IFERROR(IF(TODAY()&gt;EDATE(BW5,24),"Süresi geçti",IF(TODAY()&gt;=(EDATE(BW5,24)-45),"Yaklaşıyor","Takipte")),"Tarih hatalı")))</f>
        <v/>
      </c>
      <c r="V5" s="35">
        <f>IF(B5="","",IF(NOT(ISNUMBER(BM5)),"Tarih girilmedi",IFERROR(IF(TODAY()&gt;BM5,"Süresi geçti",IF(TODAY()&gt;=(BM5-180),"Yaklaşıyor","Takipte")),"Tarih hatalı")))</f>
        <v/>
      </c>
      <c r="W5" s="40" t="n"/>
      <c r="X5" s="37" t="n"/>
      <c r="Y5" s="39" t="n"/>
      <c r="Z5" s="37" t="n"/>
      <c r="AA5" s="37" t="n"/>
      <c r="AB5" s="37" t="n"/>
      <c r="AC5" s="38" t="n"/>
      <c r="AD5" s="38" t="n"/>
      <c r="AE5" s="38" t="n"/>
      <c r="AF5" s="37" t="n"/>
      <c r="AG5" s="37" t="n"/>
      <c r="AH5" s="37" t="n"/>
      <c r="AI5" s="38" t="n"/>
      <c r="AJ5" s="37" t="n"/>
      <c r="AK5" s="41" t="n"/>
      <c r="AL5" s="41" t="n"/>
      <c r="AM5" s="37" t="n"/>
      <c r="AN5" s="39" t="n"/>
      <c r="AO5" s="42" t="n"/>
      <c r="AP5" s="37" t="n"/>
      <c r="AQ5" s="37" t="n"/>
      <c r="AR5" s="37" t="n"/>
      <c r="AS5" s="37" t="n"/>
      <c r="AT5" s="37" t="n"/>
      <c r="AU5" s="37" t="n"/>
      <c r="AV5" s="37" t="n"/>
      <c r="AW5" s="37" t="n"/>
      <c r="AX5" s="43" t="n"/>
      <c r="AY5" s="37" t="n"/>
      <c r="AZ5" s="37" t="n"/>
      <c r="BA5" s="41" t="n"/>
      <c r="BB5" s="37" t="n"/>
      <c r="BC5" s="37" t="n"/>
      <c r="BD5" s="37" t="n"/>
      <c r="BE5" s="37" t="n"/>
      <c r="BF5" s="37" t="n"/>
      <c r="BG5" s="37" t="n"/>
      <c r="BH5" s="41" t="n"/>
      <c r="BI5" s="37" t="n"/>
      <c r="BJ5" s="37" t="n"/>
      <c r="BK5" s="38" t="n"/>
      <c r="BL5" s="37" t="n"/>
      <c r="BM5" s="41" t="n"/>
      <c r="BN5" s="37" t="n"/>
      <c r="BO5" s="41" t="n"/>
      <c r="BP5" s="37" t="n"/>
      <c r="BQ5" s="37" t="n"/>
      <c r="BR5" s="41" t="n"/>
      <c r="BS5" s="39" t="n"/>
      <c r="BT5" s="44" t="n"/>
      <c r="BU5" s="37" t="n"/>
      <c r="BV5" s="45" t="n"/>
      <c r="BW5" s="41" t="n"/>
      <c r="BX5" s="41" t="n"/>
      <c r="BY5" s="37" t="n"/>
      <c r="BZ5" s="37" t="n"/>
      <c r="CA5" s="37" t="n"/>
      <c r="CB5" s="37" t="n"/>
      <c r="CC5" s="39" t="n"/>
      <c r="CD5" s="39" t="n"/>
      <c r="CE5" s="46" t="n"/>
      <c r="CF5" s="37" t="n"/>
      <c r="CG5" s="37" t="n"/>
      <c r="CH5" s="45" t="n"/>
      <c r="CI5" s="37" t="n"/>
      <c r="CJ5" s="38" t="n"/>
      <c r="CK5" s="41" t="n"/>
      <c r="CL5" s="37" t="n"/>
      <c r="CM5" s="41" t="n"/>
      <c r="CN5" s="37" t="n"/>
      <c r="CO5" s="37" t="n"/>
      <c r="CP5" s="41" t="n"/>
      <c r="CQ5" s="41" t="n"/>
      <c r="CR5" s="37" t="n"/>
      <c r="CS5" s="37" t="n"/>
      <c r="CT5" s="47" t="n"/>
      <c r="CU5" s="37" t="n"/>
      <c r="CV5" s="38" t="n"/>
      <c r="CW5" s="41" t="n"/>
      <c r="CX5" s="37" t="n"/>
      <c r="CY5" s="37" t="n"/>
      <c r="CZ5" s="37" t="n"/>
      <c r="DA5" s="37" t="n"/>
      <c r="DB5" s="37" t="n"/>
      <c r="DC5" s="37" t="n"/>
      <c r="DD5" s="37" t="n"/>
      <c r="DE5" s="37" t="n"/>
      <c r="DF5" s="37" t="n"/>
      <c r="DG5" s="37" t="n"/>
      <c r="DH5" s="41" t="n"/>
      <c r="DI5" s="37" t="n"/>
      <c r="DJ5" s="37" t="n"/>
      <c r="DK5" s="37" t="n"/>
      <c r="DL5" s="41" t="n"/>
      <c r="DM5" s="37" t="n"/>
      <c r="DN5" s="45" t="n"/>
      <c r="DO5" s="41" t="n"/>
      <c r="DP5" s="48" t="n"/>
      <c r="DQ5" s="37" t="n"/>
      <c r="DR5" s="37" t="n"/>
      <c r="DS5" s="41" t="n"/>
      <c r="DT5" s="37" t="n"/>
      <c r="DU5" s="37" t="n"/>
      <c r="DV5" s="37" t="n"/>
      <c r="DW5" s="37" t="n"/>
      <c r="DX5" s="37" t="n"/>
      <c r="DY5" s="37" t="n"/>
      <c r="DZ5" s="39" t="n"/>
      <c r="EA5" s="37" t="n"/>
      <c r="EB5" s="37" t="n"/>
      <c r="EC5" s="37" t="n"/>
      <c r="ED5" s="41" t="n"/>
      <c r="EE5" s="37" t="n"/>
      <c r="EF5" s="39" t="n"/>
      <c r="EG5" s="49" t="n"/>
      <c r="EH5" s="41" t="n"/>
      <c r="EI5" s="41" t="n"/>
      <c r="EJ5" s="37" t="n"/>
      <c r="EK5" s="41" t="n"/>
      <c r="EL5" s="41" t="n"/>
      <c r="EM5" s="37" t="n"/>
      <c r="EN5" s="41" t="n"/>
      <c r="EO5" s="41" t="n"/>
      <c r="EP5" s="37" t="n"/>
      <c r="EQ5" s="39" t="n"/>
      <c r="ER5" s="45" t="n"/>
      <c r="ES5" s="41" t="n"/>
      <c r="ET5" s="39" t="n"/>
      <c r="EU5" s="39" t="n"/>
      <c r="EV5" s="41" t="n"/>
      <c r="EW5" s="39" t="n"/>
      <c r="EX5" s="37" t="n"/>
      <c r="EY5" s="37" t="n"/>
      <c r="EZ5" s="39" t="n"/>
      <c r="FA5" s="41" t="n"/>
      <c r="FB5" s="41" t="n"/>
      <c r="FC5" s="50" t="n"/>
      <c r="FD5" s="36">
        <f>IF(B5="","",IF(NOT(ISNUMBER(EK5)),"Tarih girilmedi",IFERROR(EDATE(EK5,12),"Tarih hatalı")))</f>
        <v/>
      </c>
      <c r="FE5" s="36">
        <f>IF(B5="","",IF(NOT(ISNUMBER(EK5)),"Tarih girilmedi",IFERROR(EDATE(EK5,11),"Tarih hatalı")))</f>
        <v/>
      </c>
      <c r="FF5" s="36">
        <f>IF(B5="","",IF(NOT(ISNUMBER(EN5)),"Tarih girilmedi",IFERROR(EDATE(EN5,12),"Tarih hatalı")))</f>
        <v/>
      </c>
      <c r="FG5" s="36">
        <f>IF(B5="","",IF(NOT(ISNUMBER(EN5)),"Tarih girilmedi",IFERROR(EDATE(EN5,11),"Tarih hatalı")))</f>
        <v/>
      </c>
      <c r="FH5" s="36">
        <f>IF(B5="","",IF(NOT(ISNUMBER(CW5)),"Tarih girilmedi",IFERROR(EDATE(CW5,60),"Tarih hatalı")))</f>
        <v/>
      </c>
      <c r="FI5" s="36">
        <f>IF(B5="","",IF(NOT(ISNUMBER(CW5)),"Tarih girilmedi",IFERROR(EDATE(CW5,57),"Tarih hatalı")))</f>
        <v/>
      </c>
      <c r="FJ5" s="36">
        <f>IF(B5="","",IF(NOT(ISNUMBER(DH5)),"Tarih girilmedi",IFERROR(EDATE(DH5,36),"Tarih hatalı")))</f>
        <v/>
      </c>
      <c r="FK5" s="36">
        <f>IF(B5="","",IF(NOT(ISNUMBER(DH5)),"Tarih girilmedi",IFERROR(EDATE(DH5,33),"Tarih hatalı")))</f>
        <v/>
      </c>
      <c r="FL5" s="36">
        <f>IF(B5="","",IF(NOT(ISNUMBER(BW5)),"Tarih girilmedi",IFERROR(EDATE(BW5,24),"Tarih hatalı")))</f>
        <v/>
      </c>
      <c r="FM5" s="36">
        <f>IF(B5="","",IF(NOT(ISNUMBER(BW5)),"Tarih girilmedi",IFERROR(EDATE(BW5,24)-45,"Tarih hatalı")))</f>
        <v/>
      </c>
      <c r="FN5" s="36">
        <f>IF(B5="","",IF(NOT(ISNUMBER(BM5)),"Tarih girilmedi",IFERROR(BM5-180,"Tarih hatalı")))</f>
        <v/>
      </c>
      <c r="FO5" s="51">
        <f>IF(OR(B5="",NOT(ISNUMBER(BM5))),"",BM5)</f>
        <v/>
      </c>
      <c r="FP5" s="51">
        <f>IF(OR(B5="",NOT(ISNUMBER(BM5))),"",BM5-180)</f>
        <v/>
      </c>
      <c r="FQ5" s="51">
        <f>IF(OR(B5="",NOT(ISNUMBER(BR5))),"",BR5)</f>
        <v/>
      </c>
      <c r="FR5" s="51">
        <f>IF(OR(B5="",NOT(ISNUMBER(AL5))),"",AL5)</f>
        <v/>
      </c>
      <c r="FS5" s="51">
        <f>IF(OR(B5="",NOT(ISNUMBER(CW5))),"",EDATE(CW5,60))</f>
        <v/>
      </c>
      <c r="FT5" s="51">
        <f>IF(OR(B5="",NOT(ISNUMBER(DH5))),"",EDATE(DH5,36))</f>
        <v/>
      </c>
      <c r="FU5" s="51">
        <f>IF(OR(B5="",NOT(ISNUMBER(BW5))),"",EDATE(BW5,24))</f>
        <v/>
      </c>
      <c r="FV5" s="51">
        <f>IF(OR(B5="",NOT(ISNUMBER(BX5))),"",BX5)</f>
        <v/>
      </c>
      <c r="FW5" s="51">
        <f>IF(OR(B5="",NOT(ISNUMBER(EK5))),"",EDATE(EK5,12))</f>
        <v/>
      </c>
      <c r="FX5" s="51">
        <f>IF(OR(B5="",NOT(ISNUMBER(EL5))),"",EL5)</f>
        <v/>
      </c>
      <c r="FY5" s="51">
        <f>IF(OR(B5="",NOT(ISNUMBER(EN5))),"",EDATE(EN5,12))</f>
        <v/>
      </c>
      <c r="FZ5" s="51">
        <f>IF(OR(B5="",NOT(ISNUMBER(EO5))),"",EO5)</f>
        <v/>
      </c>
      <c r="GA5" s="51">
        <f>IF(OR(B5="",NOT(ISNUMBER(CK5))),"",CK5)</f>
        <v/>
      </c>
      <c r="GB5" s="51">
        <f>IF(OR(B5="",NOT(ISNUMBER(CM5))),"",CM5)</f>
        <v/>
      </c>
      <c r="GC5" s="51">
        <f>IF(OR(B5="",NOT(ISNUMBER(CQ5))),"",CQ5)</f>
        <v/>
      </c>
      <c r="GD5" s="51">
        <f>IF(OR(B5="",NOT(ISNUMBER(EI5))),"",EI5)</f>
        <v/>
      </c>
      <c r="GE5" s="51">
        <f>IF(OR(B5="",NOT(ISNUMBER(FA5))),"",FA5)</f>
        <v/>
      </c>
      <c r="GF5" s="51">
        <f>IF(OR(B5="",NOT(ISNUMBER(ES5))),"",ES5)</f>
        <v/>
      </c>
      <c r="GG5" s="51">
        <f>IF(OR(B5="",NOT(ISNUMBER(FB5))),"",FB5)</f>
        <v/>
      </c>
    </row>
    <row r="6" ht="22" customHeight="1">
      <c r="A6" s="32" t="n">
        <v>2</v>
      </c>
      <c r="B6" s="33" t="n"/>
      <c r="C6" s="34">
        <f>IF(B6="","",((P6="Süresi geçti")+(P6="Yaklaşıyor")+(P6="Tarih hatalı"))+((Q6="Süresi geçti")+(Q6="Yaklaşıyor")+(Q6="Tarih hatalı"))+((R6="Süresi geçti")+(R6="Yaklaşıyor")+(R6="Tarih hatalı"))+((S6="Süresi geçti")+(S6="Yaklaşıyor")+(S6="Tarih hatalı"))+((T6="Süresi geçti")+(T6="Yaklaşıyor")+(T6="Tarih hatalı"))+((U6="Süresi geçti")+(U6="Yaklaşıyor")+(U6="Tarih hatalı"))+((V6="Süresi geçti")+(V6="Yaklaşıyor")+(V6="Tarih hatalı")))</f>
        <v/>
      </c>
      <c r="D6" s="35">
        <f>IF(OR(B6="",E6=""),"",INDEX($FO$4:$GG$4,1,MATCH(E6,FO6:GG6,0)))</f>
        <v/>
      </c>
      <c r="E6" s="36">
        <f>IF(B6="","",IF(COUNT(FO6:GG6)=0,"",SMALL(FO6:GG6,1)))</f>
        <v/>
      </c>
      <c r="F6" s="34">
        <f>IF(E6="","",E6-TODAY())</f>
        <v/>
      </c>
      <c r="G6" s="37" t="n"/>
      <c r="H6" s="37" t="n"/>
      <c r="I6" s="37" t="n"/>
      <c r="J6" s="37" t="n"/>
      <c r="K6" s="37" t="n"/>
      <c r="L6" s="38" t="n"/>
      <c r="M6" s="37" t="n"/>
      <c r="N6" s="37" t="n"/>
      <c r="O6" s="39" t="n"/>
      <c r="P6" s="35">
        <f>IF(B6="","",IF(NOT(ISNUMBER(AL6)),"Tarih girilmedi",IFERROR(IF(TODAY()&gt;AL6,"Süresi geçti",IF(TODAY()&gt;=(AL6-60),"Yaklaşıyor","Takipte")),"Tarih hatalı")))</f>
        <v/>
      </c>
      <c r="Q6" s="35">
        <f>IF(B6="","",IF(NOT(ISNUMBER(EK6)),"Tarih girilmedi",IFERROR(IF(TODAY()&gt;EDATE(EK6,12),"Süresi geçti",IF(TODAY()&gt;=EDATE(EK6,11),"Yaklaşıyor","Takipte")),"Tarih hatalı")))</f>
        <v/>
      </c>
      <c r="R6" s="35">
        <f>IF(B6="","",IF(NOT(ISNUMBER(EN6)),"Tarih girilmedi",IFERROR(IF(TODAY()&gt;EDATE(EN6,12),"Süresi geçti",IF(TODAY()&gt;=EDATE(EN6,11),"Yaklaşıyor","Takipte")),"Tarih hatalı")))</f>
        <v/>
      </c>
      <c r="S6" s="35">
        <f>IF(B6="","",IF(NOT(ISNUMBER(CW6)),"Tarih girilmedi",IFERROR(IF(TODAY()&gt;EDATE(CW6,60),"Süresi geçti",IF(TODAY()&gt;=EDATE(CW6,57),"Yaklaşıyor","Takipte")),"Tarih hatalı")))</f>
        <v/>
      </c>
      <c r="T6" s="35">
        <f>IF(B6="","",IF(NOT(ISNUMBER(DH6)),"Tarih girilmedi",IFERROR(IF(TODAY()&gt;EDATE(DH6,36),"Süresi geçti",IF(TODAY()&gt;=EDATE(DH6,33),"Yaklaşıyor","Takipte")),"Tarih hatalı")))</f>
        <v/>
      </c>
      <c r="U6" s="35">
        <f>IF(B6="","",IF(NOT(ISNUMBER(BW6)),"Tarih girilmedi",IFERROR(IF(TODAY()&gt;EDATE(BW6,24),"Süresi geçti",IF(TODAY()&gt;=(EDATE(BW6,24)-45),"Yaklaşıyor","Takipte")),"Tarih hatalı")))</f>
        <v/>
      </c>
      <c r="V6" s="35">
        <f>IF(B6="","",IF(NOT(ISNUMBER(BM6)),"Tarih girilmedi",IFERROR(IF(TODAY()&gt;BM6,"Süresi geçti",IF(TODAY()&gt;=(BM6-180),"Yaklaşıyor","Takipte")),"Tarih hatalı")))</f>
        <v/>
      </c>
      <c r="W6" s="40" t="n"/>
      <c r="X6" s="37" t="n"/>
      <c r="Y6" s="39" t="n"/>
      <c r="Z6" s="37" t="n"/>
      <c r="AA6" s="37" t="n"/>
      <c r="AB6" s="37" t="n"/>
      <c r="AC6" s="38" t="n"/>
      <c r="AD6" s="38" t="n"/>
      <c r="AE6" s="38" t="n"/>
      <c r="AF6" s="37" t="n"/>
      <c r="AG6" s="37" t="n"/>
      <c r="AH6" s="37" t="n"/>
      <c r="AI6" s="38" t="n"/>
      <c r="AJ6" s="37" t="n"/>
      <c r="AK6" s="41" t="n"/>
      <c r="AL6" s="41" t="n"/>
      <c r="AM6" s="37" t="n"/>
      <c r="AN6" s="39" t="n"/>
      <c r="AO6" s="42" t="n"/>
      <c r="AP6" s="37" t="n"/>
      <c r="AQ6" s="37" t="n"/>
      <c r="AR6" s="37" t="n"/>
      <c r="AS6" s="37" t="n"/>
      <c r="AT6" s="37" t="n"/>
      <c r="AU6" s="37" t="n"/>
      <c r="AV6" s="37" t="n"/>
      <c r="AW6" s="37" t="n"/>
      <c r="AX6" s="43" t="n"/>
      <c r="AY6" s="37" t="n"/>
      <c r="AZ6" s="37" t="n"/>
      <c r="BA6" s="41" t="n"/>
      <c r="BB6" s="37" t="n"/>
      <c r="BC6" s="37" t="n"/>
      <c r="BD6" s="37" t="n"/>
      <c r="BE6" s="37" t="n"/>
      <c r="BF6" s="37" t="n"/>
      <c r="BG6" s="37" t="n"/>
      <c r="BH6" s="41" t="n"/>
      <c r="BI6" s="37" t="n"/>
      <c r="BJ6" s="37" t="n"/>
      <c r="BK6" s="38" t="n"/>
      <c r="BL6" s="37" t="n"/>
      <c r="BM6" s="41" t="n"/>
      <c r="BN6" s="37" t="n"/>
      <c r="BO6" s="41" t="n"/>
      <c r="BP6" s="37" t="n"/>
      <c r="BQ6" s="37" t="n"/>
      <c r="BR6" s="41" t="n"/>
      <c r="BS6" s="39" t="n"/>
      <c r="BT6" s="44" t="n"/>
      <c r="BU6" s="37" t="n"/>
      <c r="BV6" s="45" t="n"/>
      <c r="BW6" s="41" t="n"/>
      <c r="BX6" s="41" t="n"/>
      <c r="BY6" s="37" t="n"/>
      <c r="BZ6" s="37" t="n"/>
      <c r="CA6" s="37" t="n"/>
      <c r="CB6" s="37" t="n"/>
      <c r="CC6" s="39" t="n"/>
      <c r="CD6" s="39" t="n"/>
      <c r="CE6" s="46" t="n"/>
      <c r="CF6" s="37" t="n"/>
      <c r="CG6" s="37" t="n"/>
      <c r="CH6" s="45" t="n"/>
      <c r="CI6" s="37" t="n"/>
      <c r="CJ6" s="38" t="n"/>
      <c r="CK6" s="41" t="n"/>
      <c r="CL6" s="37" t="n"/>
      <c r="CM6" s="41" t="n"/>
      <c r="CN6" s="37" t="n"/>
      <c r="CO6" s="37" t="n"/>
      <c r="CP6" s="41" t="n"/>
      <c r="CQ6" s="41" t="n"/>
      <c r="CR6" s="37" t="n"/>
      <c r="CS6" s="37" t="n"/>
      <c r="CT6" s="47" t="n"/>
      <c r="CU6" s="37" t="n"/>
      <c r="CV6" s="38" t="n"/>
      <c r="CW6" s="41" t="n"/>
      <c r="CX6" s="37" t="n"/>
      <c r="CY6" s="37" t="n"/>
      <c r="CZ6" s="37" t="n"/>
      <c r="DA6" s="37" t="n"/>
      <c r="DB6" s="37" t="n"/>
      <c r="DC6" s="37" t="n"/>
      <c r="DD6" s="37" t="n"/>
      <c r="DE6" s="37" t="n"/>
      <c r="DF6" s="37" t="n"/>
      <c r="DG6" s="37" t="n"/>
      <c r="DH6" s="41" t="n"/>
      <c r="DI6" s="37" t="n"/>
      <c r="DJ6" s="37" t="n"/>
      <c r="DK6" s="37" t="n"/>
      <c r="DL6" s="41" t="n"/>
      <c r="DM6" s="37" t="n"/>
      <c r="DN6" s="45" t="n"/>
      <c r="DO6" s="41" t="n"/>
      <c r="DP6" s="48" t="n"/>
      <c r="DQ6" s="37" t="n"/>
      <c r="DR6" s="37" t="n"/>
      <c r="DS6" s="41" t="n"/>
      <c r="DT6" s="37" t="n"/>
      <c r="DU6" s="37" t="n"/>
      <c r="DV6" s="37" t="n"/>
      <c r="DW6" s="37" t="n"/>
      <c r="DX6" s="37" t="n"/>
      <c r="DY6" s="37" t="n"/>
      <c r="DZ6" s="39" t="n"/>
      <c r="EA6" s="37" t="n"/>
      <c r="EB6" s="37" t="n"/>
      <c r="EC6" s="37" t="n"/>
      <c r="ED6" s="41" t="n"/>
      <c r="EE6" s="37" t="n"/>
      <c r="EF6" s="39" t="n"/>
      <c r="EG6" s="49" t="n"/>
      <c r="EH6" s="41" t="n"/>
      <c r="EI6" s="41" t="n"/>
      <c r="EJ6" s="37" t="n"/>
      <c r="EK6" s="41" t="n"/>
      <c r="EL6" s="41" t="n"/>
      <c r="EM6" s="37" t="n"/>
      <c r="EN6" s="41" t="n"/>
      <c r="EO6" s="41" t="n"/>
      <c r="EP6" s="37" t="n"/>
      <c r="EQ6" s="39" t="n"/>
      <c r="ER6" s="45" t="n"/>
      <c r="ES6" s="41" t="n"/>
      <c r="ET6" s="39" t="n"/>
      <c r="EU6" s="39" t="n"/>
      <c r="EV6" s="41" t="n"/>
      <c r="EW6" s="39" t="n"/>
      <c r="EX6" s="37" t="n"/>
      <c r="EY6" s="37" t="n"/>
      <c r="EZ6" s="39" t="n"/>
      <c r="FA6" s="41" t="n"/>
      <c r="FB6" s="41" t="n"/>
      <c r="FC6" s="50" t="n"/>
      <c r="FD6" s="36">
        <f>IF(B6="","",IF(NOT(ISNUMBER(EK6)),"Tarih girilmedi",IFERROR(EDATE(EK6,12),"Tarih hatalı")))</f>
        <v/>
      </c>
      <c r="FE6" s="36">
        <f>IF(B6="","",IF(NOT(ISNUMBER(EK6)),"Tarih girilmedi",IFERROR(EDATE(EK6,11),"Tarih hatalı")))</f>
        <v/>
      </c>
      <c r="FF6" s="36">
        <f>IF(B6="","",IF(NOT(ISNUMBER(EN6)),"Tarih girilmedi",IFERROR(EDATE(EN6,12),"Tarih hatalı")))</f>
        <v/>
      </c>
      <c r="FG6" s="36">
        <f>IF(B6="","",IF(NOT(ISNUMBER(EN6)),"Tarih girilmedi",IFERROR(EDATE(EN6,11),"Tarih hatalı")))</f>
        <v/>
      </c>
      <c r="FH6" s="36">
        <f>IF(B6="","",IF(NOT(ISNUMBER(CW6)),"Tarih girilmedi",IFERROR(EDATE(CW6,60),"Tarih hatalı")))</f>
        <v/>
      </c>
      <c r="FI6" s="36">
        <f>IF(B6="","",IF(NOT(ISNUMBER(CW6)),"Tarih girilmedi",IFERROR(EDATE(CW6,57),"Tarih hatalı")))</f>
        <v/>
      </c>
      <c r="FJ6" s="36">
        <f>IF(B6="","",IF(NOT(ISNUMBER(DH6)),"Tarih girilmedi",IFERROR(EDATE(DH6,36),"Tarih hatalı")))</f>
        <v/>
      </c>
      <c r="FK6" s="36">
        <f>IF(B6="","",IF(NOT(ISNUMBER(DH6)),"Tarih girilmedi",IFERROR(EDATE(DH6,33),"Tarih hatalı")))</f>
        <v/>
      </c>
      <c r="FL6" s="36">
        <f>IF(B6="","",IF(NOT(ISNUMBER(BW6)),"Tarih girilmedi",IFERROR(EDATE(BW6,24),"Tarih hatalı")))</f>
        <v/>
      </c>
      <c r="FM6" s="36">
        <f>IF(B6="","",IF(NOT(ISNUMBER(BW6)),"Tarih girilmedi",IFERROR(EDATE(BW6,24)-45,"Tarih hatalı")))</f>
        <v/>
      </c>
      <c r="FN6" s="36">
        <f>IF(B6="","",IF(NOT(ISNUMBER(BM6)),"Tarih girilmedi",IFERROR(BM6-180,"Tarih hatalı")))</f>
        <v/>
      </c>
      <c r="FO6" s="51">
        <f>IF(OR(B6="",NOT(ISNUMBER(BM6))),"",BM6)</f>
        <v/>
      </c>
      <c r="FP6" s="51">
        <f>IF(OR(B6="",NOT(ISNUMBER(BM6))),"",BM6-180)</f>
        <v/>
      </c>
      <c r="FQ6" s="51">
        <f>IF(OR(B6="",NOT(ISNUMBER(BR6))),"",BR6)</f>
        <v/>
      </c>
      <c r="FR6" s="51">
        <f>IF(OR(B6="",NOT(ISNUMBER(AL6))),"",AL6)</f>
        <v/>
      </c>
      <c r="FS6" s="51">
        <f>IF(OR(B6="",NOT(ISNUMBER(CW6))),"",EDATE(CW6,60))</f>
        <v/>
      </c>
      <c r="FT6" s="51">
        <f>IF(OR(B6="",NOT(ISNUMBER(DH6))),"",EDATE(DH6,36))</f>
        <v/>
      </c>
      <c r="FU6" s="51">
        <f>IF(OR(B6="",NOT(ISNUMBER(BW6))),"",EDATE(BW6,24))</f>
        <v/>
      </c>
      <c r="FV6" s="51">
        <f>IF(OR(B6="",NOT(ISNUMBER(BX6))),"",BX6)</f>
        <v/>
      </c>
      <c r="FW6" s="51">
        <f>IF(OR(B6="",NOT(ISNUMBER(EK6))),"",EDATE(EK6,12))</f>
        <v/>
      </c>
      <c r="FX6" s="51">
        <f>IF(OR(B6="",NOT(ISNUMBER(EL6))),"",EL6)</f>
        <v/>
      </c>
      <c r="FY6" s="51">
        <f>IF(OR(B6="",NOT(ISNUMBER(EN6))),"",EDATE(EN6,12))</f>
        <v/>
      </c>
      <c r="FZ6" s="51">
        <f>IF(OR(B6="",NOT(ISNUMBER(EO6))),"",EO6)</f>
        <v/>
      </c>
      <c r="GA6" s="51">
        <f>IF(OR(B6="",NOT(ISNUMBER(CK6))),"",CK6)</f>
        <v/>
      </c>
      <c r="GB6" s="51">
        <f>IF(OR(B6="",NOT(ISNUMBER(CM6))),"",CM6)</f>
        <v/>
      </c>
      <c r="GC6" s="51">
        <f>IF(OR(B6="",NOT(ISNUMBER(CQ6))),"",CQ6)</f>
        <v/>
      </c>
      <c r="GD6" s="51">
        <f>IF(OR(B6="",NOT(ISNUMBER(EI6))),"",EI6)</f>
        <v/>
      </c>
      <c r="GE6" s="51">
        <f>IF(OR(B6="",NOT(ISNUMBER(FA6))),"",FA6)</f>
        <v/>
      </c>
      <c r="GF6" s="51">
        <f>IF(OR(B6="",NOT(ISNUMBER(ES6))),"",ES6)</f>
        <v/>
      </c>
      <c r="GG6" s="51">
        <f>IF(OR(B6="",NOT(ISNUMBER(FB6))),"",FB6)</f>
        <v/>
      </c>
    </row>
    <row r="7" ht="22" customHeight="1">
      <c r="A7" s="32" t="n">
        <v>3</v>
      </c>
      <c r="B7" s="33" t="n"/>
      <c r="C7" s="34">
        <f>IF(B7="","",((P7="Süresi geçti")+(P7="Yaklaşıyor")+(P7="Tarih hatalı"))+((Q7="Süresi geçti")+(Q7="Yaklaşıyor")+(Q7="Tarih hatalı"))+((R7="Süresi geçti")+(R7="Yaklaşıyor")+(R7="Tarih hatalı"))+((S7="Süresi geçti")+(S7="Yaklaşıyor")+(S7="Tarih hatalı"))+((T7="Süresi geçti")+(T7="Yaklaşıyor")+(T7="Tarih hatalı"))+((U7="Süresi geçti")+(U7="Yaklaşıyor")+(U7="Tarih hatalı"))+((V7="Süresi geçti")+(V7="Yaklaşıyor")+(V7="Tarih hatalı")))</f>
        <v/>
      </c>
      <c r="D7" s="35">
        <f>IF(OR(B7="",E7=""),"",INDEX($FO$4:$GG$4,1,MATCH(E7,FO7:GG7,0)))</f>
        <v/>
      </c>
      <c r="E7" s="36">
        <f>IF(B7="","",IF(COUNT(FO7:GG7)=0,"",SMALL(FO7:GG7,1)))</f>
        <v/>
      </c>
      <c r="F7" s="34">
        <f>IF(E7="","",E7-TODAY())</f>
        <v/>
      </c>
      <c r="G7" s="37" t="n"/>
      <c r="H7" s="37" t="n"/>
      <c r="I7" s="37" t="n"/>
      <c r="J7" s="37" t="n"/>
      <c r="K7" s="37" t="n"/>
      <c r="L7" s="38" t="n"/>
      <c r="M7" s="37" t="n"/>
      <c r="N7" s="37" t="n"/>
      <c r="O7" s="39" t="n"/>
      <c r="P7" s="35">
        <f>IF(B7="","",IF(NOT(ISNUMBER(AL7)),"Tarih girilmedi",IFERROR(IF(TODAY()&gt;AL7,"Süresi geçti",IF(TODAY()&gt;=(AL7-60),"Yaklaşıyor","Takipte")),"Tarih hatalı")))</f>
        <v/>
      </c>
      <c r="Q7" s="35">
        <f>IF(B7="","",IF(NOT(ISNUMBER(EK7)),"Tarih girilmedi",IFERROR(IF(TODAY()&gt;EDATE(EK7,12),"Süresi geçti",IF(TODAY()&gt;=EDATE(EK7,11),"Yaklaşıyor","Takipte")),"Tarih hatalı")))</f>
        <v/>
      </c>
      <c r="R7" s="35">
        <f>IF(B7="","",IF(NOT(ISNUMBER(EN7)),"Tarih girilmedi",IFERROR(IF(TODAY()&gt;EDATE(EN7,12),"Süresi geçti",IF(TODAY()&gt;=EDATE(EN7,11),"Yaklaşıyor","Takipte")),"Tarih hatalı")))</f>
        <v/>
      </c>
      <c r="S7" s="35">
        <f>IF(B7="","",IF(NOT(ISNUMBER(CW7)),"Tarih girilmedi",IFERROR(IF(TODAY()&gt;EDATE(CW7,60),"Süresi geçti",IF(TODAY()&gt;=EDATE(CW7,57),"Yaklaşıyor","Takipte")),"Tarih hatalı")))</f>
        <v/>
      </c>
      <c r="T7" s="35">
        <f>IF(B7="","",IF(NOT(ISNUMBER(DH7)),"Tarih girilmedi",IFERROR(IF(TODAY()&gt;EDATE(DH7,36),"Süresi geçti",IF(TODAY()&gt;=EDATE(DH7,33),"Yaklaşıyor","Takipte")),"Tarih hatalı")))</f>
        <v/>
      </c>
      <c r="U7" s="35">
        <f>IF(B7="","",IF(NOT(ISNUMBER(BW7)),"Tarih girilmedi",IFERROR(IF(TODAY()&gt;EDATE(BW7,24),"Süresi geçti",IF(TODAY()&gt;=(EDATE(BW7,24)-45),"Yaklaşıyor","Takipte")),"Tarih hatalı")))</f>
        <v/>
      </c>
      <c r="V7" s="35">
        <f>IF(B7="","",IF(NOT(ISNUMBER(BM7)),"Tarih girilmedi",IFERROR(IF(TODAY()&gt;BM7,"Süresi geçti",IF(TODAY()&gt;=(BM7-180),"Yaklaşıyor","Takipte")),"Tarih hatalı")))</f>
        <v/>
      </c>
      <c r="W7" s="40" t="n"/>
      <c r="X7" s="37" t="n"/>
      <c r="Y7" s="39" t="n"/>
      <c r="Z7" s="37" t="n"/>
      <c r="AA7" s="37" t="n"/>
      <c r="AB7" s="37" t="n"/>
      <c r="AC7" s="38" t="n"/>
      <c r="AD7" s="38" t="n"/>
      <c r="AE7" s="38" t="n"/>
      <c r="AF7" s="37" t="n"/>
      <c r="AG7" s="37" t="n"/>
      <c r="AH7" s="37" t="n"/>
      <c r="AI7" s="38" t="n"/>
      <c r="AJ7" s="37" t="n"/>
      <c r="AK7" s="41" t="n"/>
      <c r="AL7" s="41" t="n"/>
      <c r="AM7" s="37" t="n"/>
      <c r="AN7" s="39" t="n"/>
      <c r="AO7" s="42" t="n"/>
      <c r="AP7" s="37" t="n"/>
      <c r="AQ7" s="37" t="n"/>
      <c r="AR7" s="37" t="n"/>
      <c r="AS7" s="37" t="n"/>
      <c r="AT7" s="37" t="n"/>
      <c r="AU7" s="37" t="n"/>
      <c r="AV7" s="37" t="n"/>
      <c r="AW7" s="37" t="n"/>
      <c r="AX7" s="43" t="n"/>
      <c r="AY7" s="37" t="n"/>
      <c r="AZ7" s="37" t="n"/>
      <c r="BA7" s="41" t="n"/>
      <c r="BB7" s="37" t="n"/>
      <c r="BC7" s="37" t="n"/>
      <c r="BD7" s="37" t="n"/>
      <c r="BE7" s="37" t="n"/>
      <c r="BF7" s="37" t="n"/>
      <c r="BG7" s="37" t="n"/>
      <c r="BH7" s="41" t="n"/>
      <c r="BI7" s="37" t="n"/>
      <c r="BJ7" s="37" t="n"/>
      <c r="BK7" s="38" t="n"/>
      <c r="BL7" s="37" t="n"/>
      <c r="BM7" s="41" t="n"/>
      <c r="BN7" s="37" t="n"/>
      <c r="BO7" s="41" t="n"/>
      <c r="BP7" s="37" t="n"/>
      <c r="BQ7" s="37" t="n"/>
      <c r="BR7" s="41" t="n"/>
      <c r="BS7" s="39" t="n"/>
      <c r="BT7" s="44" t="n"/>
      <c r="BU7" s="37" t="n"/>
      <c r="BV7" s="45" t="n"/>
      <c r="BW7" s="41" t="n"/>
      <c r="BX7" s="41" t="n"/>
      <c r="BY7" s="37" t="n"/>
      <c r="BZ7" s="37" t="n"/>
      <c r="CA7" s="37" t="n"/>
      <c r="CB7" s="37" t="n"/>
      <c r="CC7" s="39" t="n"/>
      <c r="CD7" s="39" t="n"/>
      <c r="CE7" s="46" t="n"/>
      <c r="CF7" s="37" t="n"/>
      <c r="CG7" s="37" t="n"/>
      <c r="CH7" s="45" t="n"/>
      <c r="CI7" s="37" t="n"/>
      <c r="CJ7" s="38" t="n"/>
      <c r="CK7" s="41" t="n"/>
      <c r="CL7" s="37" t="n"/>
      <c r="CM7" s="41" t="n"/>
      <c r="CN7" s="37" t="n"/>
      <c r="CO7" s="37" t="n"/>
      <c r="CP7" s="41" t="n"/>
      <c r="CQ7" s="41" t="n"/>
      <c r="CR7" s="37" t="n"/>
      <c r="CS7" s="37" t="n"/>
      <c r="CT7" s="47" t="n"/>
      <c r="CU7" s="37" t="n"/>
      <c r="CV7" s="38" t="n"/>
      <c r="CW7" s="41" t="n"/>
      <c r="CX7" s="37" t="n"/>
      <c r="CY7" s="37" t="n"/>
      <c r="CZ7" s="37" t="n"/>
      <c r="DA7" s="37" t="n"/>
      <c r="DB7" s="37" t="n"/>
      <c r="DC7" s="37" t="n"/>
      <c r="DD7" s="37" t="n"/>
      <c r="DE7" s="37" t="n"/>
      <c r="DF7" s="37" t="n"/>
      <c r="DG7" s="37" t="n"/>
      <c r="DH7" s="41" t="n"/>
      <c r="DI7" s="37" t="n"/>
      <c r="DJ7" s="37" t="n"/>
      <c r="DK7" s="37" t="n"/>
      <c r="DL7" s="41" t="n"/>
      <c r="DM7" s="37" t="n"/>
      <c r="DN7" s="45" t="n"/>
      <c r="DO7" s="41" t="n"/>
      <c r="DP7" s="48" t="n"/>
      <c r="DQ7" s="37" t="n"/>
      <c r="DR7" s="37" t="n"/>
      <c r="DS7" s="41" t="n"/>
      <c r="DT7" s="37" t="n"/>
      <c r="DU7" s="37" t="n"/>
      <c r="DV7" s="37" t="n"/>
      <c r="DW7" s="37" t="n"/>
      <c r="DX7" s="37" t="n"/>
      <c r="DY7" s="37" t="n"/>
      <c r="DZ7" s="39" t="n"/>
      <c r="EA7" s="37" t="n"/>
      <c r="EB7" s="37" t="n"/>
      <c r="EC7" s="37" t="n"/>
      <c r="ED7" s="41" t="n"/>
      <c r="EE7" s="37" t="n"/>
      <c r="EF7" s="39" t="n"/>
      <c r="EG7" s="49" t="n"/>
      <c r="EH7" s="41" t="n"/>
      <c r="EI7" s="41" t="n"/>
      <c r="EJ7" s="37" t="n"/>
      <c r="EK7" s="41" t="n"/>
      <c r="EL7" s="41" t="n"/>
      <c r="EM7" s="37" t="n"/>
      <c r="EN7" s="41" t="n"/>
      <c r="EO7" s="41" t="n"/>
      <c r="EP7" s="37" t="n"/>
      <c r="EQ7" s="39" t="n"/>
      <c r="ER7" s="45" t="n"/>
      <c r="ES7" s="41" t="n"/>
      <c r="ET7" s="39" t="n"/>
      <c r="EU7" s="39" t="n"/>
      <c r="EV7" s="41" t="n"/>
      <c r="EW7" s="39" t="n"/>
      <c r="EX7" s="37" t="n"/>
      <c r="EY7" s="37" t="n"/>
      <c r="EZ7" s="39" t="n"/>
      <c r="FA7" s="41" t="n"/>
      <c r="FB7" s="41" t="n"/>
      <c r="FC7" s="50" t="n"/>
      <c r="FD7" s="36">
        <f>IF(B7="","",IF(NOT(ISNUMBER(EK7)),"Tarih girilmedi",IFERROR(EDATE(EK7,12),"Tarih hatalı")))</f>
        <v/>
      </c>
      <c r="FE7" s="36">
        <f>IF(B7="","",IF(NOT(ISNUMBER(EK7)),"Tarih girilmedi",IFERROR(EDATE(EK7,11),"Tarih hatalı")))</f>
        <v/>
      </c>
      <c r="FF7" s="36">
        <f>IF(B7="","",IF(NOT(ISNUMBER(EN7)),"Tarih girilmedi",IFERROR(EDATE(EN7,12),"Tarih hatalı")))</f>
        <v/>
      </c>
      <c r="FG7" s="36">
        <f>IF(B7="","",IF(NOT(ISNUMBER(EN7)),"Tarih girilmedi",IFERROR(EDATE(EN7,11),"Tarih hatalı")))</f>
        <v/>
      </c>
      <c r="FH7" s="36">
        <f>IF(B7="","",IF(NOT(ISNUMBER(CW7)),"Tarih girilmedi",IFERROR(EDATE(CW7,60),"Tarih hatalı")))</f>
        <v/>
      </c>
      <c r="FI7" s="36">
        <f>IF(B7="","",IF(NOT(ISNUMBER(CW7)),"Tarih girilmedi",IFERROR(EDATE(CW7,57),"Tarih hatalı")))</f>
        <v/>
      </c>
      <c r="FJ7" s="36">
        <f>IF(B7="","",IF(NOT(ISNUMBER(DH7)),"Tarih girilmedi",IFERROR(EDATE(DH7,36),"Tarih hatalı")))</f>
        <v/>
      </c>
      <c r="FK7" s="36">
        <f>IF(B7="","",IF(NOT(ISNUMBER(DH7)),"Tarih girilmedi",IFERROR(EDATE(DH7,33),"Tarih hatalı")))</f>
        <v/>
      </c>
      <c r="FL7" s="36">
        <f>IF(B7="","",IF(NOT(ISNUMBER(BW7)),"Tarih girilmedi",IFERROR(EDATE(BW7,24),"Tarih hatalı")))</f>
        <v/>
      </c>
      <c r="FM7" s="36">
        <f>IF(B7="","",IF(NOT(ISNUMBER(BW7)),"Tarih girilmedi",IFERROR(EDATE(BW7,24)-45,"Tarih hatalı")))</f>
        <v/>
      </c>
      <c r="FN7" s="36">
        <f>IF(B7="","",IF(NOT(ISNUMBER(BM7)),"Tarih girilmedi",IFERROR(BM7-180,"Tarih hatalı")))</f>
        <v/>
      </c>
      <c r="FO7" s="51">
        <f>IF(OR(B7="",NOT(ISNUMBER(BM7))),"",BM7)</f>
        <v/>
      </c>
      <c r="FP7" s="51">
        <f>IF(OR(B7="",NOT(ISNUMBER(BM7))),"",BM7-180)</f>
        <v/>
      </c>
      <c r="FQ7" s="51">
        <f>IF(OR(B7="",NOT(ISNUMBER(BR7))),"",BR7)</f>
        <v/>
      </c>
      <c r="FR7" s="51">
        <f>IF(OR(B7="",NOT(ISNUMBER(AL7))),"",AL7)</f>
        <v/>
      </c>
      <c r="FS7" s="51">
        <f>IF(OR(B7="",NOT(ISNUMBER(CW7))),"",EDATE(CW7,60))</f>
        <v/>
      </c>
      <c r="FT7" s="51">
        <f>IF(OR(B7="",NOT(ISNUMBER(DH7))),"",EDATE(DH7,36))</f>
        <v/>
      </c>
      <c r="FU7" s="51">
        <f>IF(OR(B7="",NOT(ISNUMBER(BW7))),"",EDATE(BW7,24))</f>
        <v/>
      </c>
      <c r="FV7" s="51">
        <f>IF(OR(B7="",NOT(ISNUMBER(BX7))),"",BX7)</f>
        <v/>
      </c>
      <c r="FW7" s="51">
        <f>IF(OR(B7="",NOT(ISNUMBER(EK7))),"",EDATE(EK7,12))</f>
        <v/>
      </c>
      <c r="FX7" s="51">
        <f>IF(OR(B7="",NOT(ISNUMBER(EL7))),"",EL7)</f>
        <v/>
      </c>
      <c r="FY7" s="51">
        <f>IF(OR(B7="",NOT(ISNUMBER(EN7))),"",EDATE(EN7,12))</f>
        <v/>
      </c>
      <c r="FZ7" s="51">
        <f>IF(OR(B7="",NOT(ISNUMBER(EO7))),"",EO7)</f>
        <v/>
      </c>
      <c r="GA7" s="51">
        <f>IF(OR(B7="",NOT(ISNUMBER(CK7))),"",CK7)</f>
        <v/>
      </c>
      <c r="GB7" s="51">
        <f>IF(OR(B7="",NOT(ISNUMBER(CM7))),"",CM7)</f>
        <v/>
      </c>
      <c r="GC7" s="51">
        <f>IF(OR(B7="",NOT(ISNUMBER(CQ7))),"",CQ7)</f>
        <v/>
      </c>
      <c r="GD7" s="51">
        <f>IF(OR(B7="",NOT(ISNUMBER(EI7))),"",EI7)</f>
        <v/>
      </c>
      <c r="GE7" s="51">
        <f>IF(OR(B7="",NOT(ISNUMBER(FA7))),"",FA7)</f>
        <v/>
      </c>
      <c r="GF7" s="51">
        <f>IF(OR(B7="",NOT(ISNUMBER(ES7))),"",ES7)</f>
        <v/>
      </c>
      <c r="GG7" s="51">
        <f>IF(OR(B7="",NOT(ISNUMBER(FB7))),"",FB7)</f>
        <v/>
      </c>
    </row>
    <row r="8" ht="22" customHeight="1">
      <c r="A8" s="32" t="n">
        <v>4</v>
      </c>
      <c r="B8" s="33" t="n"/>
      <c r="C8" s="34">
        <f>IF(B8="","",((P8="Süresi geçti")+(P8="Yaklaşıyor")+(P8="Tarih hatalı"))+((Q8="Süresi geçti")+(Q8="Yaklaşıyor")+(Q8="Tarih hatalı"))+((R8="Süresi geçti")+(R8="Yaklaşıyor")+(R8="Tarih hatalı"))+((S8="Süresi geçti")+(S8="Yaklaşıyor")+(S8="Tarih hatalı"))+((T8="Süresi geçti")+(T8="Yaklaşıyor")+(T8="Tarih hatalı"))+((U8="Süresi geçti")+(U8="Yaklaşıyor")+(U8="Tarih hatalı"))+((V8="Süresi geçti")+(V8="Yaklaşıyor")+(V8="Tarih hatalı")))</f>
        <v/>
      </c>
      <c r="D8" s="35">
        <f>IF(OR(B8="",E8=""),"",INDEX($FO$4:$GG$4,1,MATCH(E8,FO8:GG8,0)))</f>
        <v/>
      </c>
      <c r="E8" s="36">
        <f>IF(B8="","",IF(COUNT(FO8:GG8)=0,"",SMALL(FO8:GG8,1)))</f>
        <v/>
      </c>
      <c r="F8" s="34">
        <f>IF(E8="","",E8-TODAY())</f>
        <v/>
      </c>
      <c r="G8" s="37" t="n"/>
      <c r="H8" s="37" t="n"/>
      <c r="I8" s="37" t="n"/>
      <c r="J8" s="37" t="n"/>
      <c r="K8" s="37" t="n"/>
      <c r="L8" s="38" t="n"/>
      <c r="M8" s="37" t="n"/>
      <c r="N8" s="37" t="n"/>
      <c r="O8" s="39" t="n"/>
      <c r="P8" s="35">
        <f>IF(B8="","",IF(NOT(ISNUMBER(AL8)),"Tarih girilmedi",IFERROR(IF(TODAY()&gt;AL8,"Süresi geçti",IF(TODAY()&gt;=(AL8-60),"Yaklaşıyor","Takipte")),"Tarih hatalı")))</f>
        <v/>
      </c>
      <c r="Q8" s="35">
        <f>IF(B8="","",IF(NOT(ISNUMBER(EK8)),"Tarih girilmedi",IFERROR(IF(TODAY()&gt;EDATE(EK8,12),"Süresi geçti",IF(TODAY()&gt;=EDATE(EK8,11),"Yaklaşıyor","Takipte")),"Tarih hatalı")))</f>
        <v/>
      </c>
      <c r="R8" s="35">
        <f>IF(B8="","",IF(NOT(ISNUMBER(EN8)),"Tarih girilmedi",IFERROR(IF(TODAY()&gt;EDATE(EN8,12),"Süresi geçti",IF(TODAY()&gt;=EDATE(EN8,11),"Yaklaşıyor","Takipte")),"Tarih hatalı")))</f>
        <v/>
      </c>
      <c r="S8" s="35">
        <f>IF(B8="","",IF(NOT(ISNUMBER(CW8)),"Tarih girilmedi",IFERROR(IF(TODAY()&gt;EDATE(CW8,60),"Süresi geçti",IF(TODAY()&gt;=EDATE(CW8,57),"Yaklaşıyor","Takipte")),"Tarih hatalı")))</f>
        <v/>
      </c>
      <c r="T8" s="35">
        <f>IF(B8="","",IF(NOT(ISNUMBER(DH8)),"Tarih girilmedi",IFERROR(IF(TODAY()&gt;EDATE(DH8,36),"Süresi geçti",IF(TODAY()&gt;=EDATE(DH8,33),"Yaklaşıyor","Takipte")),"Tarih hatalı")))</f>
        <v/>
      </c>
      <c r="U8" s="35">
        <f>IF(B8="","",IF(NOT(ISNUMBER(BW8)),"Tarih girilmedi",IFERROR(IF(TODAY()&gt;EDATE(BW8,24),"Süresi geçti",IF(TODAY()&gt;=(EDATE(BW8,24)-45),"Yaklaşıyor","Takipte")),"Tarih hatalı")))</f>
        <v/>
      </c>
      <c r="V8" s="35">
        <f>IF(B8="","",IF(NOT(ISNUMBER(BM8)),"Tarih girilmedi",IFERROR(IF(TODAY()&gt;BM8,"Süresi geçti",IF(TODAY()&gt;=(BM8-180),"Yaklaşıyor","Takipte")),"Tarih hatalı")))</f>
        <v/>
      </c>
      <c r="W8" s="40" t="n"/>
      <c r="X8" s="37" t="n"/>
      <c r="Y8" s="39" t="n"/>
      <c r="Z8" s="37" t="n"/>
      <c r="AA8" s="37" t="n"/>
      <c r="AB8" s="37" t="n"/>
      <c r="AC8" s="38" t="n"/>
      <c r="AD8" s="38" t="n"/>
      <c r="AE8" s="38" t="n"/>
      <c r="AF8" s="37" t="n"/>
      <c r="AG8" s="37" t="n"/>
      <c r="AH8" s="37" t="n"/>
      <c r="AI8" s="38" t="n"/>
      <c r="AJ8" s="37" t="n"/>
      <c r="AK8" s="41" t="n"/>
      <c r="AL8" s="41" t="n"/>
      <c r="AM8" s="37" t="n"/>
      <c r="AN8" s="39" t="n"/>
      <c r="AO8" s="42" t="n"/>
      <c r="AP8" s="37" t="n"/>
      <c r="AQ8" s="37" t="n"/>
      <c r="AR8" s="37" t="n"/>
      <c r="AS8" s="37" t="n"/>
      <c r="AT8" s="37" t="n"/>
      <c r="AU8" s="37" t="n"/>
      <c r="AV8" s="37" t="n"/>
      <c r="AW8" s="37" t="n"/>
      <c r="AX8" s="43" t="n"/>
      <c r="AY8" s="37" t="n"/>
      <c r="AZ8" s="37" t="n"/>
      <c r="BA8" s="41" t="n"/>
      <c r="BB8" s="37" t="n"/>
      <c r="BC8" s="37" t="n"/>
      <c r="BD8" s="37" t="n"/>
      <c r="BE8" s="37" t="n"/>
      <c r="BF8" s="37" t="n"/>
      <c r="BG8" s="37" t="n"/>
      <c r="BH8" s="41" t="n"/>
      <c r="BI8" s="37" t="n"/>
      <c r="BJ8" s="37" t="n"/>
      <c r="BK8" s="38" t="n"/>
      <c r="BL8" s="37" t="n"/>
      <c r="BM8" s="41" t="n"/>
      <c r="BN8" s="37" t="n"/>
      <c r="BO8" s="41" t="n"/>
      <c r="BP8" s="37" t="n"/>
      <c r="BQ8" s="37" t="n"/>
      <c r="BR8" s="41" t="n"/>
      <c r="BS8" s="39" t="n"/>
      <c r="BT8" s="44" t="n"/>
      <c r="BU8" s="37" t="n"/>
      <c r="BV8" s="45" t="n"/>
      <c r="BW8" s="41" t="n"/>
      <c r="BX8" s="41" t="n"/>
      <c r="BY8" s="37" t="n"/>
      <c r="BZ8" s="37" t="n"/>
      <c r="CA8" s="37" t="n"/>
      <c r="CB8" s="37" t="n"/>
      <c r="CC8" s="39" t="n"/>
      <c r="CD8" s="39" t="n"/>
      <c r="CE8" s="46" t="n"/>
      <c r="CF8" s="37" t="n"/>
      <c r="CG8" s="37" t="n"/>
      <c r="CH8" s="45" t="n"/>
      <c r="CI8" s="37" t="n"/>
      <c r="CJ8" s="38" t="n"/>
      <c r="CK8" s="41" t="n"/>
      <c r="CL8" s="37" t="n"/>
      <c r="CM8" s="41" t="n"/>
      <c r="CN8" s="37" t="n"/>
      <c r="CO8" s="37" t="n"/>
      <c r="CP8" s="41" t="n"/>
      <c r="CQ8" s="41" t="n"/>
      <c r="CR8" s="37" t="n"/>
      <c r="CS8" s="37" t="n"/>
      <c r="CT8" s="47" t="n"/>
      <c r="CU8" s="37" t="n"/>
      <c r="CV8" s="38" t="n"/>
      <c r="CW8" s="41" t="n"/>
      <c r="CX8" s="37" t="n"/>
      <c r="CY8" s="37" t="n"/>
      <c r="CZ8" s="37" t="n"/>
      <c r="DA8" s="37" t="n"/>
      <c r="DB8" s="37" t="n"/>
      <c r="DC8" s="37" t="n"/>
      <c r="DD8" s="37" t="n"/>
      <c r="DE8" s="37" t="n"/>
      <c r="DF8" s="37" t="n"/>
      <c r="DG8" s="37" t="n"/>
      <c r="DH8" s="41" t="n"/>
      <c r="DI8" s="37" t="n"/>
      <c r="DJ8" s="37" t="n"/>
      <c r="DK8" s="37" t="n"/>
      <c r="DL8" s="41" t="n"/>
      <c r="DM8" s="37" t="n"/>
      <c r="DN8" s="45" t="n"/>
      <c r="DO8" s="41" t="n"/>
      <c r="DP8" s="48" t="n"/>
      <c r="DQ8" s="37" t="n"/>
      <c r="DR8" s="37" t="n"/>
      <c r="DS8" s="41" t="n"/>
      <c r="DT8" s="37" t="n"/>
      <c r="DU8" s="37" t="n"/>
      <c r="DV8" s="37" t="n"/>
      <c r="DW8" s="37" t="n"/>
      <c r="DX8" s="37" t="n"/>
      <c r="DY8" s="37" t="n"/>
      <c r="DZ8" s="39" t="n"/>
      <c r="EA8" s="37" t="n"/>
      <c r="EB8" s="37" t="n"/>
      <c r="EC8" s="37" t="n"/>
      <c r="ED8" s="41" t="n"/>
      <c r="EE8" s="37" t="n"/>
      <c r="EF8" s="39" t="n"/>
      <c r="EG8" s="49" t="n"/>
      <c r="EH8" s="41" t="n"/>
      <c r="EI8" s="41" t="n"/>
      <c r="EJ8" s="37" t="n"/>
      <c r="EK8" s="41" t="n"/>
      <c r="EL8" s="41" t="n"/>
      <c r="EM8" s="37" t="n"/>
      <c r="EN8" s="41" t="n"/>
      <c r="EO8" s="41" t="n"/>
      <c r="EP8" s="37" t="n"/>
      <c r="EQ8" s="39" t="n"/>
      <c r="ER8" s="45" t="n"/>
      <c r="ES8" s="41" t="n"/>
      <c r="ET8" s="39" t="n"/>
      <c r="EU8" s="39" t="n"/>
      <c r="EV8" s="41" t="n"/>
      <c r="EW8" s="39" t="n"/>
      <c r="EX8" s="37" t="n"/>
      <c r="EY8" s="37" t="n"/>
      <c r="EZ8" s="39" t="n"/>
      <c r="FA8" s="41" t="n"/>
      <c r="FB8" s="41" t="n"/>
      <c r="FC8" s="50" t="n"/>
      <c r="FD8" s="36">
        <f>IF(B8="","",IF(NOT(ISNUMBER(EK8)),"Tarih girilmedi",IFERROR(EDATE(EK8,12),"Tarih hatalı")))</f>
        <v/>
      </c>
      <c r="FE8" s="36">
        <f>IF(B8="","",IF(NOT(ISNUMBER(EK8)),"Tarih girilmedi",IFERROR(EDATE(EK8,11),"Tarih hatalı")))</f>
        <v/>
      </c>
      <c r="FF8" s="36">
        <f>IF(B8="","",IF(NOT(ISNUMBER(EN8)),"Tarih girilmedi",IFERROR(EDATE(EN8,12),"Tarih hatalı")))</f>
        <v/>
      </c>
      <c r="FG8" s="36">
        <f>IF(B8="","",IF(NOT(ISNUMBER(EN8)),"Tarih girilmedi",IFERROR(EDATE(EN8,11),"Tarih hatalı")))</f>
        <v/>
      </c>
      <c r="FH8" s="36">
        <f>IF(B8="","",IF(NOT(ISNUMBER(CW8)),"Tarih girilmedi",IFERROR(EDATE(CW8,60),"Tarih hatalı")))</f>
        <v/>
      </c>
      <c r="FI8" s="36">
        <f>IF(B8="","",IF(NOT(ISNUMBER(CW8)),"Tarih girilmedi",IFERROR(EDATE(CW8,57),"Tarih hatalı")))</f>
        <v/>
      </c>
      <c r="FJ8" s="36">
        <f>IF(B8="","",IF(NOT(ISNUMBER(DH8)),"Tarih girilmedi",IFERROR(EDATE(DH8,36),"Tarih hatalı")))</f>
        <v/>
      </c>
      <c r="FK8" s="36">
        <f>IF(B8="","",IF(NOT(ISNUMBER(DH8)),"Tarih girilmedi",IFERROR(EDATE(DH8,33),"Tarih hatalı")))</f>
        <v/>
      </c>
      <c r="FL8" s="36">
        <f>IF(B8="","",IF(NOT(ISNUMBER(BW8)),"Tarih girilmedi",IFERROR(EDATE(BW8,24),"Tarih hatalı")))</f>
        <v/>
      </c>
      <c r="FM8" s="36">
        <f>IF(B8="","",IF(NOT(ISNUMBER(BW8)),"Tarih girilmedi",IFERROR(EDATE(BW8,24)-45,"Tarih hatalı")))</f>
        <v/>
      </c>
      <c r="FN8" s="36">
        <f>IF(B8="","",IF(NOT(ISNUMBER(BM8)),"Tarih girilmedi",IFERROR(BM8-180,"Tarih hatalı")))</f>
        <v/>
      </c>
      <c r="FO8" s="51">
        <f>IF(OR(B8="",NOT(ISNUMBER(BM8))),"",BM8)</f>
        <v/>
      </c>
      <c r="FP8" s="51">
        <f>IF(OR(B8="",NOT(ISNUMBER(BM8))),"",BM8-180)</f>
        <v/>
      </c>
      <c r="FQ8" s="51">
        <f>IF(OR(B8="",NOT(ISNUMBER(BR8))),"",BR8)</f>
        <v/>
      </c>
      <c r="FR8" s="51">
        <f>IF(OR(B8="",NOT(ISNUMBER(AL8))),"",AL8)</f>
        <v/>
      </c>
      <c r="FS8" s="51">
        <f>IF(OR(B8="",NOT(ISNUMBER(CW8))),"",EDATE(CW8,60))</f>
        <v/>
      </c>
      <c r="FT8" s="51">
        <f>IF(OR(B8="",NOT(ISNUMBER(DH8))),"",EDATE(DH8,36))</f>
        <v/>
      </c>
      <c r="FU8" s="51">
        <f>IF(OR(B8="",NOT(ISNUMBER(BW8))),"",EDATE(BW8,24))</f>
        <v/>
      </c>
      <c r="FV8" s="51">
        <f>IF(OR(B8="",NOT(ISNUMBER(BX8))),"",BX8)</f>
        <v/>
      </c>
      <c r="FW8" s="51">
        <f>IF(OR(B8="",NOT(ISNUMBER(EK8))),"",EDATE(EK8,12))</f>
        <v/>
      </c>
      <c r="FX8" s="51">
        <f>IF(OR(B8="",NOT(ISNUMBER(EL8))),"",EL8)</f>
        <v/>
      </c>
      <c r="FY8" s="51">
        <f>IF(OR(B8="",NOT(ISNUMBER(EN8))),"",EDATE(EN8,12))</f>
        <v/>
      </c>
      <c r="FZ8" s="51">
        <f>IF(OR(B8="",NOT(ISNUMBER(EO8))),"",EO8)</f>
        <v/>
      </c>
      <c r="GA8" s="51">
        <f>IF(OR(B8="",NOT(ISNUMBER(CK8))),"",CK8)</f>
        <v/>
      </c>
      <c r="GB8" s="51">
        <f>IF(OR(B8="",NOT(ISNUMBER(CM8))),"",CM8)</f>
        <v/>
      </c>
      <c r="GC8" s="51">
        <f>IF(OR(B8="",NOT(ISNUMBER(CQ8))),"",CQ8)</f>
        <v/>
      </c>
      <c r="GD8" s="51">
        <f>IF(OR(B8="",NOT(ISNUMBER(EI8))),"",EI8)</f>
        <v/>
      </c>
      <c r="GE8" s="51">
        <f>IF(OR(B8="",NOT(ISNUMBER(FA8))),"",FA8)</f>
        <v/>
      </c>
      <c r="GF8" s="51">
        <f>IF(OR(B8="",NOT(ISNUMBER(ES8))),"",ES8)</f>
        <v/>
      </c>
      <c r="GG8" s="51">
        <f>IF(OR(B8="",NOT(ISNUMBER(FB8))),"",FB8)</f>
        <v/>
      </c>
    </row>
    <row r="9" ht="22" customHeight="1">
      <c r="A9" s="32" t="n">
        <v>5</v>
      </c>
      <c r="B9" s="33" t="n"/>
      <c r="C9" s="34">
        <f>IF(B9="","",((P9="Süresi geçti")+(P9="Yaklaşıyor")+(P9="Tarih hatalı"))+((Q9="Süresi geçti")+(Q9="Yaklaşıyor")+(Q9="Tarih hatalı"))+((R9="Süresi geçti")+(R9="Yaklaşıyor")+(R9="Tarih hatalı"))+((S9="Süresi geçti")+(S9="Yaklaşıyor")+(S9="Tarih hatalı"))+((T9="Süresi geçti")+(T9="Yaklaşıyor")+(T9="Tarih hatalı"))+((U9="Süresi geçti")+(U9="Yaklaşıyor")+(U9="Tarih hatalı"))+((V9="Süresi geçti")+(V9="Yaklaşıyor")+(V9="Tarih hatalı")))</f>
        <v/>
      </c>
      <c r="D9" s="35">
        <f>IF(OR(B9="",E9=""),"",INDEX($FO$4:$GG$4,1,MATCH(E9,FO9:GG9,0)))</f>
        <v/>
      </c>
      <c r="E9" s="36">
        <f>IF(B9="","",IF(COUNT(FO9:GG9)=0,"",SMALL(FO9:GG9,1)))</f>
        <v/>
      </c>
      <c r="F9" s="34">
        <f>IF(E9="","",E9-TODAY())</f>
        <v/>
      </c>
      <c r="G9" s="37" t="n"/>
      <c r="H9" s="37" t="n"/>
      <c r="I9" s="37" t="n"/>
      <c r="J9" s="37" t="n"/>
      <c r="K9" s="37" t="n"/>
      <c r="L9" s="38" t="n"/>
      <c r="M9" s="37" t="n"/>
      <c r="N9" s="37" t="n"/>
      <c r="O9" s="39" t="n"/>
      <c r="P9" s="35">
        <f>IF(B9="","",IF(NOT(ISNUMBER(AL9)),"Tarih girilmedi",IFERROR(IF(TODAY()&gt;AL9,"Süresi geçti",IF(TODAY()&gt;=(AL9-60),"Yaklaşıyor","Takipte")),"Tarih hatalı")))</f>
        <v/>
      </c>
      <c r="Q9" s="35">
        <f>IF(B9="","",IF(NOT(ISNUMBER(EK9)),"Tarih girilmedi",IFERROR(IF(TODAY()&gt;EDATE(EK9,12),"Süresi geçti",IF(TODAY()&gt;=EDATE(EK9,11),"Yaklaşıyor","Takipte")),"Tarih hatalı")))</f>
        <v/>
      </c>
      <c r="R9" s="35">
        <f>IF(B9="","",IF(NOT(ISNUMBER(EN9)),"Tarih girilmedi",IFERROR(IF(TODAY()&gt;EDATE(EN9,12),"Süresi geçti",IF(TODAY()&gt;=EDATE(EN9,11),"Yaklaşıyor","Takipte")),"Tarih hatalı")))</f>
        <v/>
      </c>
      <c r="S9" s="35">
        <f>IF(B9="","",IF(NOT(ISNUMBER(CW9)),"Tarih girilmedi",IFERROR(IF(TODAY()&gt;EDATE(CW9,60),"Süresi geçti",IF(TODAY()&gt;=EDATE(CW9,57),"Yaklaşıyor","Takipte")),"Tarih hatalı")))</f>
        <v/>
      </c>
      <c r="T9" s="35">
        <f>IF(B9="","",IF(NOT(ISNUMBER(DH9)),"Tarih girilmedi",IFERROR(IF(TODAY()&gt;EDATE(DH9,36),"Süresi geçti",IF(TODAY()&gt;=EDATE(DH9,33),"Yaklaşıyor","Takipte")),"Tarih hatalı")))</f>
        <v/>
      </c>
      <c r="U9" s="35">
        <f>IF(B9="","",IF(NOT(ISNUMBER(BW9)),"Tarih girilmedi",IFERROR(IF(TODAY()&gt;EDATE(BW9,24),"Süresi geçti",IF(TODAY()&gt;=(EDATE(BW9,24)-45),"Yaklaşıyor","Takipte")),"Tarih hatalı")))</f>
        <v/>
      </c>
      <c r="V9" s="35">
        <f>IF(B9="","",IF(NOT(ISNUMBER(BM9)),"Tarih girilmedi",IFERROR(IF(TODAY()&gt;BM9,"Süresi geçti",IF(TODAY()&gt;=(BM9-180),"Yaklaşıyor","Takipte")),"Tarih hatalı")))</f>
        <v/>
      </c>
      <c r="W9" s="40" t="n"/>
      <c r="X9" s="37" t="n"/>
      <c r="Y9" s="39" t="n"/>
      <c r="Z9" s="37" t="n"/>
      <c r="AA9" s="37" t="n"/>
      <c r="AB9" s="37" t="n"/>
      <c r="AC9" s="38" t="n"/>
      <c r="AD9" s="38" t="n"/>
      <c r="AE9" s="38" t="n"/>
      <c r="AF9" s="37" t="n"/>
      <c r="AG9" s="37" t="n"/>
      <c r="AH9" s="37" t="n"/>
      <c r="AI9" s="38" t="n"/>
      <c r="AJ9" s="37" t="n"/>
      <c r="AK9" s="41" t="n"/>
      <c r="AL9" s="41" t="n"/>
      <c r="AM9" s="37" t="n"/>
      <c r="AN9" s="39" t="n"/>
      <c r="AO9" s="42" t="n"/>
      <c r="AP9" s="37" t="n"/>
      <c r="AQ9" s="37" t="n"/>
      <c r="AR9" s="37" t="n"/>
      <c r="AS9" s="37" t="n"/>
      <c r="AT9" s="37" t="n"/>
      <c r="AU9" s="37" t="n"/>
      <c r="AV9" s="37" t="n"/>
      <c r="AW9" s="37" t="n"/>
      <c r="AX9" s="43" t="n"/>
      <c r="AY9" s="37" t="n"/>
      <c r="AZ9" s="37" t="n"/>
      <c r="BA9" s="41" t="n"/>
      <c r="BB9" s="37" t="n"/>
      <c r="BC9" s="37" t="n"/>
      <c r="BD9" s="37" t="n"/>
      <c r="BE9" s="37" t="n"/>
      <c r="BF9" s="37" t="n"/>
      <c r="BG9" s="37" t="n"/>
      <c r="BH9" s="41" t="n"/>
      <c r="BI9" s="37" t="n"/>
      <c r="BJ9" s="37" t="n"/>
      <c r="BK9" s="38" t="n"/>
      <c r="BL9" s="37" t="n"/>
      <c r="BM9" s="41" t="n"/>
      <c r="BN9" s="37" t="n"/>
      <c r="BO9" s="41" t="n"/>
      <c r="BP9" s="37" t="n"/>
      <c r="BQ9" s="37" t="n"/>
      <c r="BR9" s="41" t="n"/>
      <c r="BS9" s="39" t="n"/>
      <c r="BT9" s="44" t="n"/>
      <c r="BU9" s="37" t="n"/>
      <c r="BV9" s="45" t="n"/>
      <c r="BW9" s="41" t="n"/>
      <c r="BX9" s="41" t="n"/>
      <c r="BY9" s="37" t="n"/>
      <c r="BZ9" s="37" t="n"/>
      <c r="CA9" s="37" t="n"/>
      <c r="CB9" s="37" t="n"/>
      <c r="CC9" s="39" t="n"/>
      <c r="CD9" s="39" t="n"/>
      <c r="CE9" s="46" t="n"/>
      <c r="CF9" s="37" t="n"/>
      <c r="CG9" s="37" t="n"/>
      <c r="CH9" s="45" t="n"/>
      <c r="CI9" s="37" t="n"/>
      <c r="CJ9" s="38" t="n"/>
      <c r="CK9" s="41" t="n"/>
      <c r="CL9" s="37" t="n"/>
      <c r="CM9" s="41" t="n"/>
      <c r="CN9" s="37" t="n"/>
      <c r="CO9" s="37" t="n"/>
      <c r="CP9" s="41" t="n"/>
      <c r="CQ9" s="41" t="n"/>
      <c r="CR9" s="37" t="n"/>
      <c r="CS9" s="37" t="n"/>
      <c r="CT9" s="47" t="n"/>
      <c r="CU9" s="37" t="n"/>
      <c r="CV9" s="38" t="n"/>
      <c r="CW9" s="41" t="n"/>
      <c r="CX9" s="37" t="n"/>
      <c r="CY9" s="37" t="n"/>
      <c r="CZ9" s="37" t="n"/>
      <c r="DA9" s="37" t="n"/>
      <c r="DB9" s="37" t="n"/>
      <c r="DC9" s="37" t="n"/>
      <c r="DD9" s="37" t="n"/>
      <c r="DE9" s="37" t="n"/>
      <c r="DF9" s="37" t="n"/>
      <c r="DG9" s="37" t="n"/>
      <c r="DH9" s="41" t="n"/>
      <c r="DI9" s="37" t="n"/>
      <c r="DJ9" s="37" t="n"/>
      <c r="DK9" s="37" t="n"/>
      <c r="DL9" s="41" t="n"/>
      <c r="DM9" s="37" t="n"/>
      <c r="DN9" s="45" t="n"/>
      <c r="DO9" s="41" t="n"/>
      <c r="DP9" s="48" t="n"/>
      <c r="DQ9" s="37" t="n"/>
      <c r="DR9" s="37" t="n"/>
      <c r="DS9" s="41" t="n"/>
      <c r="DT9" s="37" t="n"/>
      <c r="DU9" s="37" t="n"/>
      <c r="DV9" s="37" t="n"/>
      <c r="DW9" s="37" t="n"/>
      <c r="DX9" s="37" t="n"/>
      <c r="DY9" s="37" t="n"/>
      <c r="DZ9" s="39" t="n"/>
      <c r="EA9" s="37" t="n"/>
      <c r="EB9" s="37" t="n"/>
      <c r="EC9" s="37" t="n"/>
      <c r="ED9" s="41" t="n"/>
      <c r="EE9" s="37" t="n"/>
      <c r="EF9" s="39" t="n"/>
      <c r="EG9" s="49" t="n"/>
      <c r="EH9" s="41" t="n"/>
      <c r="EI9" s="41" t="n"/>
      <c r="EJ9" s="37" t="n"/>
      <c r="EK9" s="41" t="n"/>
      <c r="EL9" s="41" t="n"/>
      <c r="EM9" s="37" t="n"/>
      <c r="EN9" s="41" t="n"/>
      <c r="EO9" s="41" t="n"/>
      <c r="EP9" s="37" t="n"/>
      <c r="EQ9" s="39" t="n"/>
      <c r="ER9" s="45" t="n"/>
      <c r="ES9" s="41" t="n"/>
      <c r="ET9" s="39" t="n"/>
      <c r="EU9" s="39" t="n"/>
      <c r="EV9" s="41" t="n"/>
      <c r="EW9" s="39" t="n"/>
      <c r="EX9" s="37" t="n"/>
      <c r="EY9" s="37" t="n"/>
      <c r="EZ9" s="39" t="n"/>
      <c r="FA9" s="41" t="n"/>
      <c r="FB9" s="41" t="n"/>
      <c r="FC9" s="50" t="n"/>
      <c r="FD9" s="36">
        <f>IF(B9="","",IF(NOT(ISNUMBER(EK9)),"Tarih girilmedi",IFERROR(EDATE(EK9,12),"Tarih hatalı")))</f>
        <v/>
      </c>
      <c r="FE9" s="36">
        <f>IF(B9="","",IF(NOT(ISNUMBER(EK9)),"Tarih girilmedi",IFERROR(EDATE(EK9,11),"Tarih hatalı")))</f>
        <v/>
      </c>
      <c r="FF9" s="36">
        <f>IF(B9="","",IF(NOT(ISNUMBER(EN9)),"Tarih girilmedi",IFERROR(EDATE(EN9,12),"Tarih hatalı")))</f>
        <v/>
      </c>
      <c r="FG9" s="36">
        <f>IF(B9="","",IF(NOT(ISNUMBER(EN9)),"Tarih girilmedi",IFERROR(EDATE(EN9,11),"Tarih hatalı")))</f>
        <v/>
      </c>
      <c r="FH9" s="36">
        <f>IF(B9="","",IF(NOT(ISNUMBER(CW9)),"Tarih girilmedi",IFERROR(EDATE(CW9,60),"Tarih hatalı")))</f>
        <v/>
      </c>
      <c r="FI9" s="36">
        <f>IF(B9="","",IF(NOT(ISNUMBER(CW9)),"Tarih girilmedi",IFERROR(EDATE(CW9,57),"Tarih hatalı")))</f>
        <v/>
      </c>
      <c r="FJ9" s="36">
        <f>IF(B9="","",IF(NOT(ISNUMBER(DH9)),"Tarih girilmedi",IFERROR(EDATE(DH9,36),"Tarih hatalı")))</f>
        <v/>
      </c>
      <c r="FK9" s="36">
        <f>IF(B9="","",IF(NOT(ISNUMBER(DH9)),"Tarih girilmedi",IFERROR(EDATE(DH9,33),"Tarih hatalı")))</f>
        <v/>
      </c>
      <c r="FL9" s="36">
        <f>IF(B9="","",IF(NOT(ISNUMBER(BW9)),"Tarih girilmedi",IFERROR(EDATE(BW9,24),"Tarih hatalı")))</f>
        <v/>
      </c>
      <c r="FM9" s="36">
        <f>IF(B9="","",IF(NOT(ISNUMBER(BW9)),"Tarih girilmedi",IFERROR(EDATE(BW9,24)-45,"Tarih hatalı")))</f>
        <v/>
      </c>
      <c r="FN9" s="36">
        <f>IF(B9="","",IF(NOT(ISNUMBER(BM9)),"Tarih girilmedi",IFERROR(BM9-180,"Tarih hatalı")))</f>
        <v/>
      </c>
      <c r="FO9" s="51">
        <f>IF(OR(B9="",NOT(ISNUMBER(BM9))),"",BM9)</f>
        <v/>
      </c>
      <c r="FP9" s="51">
        <f>IF(OR(B9="",NOT(ISNUMBER(BM9))),"",BM9-180)</f>
        <v/>
      </c>
      <c r="FQ9" s="51">
        <f>IF(OR(B9="",NOT(ISNUMBER(BR9))),"",BR9)</f>
        <v/>
      </c>
      <c r="FR9" s="51">
        <f>IF(OR(B9="",NOT(ISNUMBER(AL9))),"",AL9)</f>
        <v/>
      </c>
      <c r="FS9" s="51">
        <f>IF(OR(B9="",NOT(ISNUMBER(CW9))),"",EDATE(CW9,60))</f>
        <v/>
      </c>
      <c r="FT9" s="51">
        <f>IF(OR(B9="",NOT(ISNUMBER(DH9))),"",EDATE(DH9,36))</f>
        <v/>
      </c>
      <c r="FU9" s="51">
        <f>IF(OR(B9="",NOT(ISNUMBER(BW9))),"",EDATE(BW9,24))</f>
        <v/>
      </c>
      <c r="FV9" s="51">
        <f>IF(OR(B9="",NOT(ISNUMBER(BX9))),"",BX9)</f>
        <v/>
      </c>
      <c r="FW9" s="51">
        <f>IF(OR(B9="",NOT(ISNUMBER(EK9))),"",EDATE(EK9,12))</f>
        <v/>
      </c>
      <c r="FX9" s="51">
        <f>IF(OR(B9="",NOT(ISNUMBER(EL9))),"",EL9)</f>
        <v/>
      </c>
      <c r="FY9" s="51">
        <f>IF(OR(B9="",NOT(ISNUMBER(EN9))),"",EDATE(EN9,12))</f>
        <v/>
      </c>
      <c r="FZ9" s="51">
        <f>IF(OR(B9="",NOT(ISNUMBER(EO9))),"",EO9)</f>
        <v/>
      </c>
      <c r="GA9" s="51">
        <f>IF(OR(B9="",NOT(ISNUMBER(CK9))),"",CK9)</f>
        <v/>
      </c>
      <c r="GB9" s="51">
        <f>IF(OR(B9="",NOT(ISNUMBER(CM9))),"",CM9)</f>
        <v/>
      </c>
      <c r="GC9" s="51">
        <f>IF(OR(B9="",NOT(ISNUMBER(CQ9))),"",CQ9)</f>
        <v/>
      </c>
      <c r="GD9" s="51">
        <f>IF(OR(B9="",NOT(ISNUMBER(EI9))),"",EI9)</f>
        <v/>
      </c>
      <c r="GE9" s="51">
        <f>IF(OR(B9="",NOT(ISNUMBER(FA9))),"",FA9)</f>
        <v/>
      </c>
      <c r="GF9" s="51">
        <f>IF(OR(B9="",NOT(ISNUMBER(ES9))),"",ES9)</f>
        <v/>
      </c>
      <c r="GG9" s="51">
        <f>IF(OR(B9="",NOT(ISNUMBER(FB9))),"",FB9)</f>
        <v/>
      </c>
    </row>
    <row r="10" ht="22" customHeight="1">
      <c r="A10" s="32" t="n">
        <v>6</v>
      </c>
      <c r="B10" s="33" t="n"/>
      <c r="C10" s="34">
        <f>IF(B10="","",((P10="Süresi geçti")+(P10="Yaklaşıyor")+(P10="Tarih hatalı"))+((Q10="Süresi geçti")+(Q10="Yaklaşıyor")+(Q10="Tarih hatalı"))+((R10="Süresi geçti")+(R10="Yaklaşıyor")+(R10="Tarih hatalı"))+((S10="Süresi geçti")+(S10="Yaklaşıyor")+(S10="Tarih hatalı"))+((T10="Süresi geçti")+(T10="Yaklaşıyor")+(T10="Tarih hatalı"))+((U10="Süresi geçti")+(U10="Yaklaşıyor")+(U10="Tarih hatalı"))+((V10="Süresi geçti")+(V10="Yaklaşıyor")+(V10="Tarih hatalı")))</f>
        <v/>
      </c>
      <c r="D10" s="35">
        <f>IF(OR(B10="",E10=""),"",INDEX($FO$4:$GG$4,1,MATCH(E10,FO10:GG10,0)))</f>
        <v/>
      </c>
      <c r="E10" s="36">
        <f>IF(B10="","",IF(COUNT(FO10:GG10)=0,"",SMALL(FO10:GG10,1)))</f>
        <v/>
      </c>
      <c r="F10" s="34">
        <f>IF(E10="","",E10-TODAY())</f>
        <v/>
      </c>
      <c r="G10" s="37" t="n"/>
      <c r="H10" s="37" t="n"/>
      <c r="I10" s="37" t="n"/>
      <c r="J10" s="37" t="n"/>
      <c r="K10" s="37" t="n"/>
      <c r="L10" s="38" t="n"/>
      <c r="M10" s="37" t="n"/>
      <c r="N10" s="37" t="n"/>
      <c r="O10" s="39" t="n"/>
      <c r="P10" s="35">
        <f>IF(B10="","",IF(NOT(ISNUMBER(AL10)),"Tarih girilmedi",IFERROR(IF(TODAY()&gt;AL10,"Süresi geçti",IF(TODAY()&gt;=(AL10-60),"Yaklaşıyor","Takipte")),"Tarih hatalı")))</f>
        <v/>
      </c>
      <c r="Q10" s="35">
        <f>IF(B10="","",IF(NOT(ISNUMBER(EK10)),"Tarih girilmedi",IFERROR(IF(TODAY()&gt;EDATE(EK10,12),"Süresi geçti",IF(TODAY()&gt;=EDATE(EK10,11),"Yaklaşıyor","Takipte")),"Tarih hatalı")))</f>
        <v/>
      </c>
      <c r="R10" s="35">
        <f>IF(B10="","",IF(NOT(ISNUMBER(EN10)),"Tarih girilmedi",IFERROR(IF(TODAY()&gt;EDATE(EN10,12),"Süresi geçti",IF(TODAY()&gt;=EDATE(EN10,11),"Yaklaşıyor","Takipte")),"Tarih hatalı")))</f>
        <v/>
      </c>
      <c r="S10" s="35">
        <f>IF(B10="","",IF(NOT(ISNUMBER(CW10)),"Tarih girilmedi",IFERROR(IF(TODAY()&gt;EDATE(CW10,60),"Süresi geçti",IF(TODAY()&gt;=EDATE(CW10,57),"Yaklaşıyor","Takipte")),"Tarih hatalı")))</f>
        <v/>
      </c>
      <c r="T10" s="35">
        <f>IF(B10="","",IF(NOT(ISNUMBER(DH10)),"Tarih girilmedi",IFERROR(IF(TODAY()&gt;EDATE(DH10,36),"Süresi geçti",IF(TODAY()&gt;=EDATE(DH10,33),"Yaklaşıyor","Takipte")),"Tarih hatalı")))</f>
        <v/>
      </c>
      <c r="U10" s="35">
        <f>IF(B10="","",IF(NOT(ISNUMBER(BW10)),"Tarih girilmedi",IFERROR(IF(TODAY()&gt;EDATE(BW10,24),"Süresi geçti",IF(TODAY()&gt;=(EDATE(BW10,24)-45),"Yaklaşıyor","Takipte")),"Tarih hatalı")))</f>
        <v/>
      </c>
      <c r="V10" s="35">
        <f>IF(B10="","",IF(NOT(ISNUMBER(BM10)),"Tarih girilmedi",IFERROR(IF(TODAY()&gt;BM10,"Süresi geçti",IF(TODAY()&gt;=(BM10-180),"Yaklaşıyor","Takipte")),"Tarih hatalı")))</f>
        <v/>
      </c>
      <c r="W10" s="40" t="n"/>
      <c r="X10" s="37" t="n"/>
      <c r="Y10" s="39" t="n"/>
      <c r="Z10" s="37" t="n"/>
      <c r="AA10" s="37" t="n"/>
      <c r="AB10" s="37" t="n"/>
      <c r="AC10" s="38" t="n"/>
      <c r="AD10" s="38" t="n"/>
      <c r="AE10" s="38" t="n"/>
      <c r="AF10" s="37" t="n"/>
      <c r="AG10" s="37" t="n"/>
      <c r="AH10" s="37" t="n"/>
      <c r="AI10" s="38" t="n"/>
      <c r="AJ10" s="37" t="n"/>
      <c r="AK10" s="41" t="n"/>
      <c r="AL10" s="41" t="n"/>
      <c r="AM10" s="37" t="n"/>
      <c r="AN10" s="39" t="n"/>
      <c r="AO10" s="42" t="n"/>
      <c r="AP10" s="37" t="n"/>
      <c r="AQ10" s="37" t="n"/>
      <c r="AR10" s="37" t="n"/>
      <c r="AS10" s="37" t="n"/>
      <c r="AT10" s="37" t="n"/>
      <c r="AU10" s="37" t="n"/>
      <c r="AV10" s="37" t="n"/>
      <c r="AW10" s="37" t="n"/>
      <c r="AX10" s="43" t="n"/>
      <c r="AY10" s="37" t="n"/>
      <c r="AZ10" s="37" t="n"/>
      <c r="BA10" s="41" t="n"/>
      <c r="BB10" s="37" t="n"/>
      <c r="BC10" s="37" t="n"/>
      <c r="BD10" s="37" t="n"/>
      <c r="BE10" s="37" t="n"/>
      <c r="BF10" s="37" t="n"/>
      <c r="BG10" s="37" t="n"/>
      <c r="BH10" s="41" t="n"/>
      <c r="BI10" s="37" t="n"/>
      <c r="BJ10" s="37" t="n"/>
      <c r="BK10" s="38" t="n"/>
      <c r="BL10" s="37" t="n"/>
      <c r="BM10" s="41" t="n"/>
      <c r="BN10" s="37" t="n"/>
      <c r="BO10" s="41" t="n"/>
      <c r="BP10" s="37" t="n"/>
      <c r="BQ10" s="37" t="n"/>
      <c r="BR10" s="41" t="n"/>
      <c r="BS10" s="39" t="n"/>
      <c r="BT10" s="44" t="n"/>
      <c r="BU10" s="37" t="n"/>
      <c r="BV10" s="45" t="n"/>
      <c r="BW10" s="41" t="n"/>
      <c r="BX10" s="41" t="n"/>
      <c r="BY10" s="37" t="n"/>
      <c r="BZ10" s="37" t="n"/>
      <c r="CA10" s="37" t="n"/>
      <c r="CB10" s="37" t="n"/>
      <c r="CC10" s="39" t="n"/>
      <c r="CD10" s="39" t="n"/>
      <c r="CE10" s="46" t="n"/>
      <c r="CF10" s="37" t="n"/>
      <c r="CG10" s="37" t="n"/>
      <c r="CH10" s="45" t="n"/>
      <c r="CI10" s="37" t="n"/>
      <c r="CJ10" s="38" t="n"/>
      <c r="CK10" s="41" t="n"/>
      <c r="CL10" s="37" t="n"/>
      <c r="CM10" s="41" t="n"/>
      <c r="CN10" s="37" t="n"/>
      <c r="CO10" s="37" t="n"/>
      <c r="CP10" s="41" t="n"/>
      <c r="CQ10" s="41" t="n"/>
      <c r="CR10" s="37" t="n"/>
      <c r="CS10" s="37" t="n"/>
      <c r="CT10" s="47" t="n"/>
      <c r="CU10" s="37" t="n"/>
      <c r="CV10" s="38" t="n"/>
      <c r="CW10" s="41" t="n"/>
      <c r="CX10" s="37" t="n"/>
      <c r="CY10" s="37" t="n"/>
      <c r="CZ10" s="37" t="n"/>
      <c r="DA10" s="37" t="n"/>
      <c r="DB10" s="37" t="n"/>
      <c r="DC10" s="37" t="n"/>
      <c r="DD10" s="37" t="n"/>
      <c r="DE10" s="37" t="n"/>
      <c r="DF10" s="37" t="n"/>
      <c r="DG10" s="37" t="n"/>
      <c r="DH10" s="41" t="n"/>
      <c r="DI10" s="37" t="n"/>
      <c r="DJ10" s="37" t="n"/>
      <c r="DK10" s="37" t="n"/>
      <c r="DL10" s="41" t="n"/>
      <c r="DM10" s="37" t="n"/>
      <c r="DN10" s="45" t="n"/>
      <c r="DO10" s="41" t="n"/>
      <c r="DP10" s="48" t="n"/>
      <c r="DQ10" s="37" t="n"/>
      <c r="DR10" s="37" t="n"/>
      <c r="DS10" s="41" t="n"/>
      <c r="DT10" s="37" t="n"/>
      <c r="DU10" s="37" t="n"/>
      <c r="DV10" s="37" t="n"/>
      <c r="DW10" s="37" t="n"/>
      <c r="DX10" s="37" t="n"/>
      <c r="DY10" s="37" t="n"/>
      <c r="DZ10" s="39" t="n"/>
      <c r="EA10" s="37" t="n"/>
      <c r="EB10" s="37" t="n"/>
      <c r="EC10" s="37" t="n"/>
      <c r="ED10" s="41" t="n"/>
      <c r="EE10" s="37" t="n"/>
      <c r="EF10" s="39" t="n"/>
      <c r="EG10" s="49" t="n"/>
      <c r="EH10" s="41" t="n"/>
      <c r="EI10" s="41" t="n"/>
      <c r="EJ10" s="37" t="n"/>
      <c r="EK10" s="41" t="n"/>
      <c r="EL10" s="41" t="n"/>
      <c r="EM10" s="37" t="n"/>
      <c r="EN10" s="41" t="n"/>
      <c r="EO10" s="41" t="n"/>
      <c r="EP10" s="37" t="n"/>
      <c r="EQ10" s="39" t="n"/>
      <c r="ER10" s="45" t="n"/>
      <c r="ES10" s="41" t="n"/>
      <c r="ET10" s="39" t="n"/>
      <c r="EU10" s="39" t="n"/>
      <c r="EV10" s="41" t="n"/>
      <c r="EW10" s="39" t="n"/>
      <c r="EX10" s="37" t="n"/>
      <c r="EY10" s="37" t="n"/>
      <c r="EZ10" s="39" t="n"/>
      <c r="FA10" s="41" t="n"/>
      <c r="FB10" s="41" t="n"/>
      <c r="FC10" s="50" t="n"/>
      <c r="FD10" s="36">
        <f>IF(B10="","",IF(NOT(ISNUMBER(EK10)),"Tarih girilmedi",IFERROR(EDATE(EK10,12),"Tarih hatalı")))</f>
        <v/>
      </c>
      <c r="FE10" s="36">
        <f>IF(B10="","",IF(NOT(ISNUMBER(EK10)),"Tarih girilmedi",IFERROR(EDATE(EK10,11),"Tarih hatalı")))</f>
        <v/>
      </c>
      <c r="FF10" s="36">
        <f>IF(B10="","",IF(NOT(ISNUMBER(EN10)),"Tarih girilmedi",IFERROR(EDATE(EN10,12),"Tarih hatalı")))</f>
        <v/>
      </c>
      <c r="FG10" s="36">
        <f>IF(B10="","",IF(NOT(ISNUMBER(EN10)),"Tarih girilmedi",IFERROR(EDATE(EN10,11),"Tarih hatalı")))</f>
        <v/>
      </c>
      <c r="FH10" s="36">
        <f>IF(B10="","",IF(NOT(ISNUMBER(CW10)),"Tarih girilmedi",IFERROR(EDATE(CW10,60),"Tarih hatalı")))</f>
        <v/>
      </c>
      <c r="FI10" s="36">
        <f>IF(B10="","",IF(NOT(ISNUMBER(CW10)),"Tarih girilmedi",IFERROR(EDATE(CW10,57),"Tarih hatalı")))</f>
        <v/>
      </c>
      <c r="FJ10" s="36">
        <f>IF(B10="","",IF(NOT(ISNUMBER(DH10)),"Tarih girilmedi",IFERROR(EDATE(DH10,36),"Tarih hatalı")))</f>
        <v/>
      </c>
      <c r="FK10" s="36">
        <f>IF(B10="","",IF(NOT(ISNUMBER(DH10)),"Tarih girilmedi",IFERROR(EDATE(DH10,33),"Tarih hatalı")))</f>
        <v/>
      </c>
      <c r="FL10" s="36">
        <f>IF(B10="","",IF(NOT(ISNUMBER(BW10)),"Tarih girilmedi",IFERROR(EDATE(BW10,24),"Tarih hatalı")))</f>
        <v/>
      </c>
      <c r="FM10" s="36">
        <f>IF(B10="","",IF(NOT(ISNUMBER(BW10)),"Tarih girilmedi",IFERROR(EDATE(BW10,24)-45,"Tarih hatalı")))</f>
        <v/>
      </c>
      <c r="FN10" s="36">
        <f>IF(B10="","",IF(NOT(ISNUMBER(BM10)),"Tarih girilmedi",IFERROR(BM10-180,"Tarih hatalı")))</f>
        <v/>
      </c>
      <c r="FO10" s="51">
        <f>IF(OR(B10="",NOT(ISNUMBER(BM10))),"",BM10)</f>
        <v/>
      </c>
      <c r="FP10" s="51">
        <f>IF(OR(B10="",NOT(ISNUMBER(BM10))),"",BM10-180)</f>
        <v/>
      </c>
      <c r="FQ10" s="51">
        <f>IF(OR(B10="",NOT(ISNUMBER(BR10))),"",BR10)</f>
        <v/>
      </c>
      <c r="FR10" s="51">
        <f>IF(OR(B10="",NOT(ISNUMBER(AL10))),"",AL10)</f>
        <v/>
      </c>
      <c r="FS10" s="51">
        <f>IF(OR(B10="",NOT(ISNUMBER(CW10))),"",EDATE(CW10,60))</f>
        <v/>
      </c>
      <c r="FT10" s="51">
        <f>IF(OR(B10="",NOT(ISNUMBER(DH10))),"",EDATE(DH10,36))</f>
        <v/>
      </c>
      <c r="FU10" s="51">
        <f>IF(OR(B10="",NOT(ISNUMBER(BW10))),"",EDATE(BW10,24))</f>
        <v/>
      </c>
      <c r="FV10" s="51">
        <f>IF(OR(B10="",NOT(ISNUMBER(BX10))),"",BX10)</f>
        <v/>
      </c>
      <c r="FW10" s="51">
        <f>IF(OR(B10="",NOT(ISNUMBER(EK10))),"",EDATE(EK10,12))</f>
        <v/>
      </c>
      <c r="FX10" s="51">
        <f>IF(OR(B10="",NOT(ISNUMBER(EL10))),"",EL10)</f>
        <v/>
      </c>
      <c r="FY10" s="51">
        <f>IF(OR(B10="",NOT(ISNUMBER(EN10))),"",EDATE(EN10,12))</f>
        <v/>
      </c>
      <c r="FZ10" s="51">
        <f>IF(OR(B10="",NOT(ISNUMBER(EO10))),"",EO10)</f>
        <v/>
      </c>
      <c r="GA10" s="51">
        <f>IF(OR(B10="",NOT(ISNUMBER(CK10))),"",CK10)</f>
        <v/>
      </c>
      <c r="GB10" s="51">
        <f>IF(OR(B10="",NOT(ISNUMBER(CM10))),"",CM10)</f>
        <v/>
      </c>
      <c r="GC10" s="51">
        <f>IF(OR(B10="",NOT(ISNUMBER(CQ10))),"",CQ10)</f>
        <v/>
      </c>
      <c r="GD10" s="51">
        <f>IF(OR(B10="",NOT(ISNUMBER(EI10))),"",EI10)</f>
        <v/>
      </c>
      <c r="GE10" s="51">
        <f>IF(OR(B10="",NOT(ISNUMBER(FA10))),"",FA10)</f>
        <v/>
      </c>
      <c r="GF10" s="51">
        <f>IF(OR(B10="",NOT(ISNUMBER(ES10))),"",ES10)</f>
        <v/>
      </c>
      <c r="GG10" s="51">
        <f>IF(OR(B10="",NOT(ISNUMBER(FB10))),"",FB10)</f>
        <v/>
      </c>
    </row>
    <row r="11" ht="22" customHeight="1">
      <c r="A11" s="32" t="n">
        <v>7</v>
      </c>
      <c r="B11" s="33" t="n"/>
      <c r="C11" s="34">
        <f>IF(B11="","",((P11="Süresi geçti")+(P11="Yaklaşıyor")+(P11="Tarih hatalı"))+((Q11="Süresi geçti")+(Q11="Yaklaşıyor")+(Q11="Tarih hatalı"))+((R11="Süresi geçti")+(R11="Yaklaşıyor")+(R11="Tarih hatalı"))+((S11="Süresi geçti")+(S11="Yaklaşıyor")+(S11="Tarih hatalı"))+((T11="Süresi geçti")+(T11="Yaklaşıyor")+(T11="Tarih hatalı"))+((U11="Süresi geçti")+(U11="Yaklaşıyor")+(U11="Tarih hatalı"))+((V11="Süresi geçti")+(V11="Yaklaşıyor")+(V11="Tarih hatalı")))</f>
        <v/>
      </c>
      <c r="D11" s="35">
        <f>IF(OR(B11="",E11=""),"",INDEX($FO$4:$GG$4,1,MATCH(E11,FO11:GG11,0)))</f>
        <v/>
      </c>
      <c r="E11" s="36">
        <f>IF(B11="","",IF(COUNT(FO11:GG11)=0,"",SMALL(FO11:GG11,1)))</f>
        <v/>
      </c>
      <c r="F11" s="34">
        <f>IF(E11="","",E11-TODAY())</f>
        <v/>
      </c>
      <c r="G11" s="37" t="n"/>
      <c r="H11" s="37" t="n"/>
      <c r="I11" s="37" t="n"/>
      <c r="J11" s="37" t="n"/>
      <c r="K11" s="37" t="n"/>
      <c r="L11" s="38" t="n"/>
      <c r="M11" s="37" t="n"/>
      <c r="N11" s="37" t="n"/>
      <c r="O11" s="39" t="n"/>
      <c r="P11" s="35">
        <f>IF(B11="","",IF(NOT(ISNUMBER(AL11)),"Tarih girilmedi",IFERROR(IF(TODAY()&gt;AL11,"Süresi geçti",IF(TODAY()&gt;=(AL11-60),"Yaklaşıyor","Takipte")),"Tarih hatalı")))</f>
        <v/>
      </c>
      <c r="Q11" s="35">
        <f>IF(B11="","",IF(NOT(ISNUMBER(EK11)),"Tarih girilmedi",IFERROR(IF(TODAY()&gt;EDATE(EK11,12),"Süresi geçti",IF(TODAY()&gt;=EDATE(EK11,11),"Yaklaşıyor","Takipte")),"Tarih hatalı")))</f>
        <v/>
      </c>
      <c r="R11" s="35">
        <f>IF(B11="","",IF(NOT(ISNUMBER(EN11)),"Tarih girilmedi",IFERROR(IF(TODAY()&gt;EDATE(EN11,12),"Süresi geçti",IF(TODAY()&gt;=EDATE(EN11,11),"Yaklaşıyor","Takipte")),"Tarih hatalı")))</f>
        <v/>
      </c>
      <c r="S11" s="35">
        <f>IF(B11="","",IF(NOT(ISNUMBER(CW11)),"Tarih girilmedi",IFERROR(IF(TODAY()&gt;EDATE(CW11,60),"Süresi geçti",IF(TODAY()&gt;=EDATE(CW11,57),"Yaklaşıyor","Takipte")),"Tarih hatalı")))</f>
        <v/>
      </c>
      <c r="T11" s="35">
        <f>IF(B11="","",IF(NOT(ISNUMBER(DH11)),"Tarih girilmedi",IFERROR(IF(TODAY()&gt;EDATE(DH11,36),"Süresi geçti",IF(TODAY()&gt;=EDATE(DH11,33),"Yaklaşıyor","Takipte")),"Tarih hatalı")))</f>
        <v/>
      </c>
      <c r="U11" s="35">
        <f>IF(B11="","",IF(NOT(ISNUMBER(BW11)),"Tarih girilmedi",IFERROR(IF(TODAY()&gt;EDATE(BW11,24),"Süresi geçti",IF(TODAY()&gt;=(EDATE(BW11,24)-45),"Yaklaşıyor","Takipte")),"Tarih hatalı")))</f>
        <v/>
      </c>
      <c r="V11" s="35">
        <f>IF(B11="","",IF(NOT(ISNUMBER(BM11)),"Tarih girilmedi",IFERROR(IF(TODAY()&gt;BM11,"Süresi geçti",IF(TODAY()&gt;=(BM11-180),"Yaklaşıyor","Takipte")),"Tarih hatalı")))</f>
        <v/>
      </c>
      <c r="W11" s="40" t="n"/>
      <c r="X11" s="37" t="n"/>
      <c r="Y11" s="39" t="n"/>
      <c r="Z11" s="37" t="n"/>
      <c r="AA11" s="37" t="n"/>
      <c r="AB11" s="37" t="n"/>
      <c r="AC11" s="38" t="n"/>
      <c r="AD11" s="38" t="n"/>
      <c r="AE11" s="38" t="n"/>
      <c r="AF11" s="37" t="n"/>
      <c r="AG11" s="37" t="n"/>
      <c r="AH11" s="37" t="n"/>
      <c r="AI11" s="38" t="n"/>
      <c r="AJ11" s="37" t="n"/>
      <c r="AK11" s="41" t="n"/>
      <c r="AL11" s="41" t="n"/>
      <c r="AM11" s="37" t="n"/>
      <c r="AN11" s="39" t="n"/>
      <c r="AO11" s="42" t="n"/>
      <c r="AP11" s="37" t="n"/>
      <c r="AQ11" s="37" t="n"/>
      <c r="AR11" s="37" t="n"/>
      <c r="AS11" s="37" t="n"/>
      <c r="AT11" s="37" t="n"/>
      <c r="AU11" s="37" t="n"/>
      <c r="AV11" s="37" t="n"/>
      <c r="AW11" s="37" t="n"/>
      <c r="AX11" s="43" t="n"/>
      <c r="AY11" s="37" t="n"/>
      <c r="AZ11" s="37" t="n"/>
      <c r="BA11" s="41" t="n"/>
      <c r="BB11" s="37" t="n"/>
      <c r="BC11" s="37" t="n"/>
      <c r="BD11" s="37" t="n"/>
      <c r="BE11" s="37" t="n"/>
      <c r="BF11" s="37" t="n"/>
      <c r="BG11" s="37" t="n"/>
      <c r="BH11" s="41" t="n"/>
      <c r="BI11" s="37" t="n"/>
      <c r="BJ11" s="37" t="n"/>
      <c r="BK11" s="38" t="n"/>
      <c r="BL11" s="37" t="n"/>
      <c r="BM11" s="41" t="n"/>
      <c r="BN11" s="37" t="n"/>
      <c r="BO11" s="41" t="n"/>
      <c r="BP11" s="37" t="n"/>
      <c r="BQ11" s="37" t="n"/>
      <c r="BR11" s="41" t="n"/>
      <c r="BS11" s="39" t="n"/>
      <c r="BT11" s="44" t="n"/>
      <c r="BU11" s="37" t="n"/>
      <c r="BV11" s="45" t="n"/>
      <c r="BW11" s="41" t="n"/>
      <c r="BX11" s="41" t="n"/>
      <c r="BY11" s="37" t="n"/>
      <c r="BZ11" s="37" t="n"/>
      <c r="CA11" s="37" t="n"/>
      <c r="CB11" s="37" t="n"/>
      <c r="CC11" s="39" t="n"/>
      <c r="CD11" s="39" t="n"/>
      <c r="CE11" s="46" t="n"/>
      <c r="CF11" s="37" t="n"/>
      <c r="CG11" s="37" t="n"/>
      <c r="CH11" s="45" t="n"/>
      <c r="CI11" s="37" t="n"/>
      <c r="CJ11" s="38" t="n"/>
      <c r="CK11" s="41" t="n"/>
      <c r="CL11" s="37" t="n"/>
      <c r="CM11" s="41" t="n"/>
      <c r="CN11" s="37" t="n"/>
      <c r="CO11" s="37" t="n"/>
      <c r="CP11" s="41" t="n"/>
      <c r="CQ11" s="41" t="n"/>
      <c r="CR11" s="37" t="n"/>
      <c r="CS11" s="37" t="n"/>
      <c r="CT11" s="47" t="n"/>
      <c r="CU11" s="37" t="n"/>
      <c r="CV11" s="38" t="n"/>
      <c r="CW11" s="41" t="n"/>
      <c r="CX11" s="37" t="n"/>
      <c r="CY11" s="37" t="n"/>
      <c r="CZ11" s="37" t="n"/>
      <c r="DA11" s="37" t="n"/>
      <c r="DB11" s="37" t="n"/>
      <c r="DC11" s="37" t="n"/>
      <c r="DD11" s="37" t="n"/>
      <c r="DE11" s="37" t="n"/>
      <c r="DF11" s="37" t="n"/>
      <c r="DG11" s="37" t="n"/>
      <c r="DH11" s="41" t="n"/>
      <c r="DI11" s="37" t="n"/>
      <c r="DJ11" s="37" t="n"/>
      <c r="DK11" s="37" t="n"/>
      <c r="DL11" s="41" t="n"/>
      <c r="DM11" s="37" t="n"/>
      <c r="DN11" s="45" t="n"/>
      <c r="DO11" s="41" t="n"/>
      <c r="DP11" s="48" t="n"/>
      <c r="DQ11" s="37" t="n"/>
      <c r="DR11" s="37" t="n"/>
      <c r="DS11" s="41" t="n"/>
      <c r="DT11" s="37" t="n"/>
      <c r="DU11" s="37" t="n"/>
      <c r="DV11" s="37" t="n"/>
      <c r="DW11" s="37" t="n"/>
      <c r="DX11" s="37" t="n"/>
      <c r="DY11" s="37" t="n"/>
      <c r="DZ11" s="39" t="n"/>
      <c r="EA11" s="37" t="n"/>
      <c r="EB11" s="37" t="n"/>
      <c r="EC11" s="37" t="n"/>
      <c r="ED11" s="41" t="n"/>
      <c r="EE11" s="37" t="n"/>
      <c r="EF11" s="39" t="n"/>
      <c r="EG11" s="49" t="n"/>
      <c r="EH11" s="41" t="n"/>
      <c r="EI11" s="41" t="n"/>
      <c r="EJ11" s="37" t="n"/>
      <c r="EK11" s="41" t="n"/>
      <c r="EL11" s="41" t="n"/>
      <c r="EM11" s="37" t="n"/>
      <c r="EN11" s="41" t="n"/>
      <c r="EO11" s="41" t="n"/>
      <c r="EP11" s="37" t="n"/>
      <c r="EQ11" s="39" t="n"/>
      <c r="ER11" s="45" t="n"/>
      <c r="ES11" s="41" t="n"/>
      <c r="ET11" s="39" t="n"/>
      <c r="EU11" s="39" t="n"/>
      <c r="EV11" s="41" t="n"/>
      <c r="EW11" s="39" t="n"/>
      <c r="EX11" s="37" t="n"/>
      <c r="EY11" s="37" t="n"/>
      <c r="EZ11" s="39" t="n"/>
      <c r="FA11" s="41" t="n"/>
      <c r="FB11" s="41" t="n"/>
      <c r="FC11" s="50" t="n"/>
      <c r="FD11" s="36">
        <f>IF(B11="","",IF(NOT(ISNUMBER(EK11)),"Tarih girilmedi",IFERROR(EDATE(EK11,12),"Tarih hatalı")))</f>
        <v/>
      </c>
      <c r="FE11" s="36">
        <f>IF(B11="","",IF(NOT(ISNUMBER(EK11)),"Tarih girilmedi",IFERROR(EDATE(EK11,11),"Tarih hatalı")))</f>
        <v/>
      </c>
      <c r="FF11" s="36">
        <f>IF(B11="","",IF(NOT(ISNUMBER(EN11)),"Tarih girilmedi",IFERROR(EDATE(EN11,12),"Tarih hatalı")))</f>
        <v/>
      </c>
      <c r="FG11" s="36">
        <f>IF(B11="","",IF(NOT(ISNUMBER(EN11)),"Tarih girilmedi",IFERROR(EDATE(EN11,11),"Tarih hatalı")))</f>
        <v/>
      </c>
      <c r="FH11" s="36">
        <f>IF(B11="","",IF(NOT(ISNUMBER(CW11)),"Tarih girilmedi",IFERROR(EDATE(CW11,60),"Tarih hatalı")))</f>
        <v/>
      </c>
      <c r="FI11" s="36">
        <f>IF(B11="","",IF(NOT(ISNUMBER(CW11)),"Tarih girilmedi",IFERROR(EDATE(CW11,57),"Tarih hatalı")))</f>
        <v/>
      </c>
      <c r="FJ11" s="36">
        <f>IF(B11="","",IF(NOT(ISNUMBER(DH11)),"Tarih girilmedi",IFERROR(EDATE(DH11,36),"Tarih hatalı")))</f>
        <v/>
      </c>
      <c r="FK11" s="36">
        <f>IF(B11="","",IF(NOT(ISNUMBER(DH11)),"Tarih girilmedi",IFERROR(EDATE(DH11,33),"Tarih hatalı")))</f>
        <v/>
      </c>
      <c r="FL11" s="36">
        <f>IF(B11="","",IF(NOT(ISNUMBER(BW11)),"Tarih girilmedi",IFERROR(EDATE(BW11,24),"Tarih hatalı")))</f>
        <v/>
      </c>
      <c r="FM11" s="36">
        <f>IF(B11="","",IF(NOT(ISNUMBER(BW11)),"Tarih girilmedi",IFERROR(EDATE(BW11,24)-45,"Tarih hatalı")))</f>
        <v/>
      </c>
      <c r="FN11" s="36">
        <f>IF(B11="","",IF(NOT(ISNUMBER(BM11)),"Tarih girilmedi",IFERROR(BM11-180,"Tarih hatalı")))</f>
        <v/>
      </c>
      <c r="FO11" s="51">
        <f>IF(OR(B11="",NOT(ISNUMBER(BM11))),"",BM11)</f>
        <v/>
      </c>
      <c r="FP11" s="51">
        <f>IF(OR(B11="",NOT(ISNUMBER(BM11))),"",BM11-180)</f>
        <v/>
      </c>
      <c r="FQ11" s="51">
        <f>IF(OR(B11="",NOT(ISNUMBER(BR11))),"",BR11)</f>
        <v/>
      </c>
      <c r="FR11" s="51">
        <f>IF(OR(B11="",NOT(ISNUMBER(AL11))),"",AL11)</f>
        <v/>
      </c>
      <c r="FS11" s="51">
        <f>IF(OR(B11="",NOT(ISNUMBER(CW11))),"",EDATE(CW11,60))</f>
        <v/>
      </c>
      <c r="FT11" s="51">
        <f>IF(OR(B11="",NOT(ISNUMBER(DH11))),"",EDATE(DH11,36))</f>
        <v/>
      </c>
      <c r="FU11" s="51">
        <f>IF(OR(B11="",NOT(ISNUMBER(BW11))),"",EDATE(BW11,24))</f>
        <v/>
      </c>
      <c r="FV11" s="51">
        <f>IF(OR(B11="",NOT(ISNUMBER(BX11))),"",BX11)</f>
        <v/>
      </c>
      <c r="FW11" s="51">
        <f>IF(OR(B11="",NOT(ISNUMBER(EK11))),"",EDATE(EK11,12))</f>
        <v/>
      </c>
      <c r="FX11" s="51">
        <f>IF(OR(B11="",NOT(ISNUMBER(EL11))),"",EL11)</f>
        <v/>
      </c>
      <c r="FY11" s="51">
        <f>IF(OR(B11="",NOT(ISNUMBER(EN11))),"",EDATE(EN11,12))</f>
        <v/>
      </c>
      <c r="FZ11" s="51">
        <f>IF(OR(B11="",NOT(ISNUMBER(EO11))),"",EO11)</f>
        <v/>
      </c>
      <c r="GA11" s="51">
        <f>IF(OR(B11="",NOT(ISNUMBER(CK11))),"",CK11)</f>
        <v/>
      </c>
      <c r="GB11" s="51">
        <f>IF(OR(B11="",NOT(ISNUMBER(CM11))),"",CM11)</f>
        <v/>
      </c>
      <c r="GC11" s="51">
        <f>IF(OR(B11="",NOT(ISNUMBER(CQ11))),"",CQ11)</f>
        <v/>
      </c>
      <c r="GD11" s="51">
        <f>IF(OR(B11="",NOT(ISNUMBER(EI11))),"",EI11)</f>
        <v/>
      </c>
      <c r="GE11" s="51">
        <f>IF(OR(B11="",NOT(ISNUMBER(FA11))),"",FA11)</f>
        <v/>
      </c>
      <c r="GF11" s="51">
        <f>IF(OR(B11="",NOT(ISNUMBER(ES11))),"",ES11)</f>
        <v/>
      </c>
      <c r="GG11" s="51">
        <f>IF(OR(B11="",NOT(ISNUMBER(FB11))),"",FB11)</f>
        <v/>
      </c>
    </row>
    <row r="12" ht="22" customHeight="1">
      <c r="A12" s="32" t="n">
        <v>8</v>
      </c>
      <c r="B12" s="33" t="n"/>
      <c r="C12" s="34">
        <f>IF(B12="","",((P12="Süresi geçti")+(P12="Yaklaşıyor")+(P12="Tarih hatalı"))+((Q12="Süresi geçti")+(Q12="Yaklaşıyor")+(Q12="Tarih hatalı"))+((R12="Süresi geçti")+(R12="Yaklaşıyor")+(R12="Tarih hatalı"))+((S12="Süresi geçti")+(S12="Yaklaşıyor")+(S12="Tarih hatalı"))+((T12="Süresi geçti")+(T12="Yaklaşıyor")+(T12="Tarih hatalı"))+((U12="Süresi geçti")+(U12="Yaklaşıyor")+(U12="Tarih hatalı"))+((V12="Süresi geçti")+(V12="Yaklaşıyor")+(V12="Tarih hatalı")))</f>
        <v/>
      </c>
      <c r="D12" s="35">
        <f>IF(OR(B12="",E12=""),"",INDEX($FO$4:$GG$4,1,MATCH(E12,FO12:GG12,0)))</f>
        <v/>
      </c>
      <c r="E12" s="36">
        <f>IF(B12="","",IF(COUNT(FO12:GG12)=0,"",SMALL(FO12:GG12,1)))</f>
        <v/>
      </c>
      <c r="F12" s="34">
        <f>IF(E12="","",E12-TODAY())</f>
        <v/>
      </c>
      <c r="G12" s="37" t="n"/>
      <c r="H12" s="37" t="n"/>
      <c r="I12" s="37" t="n"/>
      <c r="J12" s="37" t="n"/>
      <c r="K12" s="37" t="n"/>
      <c r="L12" s="38" t="n"/>
      <c r="M12" s="37" t="n"/>
      <c r="N12" s="37" t="n"/>
      <c r="O12" s="39" t="n"/>
      <c r="P12" s="35">
        <f>IF(B12="","",IF(NOT(ISNUMBER(AL12)),"Tarih girilmedi",IFERROR(IF(TODAY()&gt;AL12,"Süresi geçti",IF(TODAY()&gt;=(AL12-60),"Yaklaşıyor","Takipte")),"Tarih hatalı")))</f>
        <v/>
      </c>
      <c r="Q12" s="35">
        <f>IF(B12="","",IF(NOT(ISNUMBER(EK12)),"Tarih girilmedi",IFERROR(IF(TODAY()&gt;EDATE(EK12,12),"Süresi geçti",IF(TODAY()&gt;=EDATE(EK12,11),"Yaklaşıyor","Takipte")),"Tarih hatalı")))</f>
        <v/>
      </c>
      <c r="R12" s="35">
        <f>IF(B12="","",IF(NOT(ISNUMBER(EN12)),"Tarih girilmedi",IFERROR(IF(TODAY()&gt;EDATE(EN12,12),"Süresi geçti",IF(TODAY()&gt;=EDATE(EN12,11),"Yaklaşıyor","Takipte")),"Tarih hatalı")))</f>
        <v/>
      </c>
      <c r="S12" s="35">
        <f>IF(B12="","",IF(NOT(ISNUMBER(CW12)),"Tarih girilmedi",IFERROR(IF(TODAY()&gt;EDATE(CW12,60),"Süresi geçti",IF(TODAY()&gt;=EDATE(CW12,57),"Yaklaşıyor","Takipte")),"Tarih hatalı")))</f>
        <v/>
      </c>
      <c r="T12" s="35">
        <f>IF(B12="","",IF(NOT(ISNUMBER(DH12)),"Tarih girilmedi",IFERROR(IF(TODAY()&gt;EDATE(DH12,36),"Süresi geçti",IF(TODAY()&gt;=EDATE(DH12,33),"Yaklaşıyor","Takipte")),"Tarih hatalı")))</f>
        <v/>
      </c>
      <c r="U12" s="35">
        <f>IF(B12="","",IF(NOT(ISNUMBER(BW12)),"Tarih girilmedi",IFERROR(IF(TODAY()&gt;EDATE(BW12,24),"Süresi geçti",IF(TODAY()&gt;=(EDATE(BW12,24)-45),"Yaklaşıyor","Takipte")),"Tarih hatalı")))</f>
        <v/>
      </c>
      <c r="V12" s="35">
        <f>IF(B12="","",IF(NOT(ISNUMBER(BM12)),"Tarih girilmedi",IFERROR(IF(TODAY()&gt;BM12,"Süresi geçti",IF(TODAY()&gt;=(BM12-180),"Yaklaşıyor","Takipte")),"Tarih hatalı")))</f>
        <v/>
      </c>
      <c r="W12" s="40" t="n"/>
      <c r="X12" s="37" t="n"/>
      <c r="Y12" s="39" t="n"/>
      <c r="Z12" s="37" t="n"/>
      <c r="AA12" s="37" t="n"/>
      <c r="AB12" s="37" t="n"/>
      <c r="AC12" s="38" t="n"/>
      <c r="AD12" s="38" t="n"/>
      <c r="AE12" s="38" t="n"/>
      <c r="AF12" s="37" t="n"/>
      <c r="AG12" s="37" t="n"/>
      <c r="AH12" s="37" t="n"/>
      <c r="AI12" s="38" t="n"/>
      <c r="AJ12" s="37" t="n"/>
      <c r="AK12" s="41" t="n"/>
      <c r="AL12" s="41" t="n"/>
      <c r="AM12" s="37" t="n"/>
      <c r="AN12" s="39" t="n"/>
      <c r="AO12" s="42" t="n"/>
      <c r="AP12" s="37" t="n"/>
      <c r="AQ12" s="37" t="n"/>
      <c r="AR12" s="37" t="n"/>
      <c r="AS12" s="37" t="n"/>
      <c r="AT12" s="37" t="n"/>
      <c r="AU12" s="37" t="n"/>
      <c r="AV12" s="37" t="n"/>
      <c r="AW12" s="37" t="n"/>
      <c r="AX12" s="43" t="n"/>
      <c r="AY12" s="37" t="n"/>
      <c r="AZ12" s="37" t="n"/>
      <c r="BA12" s="41" t="n"/>
      <c r="BB12" s="37" t="n"/>
      <c r="BC12" s="37" t="n"/>
      <c r="BD12" s="37" t="n"/>
      <c r="BE12" s="37" t="n"/>
      <c r="BF12" s="37" t="n"/>
      <c r="BG12" s="37" t="n"/>
      <c r="BH12" s="41" t="n"/>
      <c r="BI12" s="37" t="n"/>
      <c r="BJ12" s="37" t="n"/>
      <c r="BK12" s="38" t="n"/>
      <c r="BL12" s="37" t="n"/>
      <c r="BM12" s="41" t="n"/>
      <c r="BN12" s="37" t="n"/>
      <c r="BO12" s="41" t="n"/>
      <c r="BP12" s="37" t="n"/>
      <c r="BQ12" s="37" t="n"/>
      <c r="BR12" s="41" t="n"/>
      <c r="BS12" s="39" t="n"/>
      <c r="BT12" s="44" t="n"/>
      <c r="BU12" s="37" t="n"/>
      <c r="BV12" s="45" t="n"/>
      <c r="BW12" s="41" t="n"/>
      <c r="BX12" s="41" t="n"/>
      <c r="BY12" s="37" t="n"/>
      <c r="BZ12" s="37" t="n"/>
      <c r="CA12" s="37" t="n"/>
      <c r="CB12" s="37" t="n"/>
      <c r="CC12" s="39" t="n"/>
      <c r="CD12" s="39" t="n"/>
      <c r="CE12" s="46" t="n"/>
      <c r="CF12" s="37" t="n"/>
      <c r="CG12" s="37" t="n"/>
      <c r="CH12" s="45" t="n"/>
      <c r="CI12" s="37" t="n"/>
      <c r="CJ12" s="38" t="n"/>
      <c r="CK12" s="41" t="n"/>
      <c r="CL12" s="37" t="n"/>
      <c r="CM12" s="41" t="n"/>
      <c r="CN12" s="37" t="n"/>
      <c r="CO12" s="37" t="n"/>
      <c r="CP12" s="41" t="n"/>
      <c r="CQ12" s="41" t="n"/>
      <c r="CR12" s="37" t="n"/>
      <c r="CS12" s="37" t="n"/>
      <c r="CT12" s="47" t="n"/>
      <c r="CU12" s="37" t="n"/>
      <c r="CV12" s="38" t="n"/>
      <c r="CW12" s="41" t="n"/>
      <c r="CX12" s="37" t="n"/>
      <c r="CY12" s="37" t="n"/>
      <c r="CZ12" s="37" t="n"/>
      <c r="DA12" s="37" t="n"/>
      <c r="DB12" s="37" t="n"/>
      <c r="DC12" s="37" t="n"/>
      <c r="DD12" s="37" t="n"/>
      <c r="DE12" s="37" t="n"/>
      <c r="DF12" s="37" t="n"/>
      <c r="DG12" s="37" t="n"/>
      <c r="DH12" s="41" t="n"/>
      <c r="DI12" s="37" t="n"/>
      <c r="DJ12" s="37" t="n"/>
      <c r="DK12" s="37" t="n"/>
      <c r="DL12" s="41" t="n"/>
      <c r="DM12" s="37" t="n"/>
      <c r="DN12" s="45" t="n"/>
      <c r="DO12" s="41" t="n"/>
      <c r="DP12" s="48" t="n"/>
      <c r="DQ12" s="37" t="n"/>
      <c r="DR12" s="37" t="n"/>
      <c r="DS12" s="41" t="n"/>
      <c r="DT12" s="37" t="n"/>
      <c r="DU12" s="37" t="n"/>
      <c r="DV12" s="37" t="n"/>
      <c r="DW12" s="37" t="n"/>
      <c r="DX12" s="37" t="n"/>
      <c r="DY12" s="37" t="n"/>
      <c r="DZ12" s="39" t="n"/>
      <c r="EA12" s="37" t="n"/>
      <c r="EB12" s="37" t="n"/>
      <c r="EC12" s="37" t="n"/>
      <c r="ED12" s="41" t="n"/>
      <c r="EE12" s="37" t="n"/>
      <c r="EF12" s="39" t="n"/>
      <c r="EG12" s="49" t="n"/>
      <c r="EH12" s="41" t="n"/>
      <c r="EI12" s="41" t="n"/>
      <c r="EJ12" s="37" t="n"/>
      <c r="EK12" s="41" t="n"/>
      <c r="EL12" s="41" t="n"/>
      <c r="EM12" s="37" t="n"/>
      <c r="EN12" s="41" t="n"/>
      <c r="EO12" s="41" t="n"/>
      <c r="EP12" s="37" t="n"/>
      <c r="EQ12" s="39" t="n"/>
      <c r="ER12" s="45" t="n"/>
      <c r="ES12" s="41" t="n"/>
      <c r="ET12" s="39" t="n"/>
      <c r="EU12" s="39" t="n"/>
      <c r="EV12" s="41" t="n"/>
      <c r="EW12" s="39" t="n"/>
      <c r="EX12" s="37" t="n"/>
      <c r="EY12" s="37" t="n"/>
      <c r="EZ12" s="39" t="n"/>
      <c r="FA12" s="41" t="n"/>
      <c r="FB12" s="41" t="n"/>
      <c r="FC12" s="50" t="n"/>
      <c r="FD12" s="36">
        <f>IF(B12="","",IF(NOT(ISNUMBER(EK12)),"Tarih girilmedi",IFERROR(EDATE(EK12,12),"Tarih hatalı")))</f>
        <v/>
      </c>
      <c r="FE12" s="36">
        <f>IF(B12="","",IF(NOT(ISNUMBER(EK12)),"Tarih girilmedi",IFERROR(EDATE(EK12,11),"Tarih hatalı")))</f>
        <v/>
      </c>
      <c r="FF12" s="36">
        <f>IF(B12="","",IF(NOT(ISNUMBER(EN12)),"Tarih girilmedi",IFERROR(EDATE(EN12,12),"Tarih hatalı")))</f>
        <v/>
      </c>
      <c r="FG12" s="36">
        <f>IF(B12="","",IF(NOT(ISNUMBER(EN12)),"Tarih girilmedi",IFERROR(EDATE(EN12,11),"Tarih hatalı")))</f>
        <v/>
      </c>
      <c r="FH12" s="36">
        <f>IF(B12="","",IF(NOT(ISNUMBER(CW12)),"Tarih girilmedi",IFERROR(EDATE(CW12,60),"Tarih hatalı")))</f>
        <v/>
      </c>
      <c r="FI12" s="36">
        <f>IF(B12="","",IF(NOT(ISNUMBER(CW12)),"Tarih girilmedi",IFERROR(EDATE(CW12,57),"Tarih hatalı")))</f>
        <v/>
      </c>
      <c r="FJ12" s="36">
        <f>IF(B12="","",IF(NOT(ISNUMBER(DH12)),"Tarih girilmedi",IFERROR(EDATE(DH12,36),"Tarih hatalı")))</f>
        <v/>
      </c>
      <c r="FK12" s="36">
        <f>IF(B12="","",IF(NOT(ISNUMBER(DH12)),"Tarih girilmedi",IFERROR(EDATE(DH12,33),"Tarih hatalı")))</f>
        <v/>
      </c>
      <c r="FL12" s="36">
        <f>IF(B12="","",IF(NOT(ISNUMBER(BW12)),"Tarih girilmedi",IFERROR(EDATE(BW12,24),"Tarih hatalı")))</f>
        <v/>
      </c>
      <c r="FM12" s="36">
        <f>IF(B12="","",IF(NOT(ISNUMBER(BW12)),"Tarih girilmedi",IFERROR(EDATE(BW12,24)-45,"Tarih hatalı")))</f>
        <v/>
      </c>
      <c r="FN12" s="36">
        <f>IF(B12="","",IF(NOT(ISNUMBER(BM12)),"Tarih girilmedi",IFERROR(BM12-180,"Tarih hatalı")))</f>
        <v/>
      </c>
      <c r="FO12" s="51">
        <f>IF(OR(B12="",NOT(ISNUMBER(BM12))),"",BM12)</f>
        <v/>
      </c>
      <c r="FP12" s="51">
        <f>IF(OR(B12="",NOT(ISNUMBER(BM12))),"",BM12-180)</f>
        <v/>
      </c>
      <c r="FQ12" s="51">
        <f>IF(OR(B12="",NOT(ISNUMBER(BR12))),"",BR12)</f>
        <v/>
      </c>
      <c r="FR12" s="51">
        <f>IF(OR(B12="",NOT(ISNUMBER(AL12))),"",AL12)</f>
        <v/>
      </c>
      <c r="FS12" s="51">
        <f>IF(OR(B12="",NOT(ISNUMBER(CW12))),"",EDATE(CW12,60))</f>
        <v/>
      </c>
      <c r="FT12" s="51">
        <f>IF(OR(B12="",NOT(ISNUMBER(DH12))),"",EDATE(DH12,36))</f>
        <v/>
      </c>
      <c r="FU12" s="51">
        <f>IF(OR(B12="",NOT(ISNUMBER(BW12))),"",EDATE(BW12,24))</f>
        <v/>
      </c>
      <c r="FV12" s="51">
        <f>IF(OR(B12="",NOT(ISNUMBER(BX12))),"",BX12)</f>
        <v/>
      </c>
      <c r="FW12" s="51">
        <f>IF(OR(B12="",NOT(ISNUMBER(EK12))),"",EDATE(EK12,12))</f>
        <v/>
      </c>
      <c r="FX12" s="51">
        <f>IF(OR(B12="",NOT(ISNUMBER(EL12))),"",EL12)</f>
        <v/>
      </c>
      <c r="FY12" s="51">
        <f>IF(OR(B12="",NOT(ISNUMBER(EN12))),"",EDATE(EN12,12))</f>
        <v/>
      </c>
      <c r="FZ12" s="51">
        <f>IF(OR(B12="",NOT(ISNUMBER(EO12))),"",EO12)</f>
        <v/>
      </c>
      <c r="GA12" s="51">
        <f>IF(OR(B12="",NOT(ISNUMBER(CK12))),"",CK12)</f>
        <v/>
      </c>
      <c r="GB12" s="51">
        <f>IF(OR(B12="",NOT(ISNUMBER(CM12))),"",CM12)</f>
        <v/>
      </c>
      <c r="GC12" s="51">
        <f>IF(OR(B12="",NOT(ISNUMBER(CQ12))),"",CQ12)</f>
        <v/>
      </c>
      <c r="GD12" s="51">
        <f>IF(OR(B12="",NOT(ISNUMBER(EI12))),"",EI12)</f>
        <v/>
      </c>
      <c r="GE12" s="51">
        <f>IF(OR(B12="",NOT(ISNUMBER(FA12))),"",FA12)</f>
        <v/>
      </c>
      <c r="GF12" s="51">
        <f>IF(OR(B12="",NOT(ISNUMBER(ES12))),"",ES12)</f>
        <v/>
      </c>
      <c r="GG12" s="51">
        <f>IF(OR(B12="",NOT(ISNUMBER(FB12))),"",FB12)</f>
        <v/>
      </c>
    </row>
    <row r="13" ht="22" customHeight="1">
      <c r="A13" s="32" t="n">
        <v>9</v>
      </c>
      <c r="B13" s="33" t="n"/>
      <c r="C13" s="34">
        <f>IF(B13="","",((P13="Süresi geçti")+(P13="Yaklaşıyor")+(P13="Tarih hatalı"))+((Q13="Süresi geçti")+(Q13="Yaklaşıyor")+(Q13="Tarih hatalı"))+((R13="Süresi geçti")+(R13="Yaklaşıyor")+(R13="Tarih hatalı"))+((S13="Süresi geçti")+(S13="Yaklaşıyor")+(S13="Tarih hatalı"))+((T13="Süresi geçti")+(T13="Yaklaşıyor")+(T13="Tarih hatalı"))+((U13="Süresi geçti")+(U13="Yaklaşıyor")+(U13="Tarih hatalı"))+((V13="Süresi geçti")+(V13="Yaklaşıyor")+(V13="Tarih hatalı")))</f>
        <v/>
      </c>
      <c r="D13" s="35">
        <f>IF(OR(B13="",E13=""),"",INDEX($FO$4:$GG$4,1,MATCH(E13,FO13:GG13,0)))</f>
        <v/>
      </c>
      <c r="E13" s="36">
        <f>IF(B13="","",IF(COUNT(FO13:GG13)=0,"",SMALL(FO13:GG13,1)))</f>
        <v/>
      </c>
      <c r="F13" s="34">
        <f>IF(E13="","",E13-TODAY())</f>
        <v/>
      </c>
      <c r="G13" s="37" t="n"/>
      <c r="H13" s="37" t="n"/>
      <c r="I13" s="37" t="n"/>
      <c r="J13" s="37" t="n"/>
      <c r="K13" s="37" t="n"/>
      <c r="L13" s="38" t="n"/>
      <c r="M13" s="37" t="n"/>
      <c r="N13" s="37" t="n"/>
      <c r="O13" s="39" t="n"/>
      <c r="P13" s="35">
        <f>IF(B13="","",IF(NOT(ISNUMBER(AL13)),"Tarih girilmedi",IFERROR(IF(TODAY()&gt;AL13,"Süresi geçti",IF(TODAY()&gt;=(AL13-60),"Yaklaşıyor","Takipte")),"Tarih hatalı")))</f>
        <v/>
      </c>
      <c r="Q13" s="35">
        <f>IF(B13="","",IF(NOT(ISNUMBER(EK13)),"Tarih girilmedi",IFERROR(IF(TODAY()&gt;EDATE(EK13,12),"Süresi geçti",IF(TODAY()&gt;=EDATE(EK13,11),"Yaklaşıyor","Takipte")),"Tarih hatalı")))</f>
        <v/>
      </c>
      <c r="R13" s="35">
        <f>IF(B13="","",IF(NOT(ISNUMBER(EN13)),"Tarih girilmedi",IFERROR(IF(TODAY()&gt;EDATE(EN13,12),"Süresi geçti",IF(TODAY()&gt;=EDATE(EN13,11),"Yaklaşıyor","Takipte")),"Tarih hatalı")))</f>
        <v/>
      </c>
      <c r="S13" s="35">
        <f>IF(B13="","",IF(NOT(ISNUMBER(CW13)),"Tarih girilmedi",IFERROR(IF(TODAY()&gt;EDATE(CW13,60),"Süresi geçti",IF(TODAY()&gt;=EDATE(CW13,57),"Yaklaşıyor","Takipte")),"Tarih hatalı")))</f>
        <v/>
      </c>
      <c r="T13" s="35">
        <f>IF(B13="","",IF(NOT(ISNUMBER(DH13)),"Tarih girilmedi",IFERROR(IF(TODAY()&gt;EDATE(DH13,36),"Süresi geçti",IF(TODAY()&gt;=EDATE(DH13,33),"Yaklaşıyor","Takipte")),"Tarih hatalı")))</f>
        <v/>
      </c>
      <c r="U13" s="35">
        <f>IF(B13="","",IF(NOT(ISNUMBER(BW13)),"Tarih girilmedi",IFERROR(IF(TODAY()&gt;EDATE(BW13,24),"Süresi geçti",IF(TODAY()&gt;=(EDATE(BW13,24)-45),"Yaklaşıyor","Takipte")),"Tarih hatalı")))</f>
        <v/>
      </c>
      <c r="V13" s="35">
        <f>IF(B13="","",IF(NOT(ISNUMBER(BM13)),"Tarih girilmedi",IFERROR(IF(TODAY()&gt;BM13,"Süresi geçti",IF(TODAY()&gt;=(BM13-180),"Yaklaşıyor","Takipte")),"Tarih hatalı")))</f>
        <v/>
      </c>
      <c r="W13" s="40" t="n"/>
      <c r="X13" s="37" t="n"/>
      <c r="Y13" s="39" t="n"/>
      <c r="Z13" s="37" t="n"/>
      <c r="AA13" s="37" t="n"/>
      <c r="AB13" s="37" t="n"/>
      <c r="AC13" s="38" t="n"/>
      <c r="AD13" s="38" t="n"/>
      <c r="AE13" s="38" t="n"/>
      <c r="AF13" s="37" t="n"/>
      <c r="AG13" s="37" t="n"/>
      <c r="AH13" s="37" t="n"/>
      <c r="AI13" s="38" t="n"/>
      <c r="AJ13" s="37" t="n"/>
      <c r="AK13" s="41" t="n"/>
      <c r="AL13" s="41" t="n"/>
      <c r="AM13" s="37" t="n"/>
      <c r="AN13" s="39" t="n"/>
      <c r="AO13" s="42" t="n"/>
      <c r="AP13" s="37" t="n"/>
      <c r="AQ13" s="37" t="n"/>
      <c r="AR13" s="37" t="n"/>
      <c r="AS13" s="37" t="n"/>
      <c r="AT13" s="37" t="n"/>
      <c r="AU13" s="37" t="n"/>
      <c r="AV13" s="37" t="n"/>
      <c r="AW13" s="37" t="n"/>
      <c r="AX13" s="43" t="n"/>
      <c r="AY13" s="37" t="n"/>
      <c r="AZ13" s="37" t="n"/>
      <c r="BA13" s="41" t="n"/>
      <c r="BB13" s="37" t="n"/>
      <c r="BC13" s="37" t="n"/>
      <c r="BD13" s="37" t="n"/>
      <c r="BE13" s="37" t="n"/>
      <c r="BF13" s="37" t="n"/>
      <c r="BG13" s="37" t="n"/>
      <c r="BH13" s="41" t="n"/>
      <c r="BI13" s="37" t="n"/>
      <c r="BJ13" s="37" t="n"/>
      <c r="BK13" s="38" t="n"/>
      <c r="BL13" s="37" t="n"/>
      <c r="BM13" s="41" t="n"/>
      <c r="BN13" s="37" t="n"/>
      <c r="BO13" s="41" t="n"/>
      <c r="BP13" s="37" t="n"/>
      <c r="BQ13" s="37" t="n"/>
      <c r="BR13" s="41" t="n"/>
      <c r="BS13" s="39" t="n"/>
      <c r="BT13" s="44" t="n"/>
      <c r="BU13" s="37" t="n"/>
      <c r="BV13" s="45" t="n"/>
      <c r="BW13" s="41" t="n"/>
      <c r="BX13" s="41" t="n"/>
      <c r="BY13" s="37" t="n"/>
      <c r="BZ13" s="37" t="n"/>
      <c r="CA13" s="37" t="n"/>
      <c r="CB13" s="37" t="n"/>
      <c r="CC13" s="39" t="n"/>
      <c r="CD13" s="39" t="n"/>
      <c r="CE13" s="46" t="n"/>
      <c r="CF13" s="37" t="n"/>
      <c r="CG13" s="37" t="n"/>
      <c r="CH13" s="45" t="n"/>
      <c r="CI13" s="37" t="n"/>
      <c r="CJ13" s="38" t="n"/>
      <c r="CK13" s="41" t="n"/>
      <c r="CL13" s="37" t="n"/>
      <c r="CM13" s="41" t="n"/>
      <c r="CN13" s="37" t="n"/>
      <c r="CO13" s="37" t="n"/>
      <c r="CP13" s="41" t="n"/>
      <c r="CQ13" s="41" t="n"/>
      <c r="CR13" s="37" t="n"/>
      <c r="CS13" s="37" t="n"/>
      <c r="CT13" s="47" t="n"/>
      <c r="CU13" s="37" t="n"/>
      <c r="CV13" s="38" t="n"/>
      <c r="CW13" s="41" t="n"/>
      <c r="CX13" s="37" t="n"/>
      <c r="CY13" s="37" t="n"/>
      <c r="CZ13" s="37" t="n"/>
      <c r="DA13" s="37" t="n"/>
      <c r="DB13" s="37" t="n"/>
      <c r="DC13" s="37" t="n"/>
      <c r="DD13" s="37" t="n"/>
      <c r="DE13" s="37" t="n"/>
      <c r="DF13" s="37" t="n"/>
      <c r="DG13" s="37" t="n"/>
      <c r="DH13" s="41" t="n"/>
      <c r="DI13" s="37" t="n"/>
      <c r="DJ13" s="37" t="n"/>
      <c r="DK13" s="37" t="n"/>
      <c r="DL13" s="41" t="n"/>
      <c r="DM13" s="37" t="n"/>
      <c r="DN13" s="45" t="n"/>
      <c r="DO13" s="41" t="n"/>
      <c r="DP13" s="48" t="n"/>
      <c r="DQ13" s="37" t="n"/>
      <c r="DR13" s="37" t="n"/>
      <c r="DS13" s="41" t="n"/>
      <c r="DT13" s="37" t="n"/>
      <c r="DU13" s="37" t="n"/>
      <c r="DV13" s="37" t="n"/>
      <c r="DW13" s="37" t="n"/>
      <c r="DX13" s="37" t="n"/>
      <c r="DY13" s="37" t="n"/>
      <c r="DZ13" s="39" t="n"/>
      <c r="EA13" s="37" t="n"/>
      <c r="EB13" s="37" t="n"/>
      <c r="EC13" s="37" t="n"/>
      <c r="ED13" s="41" t="n"/>
      <c r="EE13" s="37" t="n"/>
      <c r="EF13" s="39" t="n"/>
      <c r="EG13" s="49" t="n"/>
      <c r="EH13" s="41" t="n"/>
      <c r="EI13" s="41" t="n"/>
      <c r="EJ13" s="37" t="n"/>
      <c r="EK13" s="41" t="n"/>
      <c r="EL13" s="41" t="n"/>
      <c r="EM13" s="37" t="n"/>
      <c r="EN13" s="41" t="n"/>
      <c r="EO13" s="41" t="n"/>
      <c r="EP13" s="37" t="n"/>
      <c r="EQ13" s="39" t="n"/>
      <c r="ER13" s="45" t="n"/>
      <c r="ES13" s="41" t="n"/>
      <c r="ET13" s="39" t="n"/>
      <c r="EU13" s="39" t="n"/>
      <c r="EV13" s="41" t="n"/>
      <c r="EW13" s="39" t="n"/>
      <c r="EX13" s="37" t="n"/>
      <c r="EY13" s="37" t="n"/>
      <c r="EZ13" s="39" t="n"/>
      <c r="FA13" s="41" t="n"/>
      <c r="FB13" s="41" t="n"/>
      <c r="FC13" s="50" t="n"/>
      <c r="FD13" s="36">
        <f>IF(B13="","",IF(NOT(ISNUMBER(EK13)),"Tarih girilmedi",IFERROR(EDATE(EK13,12),"Tarih hatalı")))</f>
        <v/>
      </c>
      <c r="FE13" s="36">
        <f>IF(B13="","",IF(NOT(ISNUMBER(EK13)),"Tarih girilmedi",IFERROR(EDATE(EK13,11),"Tarih hatalı")))</f>
        <v/>
      </c>
      <c r="FF13" s="36">
        <f>IF(B13="","",IF(NOT(ISNUMBER(EN13)),"Tarih girilmedi",IFERROR(EDATE(EN13,12),"Tarih hatalı")))</f>
        <v/>
      </c>
      <c r="FG13" s="36">
        <f>IF(B13="","",IF(NOT(ISNUMBER(EN13)),"Tarih girilmedi",IFERROR(EDATE(EN13,11),"Tarih hatalı")))</f>
        <v/>
      </c>
      <c r="FH13" s="36">
        <f>IF(B13="","",IF(NOT(ISNUMBER(CW13)),"Tarih girilmedi",IFERROR(EDATE(CW13,60),"Tarih hatalı")))</f>
        <v/>
      </c>
      <c r="FI13" s="36">
        <f>IF(B13="","",IF(NOT(ISNUMBER(CW13)),"Tarih girilmedi",IFERROR(EDATE(CW13,57),"Tarih hatalı")))</f>
        <v/>
      </c>
      <c r="FJ13" s="36">
        <f>IF(B13="","",IF(NOT(ISNUMBER(DH13)),"Tarih girilmedi",IFERROR(EDATE(DH13,36),"Tarih hatalı")))</f>
        <v/>
      </c>
      <c r="FK13" s="36">
        <f>IF(B13="","",IF(NOT(ISNUMBER(DH13)),"Tarih girilmedi",IFERROR(EDATE(DH13,33),"Tarih hatalı")))</f>
        <v/>
      </c>
      <c r="FL13" s="36">
        <f>IF(B13="","",IF(NOT(ISNUMBER(BW13)),"Tarih girilmedi",IFERROR(EDATE(BW13,24),"Tarih hatalı")))</f>
        <v/>
      </c>
      <c r="FM13" s="36">
        <f>IF(B13="","",IF(NOT(ISNUMBER(BW13)),"Tarih girilmedi",IFERROR(EDATE(BW13,24)-45,"Tarih hatalı")))</f>
        <v/>
      </c>
      <c r="FN13" s="36">
        <f>IF(B13="","",IF(NOT(ISNUMBER(BM13)),"Tarih girilmedi",IFERROR(BM13-180,"Tarih hatalı")))</f>
        <v/>
      </c>
      <c r="FO13" s="51">
        <f>IF(OR(B13="",NOT(ISNUMBER(BM13))),"",BM13)</f>
        <v/>
      </c>
      <c r="FP13" s="51">
        <f>IF(OR(B13="",NOT(ISNUMBER(BM13))),"",BM13-180)</f>
        <v/>
      </c>
      <c r="FQ13" s="51">
        <f>IF(OR(B13="",NOT(ISNUMBER(BR13))),"",BR13)</f>
        <v/>
      </c>
      <c r="FR13" s="51">
        <f>IF(OR(B13="",NOT(ISNUMBER(AL13))),"",AL13)</f>
        <v/>
      </c>
      <c r="FS13" s="51">
        <f>IF(OR(B13="",NOT(ISNUMBER(CW13))),"",EDATE(CW13,60))</f>
        <v/>
      </c>
      <c r="FT13" s="51">
        <f>IF(OR(B13="",NOT(ISNUMBER(DH13))),"",EDATE(DH13,36))</f>
        <v/>
      </c>
      <c r="FU13" s="51">
        <f>IF(OR(B13="",NOT(ISNUMBER(BW13))),"",EDATE(BW13,24))</f>
        <v/>
      </c>
      <c r="FV13" s="51">
        <f>IF(OR(B13="",NOT(ISNUMBER(BX13))),"",BX13)</f>
        <v/>
      </c>
      <c r="FW13" s="51">
        <f>IF(OR(B13="",NOT(ISNUMBER(EK13))),"",EDATE(EK13,12))</f>
        <v/>
      </c>
      <c r="FX13" s="51">
        <f>IF(OR(B13="",NOT(ISNUMBER(EL13))),"",EL13)</f>
        <v/>
      </c>
      <c r="FY13" s="51">
        <f>IF(OR(B13="",NOT(ISNUMBER(EN13))),"",EDATE(EN13,12))</f>
        <v/>
      </c>
      <c r="FZ13" s="51">
        <f>IF(OR(B13="",NOT(ISNUMBER(EO13))),"",EO13)</f>
        <v/>
      </c>
      <c r="GA13" s="51">
        <f>IF(OR(B13="",NOT(ISNUMBER(CK13))),"",CK13)</f>
        <v/>
      </c>
      <c r="GB13" s="51">
        <f>IF(OR(B13="",NOT(ISNUMBER(CM13))),"",CM13)</f>
        <v/>
      </c>
      <c r="GC13" s="51">
        <f>IF(OR(B13="",NOT(ISNUMBER(CQ13))),"",CQ13)</f>
        <v/>
      </c>
      <c r="GD13" s="51">
        <f>IF(OR(B13="",NOT(ISNUMBER(EI13))),"",EI13)</f>
        <v/>
      </c>
      <c r="GE13" s="51">
        <f>IF(OR(B13="",NOT(ISNUMBER(FA13))),"",FA13)</f>
        <v/>
      </c>
      <c r="GF13" s="51">
        <f>IF(OR(B13="",NOT(ISNUMBER(ES13))),"",ES13)</f>
        <v/>
      </c>
      <c r="GG13" s="51">
        <f>IF(OR(B13="",NOT(ISNUMBER(FB13))),"",FB13)</f>
        <v/>
      </c>
    </row>
    <row r="14" ht="22" customHeight="1">
      <c r="A14" s="32" t="n">
        <v>10</v>
      </c>
      <c r="B14" s="33" t="n"/>
      <c r="C14" s="34">
        <f>IF(B14="","",((P14="Süresi geçti")+(P14="Yaklaşıyor")+(P14="Tarih hatalı"))+((Q14="Süresi geçti")+(Q14="Yaklaşıyor")+(Q14="Tarih hatalı"))+((R14="Süresi geçti")+(R14="Yaklaşıyor")+(R14="Tarih hatalı"))+((S14="Süresi geçti")+(S14="Yaklaşıyor")+(S14="Tarih hatalı"))+((T14="Süresi geçti")+(T14="Yaklaşıyor")+(T14="Tarih hatalı"))+((U14="Süresi geçti")+(U14="Yaklaşıyor")+(U14="Tarih hatalı"))+((V14="Süresi geçti")+(V14="Yaklaşıyor")+(V14="Tarih hatalı")))</f>
        <v/>
      </c>
      <c r="D14" s="35">
        <f>IF(OR(B14="",E14=""),"",INDEX($FO$4:$GG$4,1,MATCH(E14,FO14:GG14,0)))</f>
        <v/>
      </c>
      <c r="E14" s="36">
        <f>IF(B14="","",IF(COUNT(FO14:GG14)=0,"",SMALL(FO14:GG14,1)))</f>
        <v/>
      </c>
      <c r="F14" s="34">
        <f>IF(E14="","",E14-TODAY())</f>
        <v/>
      </c>
      <c r="G14" s="37" t="n"/>
      <c r="H14" s="37" t="n"/>
      <c r="I14" s="37" t="n"/>
      <c r="J14" s="37" t="n"/>
      <c r="K14" s="37" t="n"/>
      <c r="L14" s="38" t="n"/>
      <c r="M14" s="37" t="n"/>
      <c r="N14" s="37" t="n"/>
      <c r="O14" s="39" t="n"/>
      <c r="P14" s="35">
        <f>IF(B14="","",IF(NOT(ISNUMBER(AL14)),"Tarih girilmedi",IFERROR(IF(TODAY()&gt;AL14,"Süresi geçti",IF(TODAY()&gt;=(AL14-60),"Yaklaşıyor","Takipte")),"Tarih hatalı")))</f>
        <v/>
      </c>
      <c r="Q14" s="35">
        <f>IF(B14="","",IF(NOT(ISNUMBER(EK14)),"Tarih girilmedi",IFERROR(IF(TODAY()&gt;EDATE(EK14,12),"Süresi geçti",IF(TODAY()&gt;=EDATE(EK14,11),"Yaklaşıyor","Takipte")),"Tarih hatalı")))</f>
        <v/>
      </c>
      <c r="R14" s="35">
        <f>IF(B14="","",IF(NOT(ISNUMBER(EN14)),"Tarih girilmedi",IFERROR(IF(TODAY()&gt;EDATE(EN14,12),"Süresi geçti",IF(TODAY()&gt;=EDATE(EN14,11),"Yaklaşıyor","Takipte")),"Tarih hatalı")))</f>
        <v/>
      </c>
      <c r="S14" s="35">
        <f>IF(B14="","",IF(NOT(ISNUMBER(CW14)),"Tarih girilmedi",IFERROR(IF(TODAY()&gt;EDATE(CW14,60),"Süresi geçti",IF(TODAY()&gt;=EDATE(CW14,57),"Yaklaşıyor","Takipte")),"Tarih hatalı")))</f>
        <v/>
      </c>
      <c r="T14" s="35">
        <f>IF(B14="","",IF(NOT(ISNUMBER(DH14)),"Tarih girilmedi",IFERROR(IF(TODAY()&gt;EDATE(DH14,36),"Süresi geçti",IF(TODAY()&gt;=EDATE(DH14,33),"Yaklaşıyor","Takipte")),"Tarih hatalı")))</f>
        <v/>
      </c>
      <c r="U14" s="35">
        <f>IF(B14="","",IF(NOT(ISNUMBER(BW14)),"Tarih girilmedi",IFERROR(IF(TODAY()&gt;EDATE(BW14,24),"Süresi geçti",IF(TODAY()&gt;=(EDATE(BW14,24)-45),"Yaklaşıyor","Takipte")),"Tarih hatalı")))</f>
        <v/>
      </c>
      <c r="V14" s="35">
        <f>IF(B14="","",IF(NOT(ISNUMBER(BM14)),"Tarih girilmedi",IFERROR(IF(TODAY()&gt;BM14,"Süresi geçti",IF(TODAY()&gt;=(BM14-180),"Yaklaşıyor","Takipte")),"Tarih hatalı")))</f>
        <v/>
      </c>
      <c r="W14" s="40" t="n"/>
      <c r="X14" s="37" t="n"/>
      <c r="Y14" s="39" t="n"/>
      <c r="Z14" s="37" t="n"/>
      <c r="AA14" s="37" t="n"/>
      <c r="AB14" s="37" t="n"/>
      <c r="AC14" s="38" t="n"/>
      <c r="AD14" s="38" t="n"/>
      <c r="AE14" s="38" t="n"/>
      <c r="AF14" s="37" t="n"/>
      <c r="AG14" s="37" t="n"/>
      <c r="AH14" s="37" t="n"/>
      <c r="AI14" s="38" t="n"/>
      <c r="AJ14" s="37" t="n"/>
      <c r="AK14" s="41" t="n"/>
      <c r="AL14" s="41" t="n"/>
      <c r="AM14" s="37" t="n"/>
      <c r="AN14" s="39" t="n"/>
      <c r="AO14" s="42" t="n"/>
      <c r="AP14" s="37" t="n"/>
      <c r="AQ14" s="37" t="n"/>
      <c r="AR14" s="37" t="n"/>
      <c r="AS14" s="37" t="n"/>
      <c r="AT14" s="37" t="n"/>
      <c r="AU14" s="37" t="n"/>
      <c r="AV14" s="37" t="n"/>
      <c r="AW14" s="37" t="n"/>
      <c r="AX14" s="43" t="n"/>
      <c r="AY14" s="37" t="n"/>
      <c r="AZ14" s="37" t="n"/>
      <c r="BA14" s="41" t="n"/>
      <c r="BB14" s="37" t="n"/>
      <c r="BC14" s="37" t="n"/>
      <c r="BD14" s="37" t="n"/>
      <c r="BE14" s="37" t="n"/>
      <c r="BF14" s="37" t="n"/>
      <c r="BG14" s="37" t="n"/>
      <c r="BH14" s="41" t="n"/>
      <c r="BI14" s="37" t="n"/>
      <c r="BJ14" s="37" t="n"/>
      <c r="BK14" s="38" t="n"/>
      <c r="BL14" s="37" t="n"/>
      <c r="BM14" s="41" t="n"/>
      <c r="BN14" s="37" t="n"/>
      <c r="BO14" s="41" t="n"/>
      <c r="BP14" s="37" t="n"/>
      <c r="BQ14" s="37" t="n"/>
      <c r="BR14" s="41" t="n"/>
      <c r="BS14" s="39" t="n"/>
      <c r="BT14" s="44" t="n"/>
      <c r="BU14" s="37" t="n"/>
      <c r="BV14" s="45" t="n"/>
      <c r="BW14" s="41" t="n"/>
      <c r="BX14" s="41" t="n"/>
      <c r="BY14" s="37" t="n"/>
      <c r="BZ14" s="37" t="n"/>
      <c r="CA14" s="37" t="n"/>
      <c r="CB14" s="37" t="n"/>
      <c r="CC14" s="39" t="n"/>
      <c r="CD14" s="39" t="n"/>
      <c r="CE14" s="46" t="n"/>
      <c r="CF14" s="37" t="n"/>
      <c r="CG14" s="37" t="n"/>
      <c r="CH14" s="45" t="n"/>
      <c r="CI14" s="37" t="n"/>
      <c r="CJ14" s="38" t="n"/>
      <c r="CK14" s="41" t="n"/>
      <c r="CL14" s="37" t="n"/>
      <c r="CM14" s="41" t="n"/>
      <c r="CN14" s="37" t="n"/>
      <c r="CO14" s="37" t="n"/>
      <c r="CP14" s="41" t="n"/>
      <c r="CQ14" s="41" t="n"/>
      <c r="CR14" s="37" t="n"/>
      <c r="CS14" s="37" t="n"/>
      <c r="CT14" s="47" t="n"/>
      <c r="CU14" s="37" t="n"/>
      <c r="CV14" s="38" t="n"/>
      <c r="CW14" s="41" t="n"/>
      <c r="CX14" s="37" t="n"/>
      <c r="CY14" s="37" t="n"/>
      <c r="CZ14" s="37" t="n"/>
      <c r="DA14" s="37" t="n"/>
      <c r="DB14" s="37" t="n"/>
      <c r="DC14" s="37" t="n"/>
      <c r="DD14" s="37" t="n"/>
      <c r="DE14" s="37" t="n"/>
      <c r="DF14" s="37" t="n"/>
      <c r="DG14" s="37" t="n"/>
      <c r="DH14" s="41" t="n"/>
      <c r="DI14" s="37" t="n"/>
      <c r="DJ14" s="37" t="n"/>
      <c r="DK14" s="37" t="n"/>
      <c r="DL14" s="41" t="n"/>
      <c r="DM14" s="37" t="n"/>
      <c r="DN14" s="45" t="n"/>
      <c r="DO14" s="41" t="n"/>
      <c r="DP14" s="48" t="n"/>
      <c r="DQ14" s="37" t="n"/>
      <c r="DR14" s="37" t="n"/>
      <c r="DS14" s="41" t="n"/>
      <c r="DT14" s="37" t="n"/>
      <c r="DU14" s="37" t="n"/>
      <c r="DV14" s="37" t="n"/>
      <c r="DW14" s="37" t="n"/>
      <c r="DX14" s="37" t="n"/>
      <c r="DY14" s="37" t="n"/>
      <c r="DZ14" s="39" t="n"/>
      <c r="EA14" s="37" t="n"/>
      <c r="EB14" s="37" t="n"/>
      <c r="EC14" s="37" t="n"/>
      <c r="ED14" s="41" t="n"/>
      <c r="EE14" s="37" t="n"/>
      <c r="EF14" s="39" t="n"/>
      <c r="EG14" s="49" t="n"/>
      <c r="EH14" s="41" t="n"/>
      <c r="EI14" s="41" t="n"/>
      <c r="EJ14" s="37" t="n"/>
      <c r="EK14" s="41" t="n"/>
      <c r="EL14" s="41" t="n"/>
      <c r="EM14" s="37" t="n"/>
      <c r="EN14" s="41" t="n"/>
      <c r="EO14" s="41" t="n"/>
      <c r="EP14" s="37" t="n"/>
      <c r="EQ14" s="39" t="n"/>
      <c r="ER14" s="45" t="n"/>
      <c r="ES14" s="41" t="n"/>
      <c r="ET14" s="39" t="n"/>
      <c r="EU14" s="39" t="n"/>
      <c r="EV14" s="41" t="n"/>
      <c r="EW14" s="39" t="n"/>
      <c r="EX14" s="37" t="n"/>
      <c r="EY14" s="37" t="n"/>
      <c r="EZ14" s="39" t="n"/>
      <c r="FA14" s="41" t="n"/>
      <c r="FB14" s="41" t="n"/>
      <c r="FC14" s="50" t="n"/>
      <c r="FD14" s="36">
        <f>IF(B14="","",IF(NOT(ISNUMBER(EK14)),"Tarih girilmedi",IFERROR(EDATE(EK14,12),"Tarih hatalı")))</f>
        <v/>
      </c>
      <c r="FE14" s="36">
        <f>IF(B14="","",IF(NOT(ISNUMBER(EK14)),"Tarih girilmedi",IFERROR(EDATE(EK14,11),"Tarih hatalı")))</f>
        <v/>
      </c>
      <c r="FF14" s="36">
        <f>IF(B14="","",IF(NOT(ISNUMBER(EN14)),"Tarih girilmedi",IFERROR(EDATE(EN14,12),"Tarih hatalı")))</f>
        <v/>
      </c>
      <c r="FG14" s="36">
        <f>IF(B14="","",IF(NOT(ISNUMBER(EN14)),"Tarih girilmedi",IFERROR(EDATE(EN14,11),"Tarih hatalı")))</f>
        <v/>
      </c>
      <c r="FH14" s="36">
        <f>IF(B14="","",IF(NOT(ISNUMBER(CW14)),"Tarih girilmedi",IFERROR(EDATE(CW14,60),"Tarih hatalı")))</f>
        <v/>
      </c>
      <c r="FI14" s="36">
        <f>IF(B14="","",IF(NOT(ISNUMBER(CW14)),"Tarih girilmedi",IFERROR(EDATE(CW14,57),"Tarih hatalı")))</f>
        <v/>
      </c>
      <c r="FJ14" s="36">
        <f>IF(B14="","",IF(NOT(ISNUMBER(DH14)),"Tarih girilmedi",IFERROR(EDATE(DH14,36),"Tarih hatalı")))</f>
        <v/>
      </c>
      <c r="FK14" s="36">
        <f>IF(B14="","",IF(NOT(ISNUMBER(DH14)),"Tarih girilmedi",IFERROR(EDATE(DH14,33),"Tarih hatalı")))</f>
        <v/>
      </c>
      <c r="FL14" s="36">
        <f>IF(B14="","",IF(NOT(ISNUMBER(BW14)),"Tarih girilmedi",IFERROR(EDATE(BW14,24),"Tarih hatalı")))</f>
        <v/>
      </c>
      <c r="FM14" s="36">
        <f>IF(B14="","",IF(NOT(ISNUMBER(BW14)),"Tarih girilmedi",IFERROR(EDATE(BW14,24)-45,"Tarih hatalı")))</f>
        <v/>
      </c>
      <c r="FN14" s="36">
        <f>IF(B14="","",IF(NOT(ISNUMBER(BM14)),"Tarih girilmedi",IFERROR(BM14-180,"Tarih hatalı")))</f>
        <v/>
      </c>
      <c r="FO14" s="51">
        <f>IF(OR(B14="",NOT(ISNUMBER(BM14))),"",BM14)</f>
        <v/>
      </c>
      <c r="FP14" s="51">
        <f>IF(OR(B14="",NOT(ISNUMBER(BM14))),"",BM14-180)</f>
        <v/>
      </c>
      <c r="FQ14" s="51">
        <f>IF(OR(B14="",NOT(ISNUMBER(BR14))),"",BR14)</f>
        <v/>
      </c>
      <c r="FR14" s="51">
        <f>IF(OR(B14="",NOT(ISNUMBER(AL14))),"",AL14)</f>
        <v/>
      </c>
      <c r="FS14" s="51">
        <f>IF(OR(B14="",NOT(ISNUMBER(CW14))),"",EDATE(CW14,60))</f>
        <v/>
      </c>
      <c r="FT14" s="51">
        <f>IF(OR(B14="",NOT(ISNUMBER(DH14))),"",EDATE(DH14,36))</f>
        <v/>
      </c>
      <c r="FU14" s="51">
        <f>IF(OR(B14="",NOT(ISNUMBER(BW14))),"",EDATE(BW14,24))</f>
        <v/>
      </c>
      <c r="FV14" s="51">
        <f>IF(OR(B14="",NOT(ISNUMBER(BX14))),"",BX14)</f>
        <v/>
      </c>
      <c r="FW14" s="51">
        <f>IF(OR(B14="",NOT(ISNUMBER(EK14))),"",EDATE(EK14,12))</f>
        <v/>
      </c>
      <c r="FX14" s="51">
        <f>IF(OR(B14="",NOT(ISNUMBER(EL14))),"",EL14)</f>
        <v/>
      </c>
      <c r="FY14" s="51">
        <f>IF(OR(B14="",NOT(ISNUMBER(EN14))),"",EDATE(EN14,12))</f>
        <v/>
      </c>
      <c r="FZ14" s="51">
        <f>IF(OR(B14="",NOT(ISNUMBER(EO14))),"",EO14)</f>
        <v/>
      </c>
      <c r="GA14" s="51">
        <f>IF(OR(B14="",NOT(ISNUMBER(CK14))),"",CK14)</f>
        <v/>
      </c>
      <c r="GB14" s="51">
        <f>IF(OR(B14="",NOT(ISNUMBER(CM14))),"",CM14)</f>
        <v/>
      </c>
      <c r="GC14" s="51">
        <f>IF(OR(B14="",NOT(ISNUMBER(CQ14))),"",CQ14)</f>
        <v/>
      </c>
      <c r="GD14" s="51">
        <f>IF(OR(B14="",NOT(ISNUMBER(EI14))),"",EI14)</f>
        <v/>
      </c>
      <c r="GE14" s="51">
        <f>IF(OR(B14="",NOT(ISNUMBER(FA14))),"",FA14)</f>
        <v/>
      </c>
      <c r="GF14" s="51">
        <f>IF(OR(B14="",NOT(ISNUMBER(ES14))),"",ES14)</f>
        <v/>
      </c>
      <c r="GG14" s="51">
        <f>IF(OR(B14="",NOT(ISNUMBER(FB14))),"",FB14)</f>
        <v/>
      </c>
    </row>
    <row r="15" ht="22" customHeight="1">
      <c r="A15" s="32" t="n">
        <v>11</v>
      </c>
      <c r="B15" s="33" t="n"/>
      <c r="C15" s="34">
        <f>IF(B15="","",((P15="Süresi geçti")+(P15="Yaklaşıyor")+(P15="Tarih hatalı"))+((Q15="Süresi geçti")+(Q15="Yaklaşıyor")+(Q15="Tarih hatalı"))+((R15="Süresi geçti")+(R15="Yaklaşıyor")+(R15="Tarih hatalı"))+((S15="Süresi geçti")+(S15="Yaklaşıyor")+(S15="Tarih hatalı"))+((T15="Süresi geçti")+(T15="Yaklaşıyor")+(T15="Tarih hatalı"))+((U15="Süresi geçti")+(U15="Yaklaşıyor")+(U15="Tarih hatalı"))+((V15="Süresi geçti")+(V15="Yaklaşıyor")+(V15="Tarih hatalı")))</f>
        <v/>
      </c>
      <c r="D15" s="35">
        <f>IF(OR(B15="",E15=""),"",INDEX($FO$4:$GG$4,1,MATCH(E15,FO15:GG15,0)))</f>
        <v/>
      </c>
      <c r="E15" s="36">
        <f>IF(B15="","",IF(COUNT(FO15:GG15)=0,"",SMALL(FO15:GG15,1)))</f>
        <v/>
      </c>
      <c r="F15" s="34">
        <f>IF(E15="","",E15-TODAY())</f>
        <v/>
      </c>
      <c r="G15" s="37" t="n"/>
      <c r="H15" s="37" t="n"/>
      <c r="I15" s="37" t="n"/>
      <c r="J15" s="37" t="n"/>
      <c r="K15" s="37" t="n"/>
      <c r="L15" s="38" t="n"/>
      <c r="M15" s="37" t="n"/>
      <c r="N15" s="37" t="n"/>
      <c r="O15" s="39" t="n"/>
      <c r="P15" s="35">
        <f>IF(B15="","",IF(NOT(ISNUMBER(AL15)),"Tarih girilmedi",IFERROR(IF(TODAY()&gt;AL15,"Süresi geçti",IF(TODAY()&gt;=(AL15-60),"Yaklaşıyor","Takipte")),"Tarih hatalı")))</f>
        <v/>
      </c>
      <c r="Q15" s="35">
        <f>IF(B15="","",IF(NOT(ISNUMBER(EK15)),"Tarih girilmedi",IFERROR(IF(TODAY()&gt;EDATE(EK15,12),"Süresi geçti",IF(TODAY()&gt;=EDATE(EK15,11),"Yaklaşıyor","Takipte")),"Tarih hatalı")))</f>
        <v/>
      </c>
      <c r="R15" s="35">
        <f>IF(B15="","",IF(NOT(ISNUMBER(EN15)),"Tarih girilmedi",IFERROR(IF(TODAY()&gt;EDATE(EN15,12),"Süresi geçti",IF(TODAY()&gt;=EDATE(EN15,11),"Yaklaşıyor","Takipte")),"Tarih hatalı")))</f>
        <v/>
      </c>
      <c r="S15" s="35">
        <f>IF(B15="","",IF(NOT(ISNUMBER(CW15)),"Tarih girilmedi",IFERROR(IF(TODAY()&gt;EDATE(CW15,60),"Süresi geçti",IF(TODAY()&gt;=EDATE(CW15,57),"Yaklaşıyor","Takipte")),"Tarih hatalı")))</f>
        <v/>
      </c>
      <c r="T15" s="35">
        <f>IF(B15="","",IF(NOT(ISNUMBER(DH15)),"Tarih girilmedi",IFERROR(IF(TODAY()&gt;EDATE(DH15,36),"Süresi geçti",IF(TODAY()&gt;=EDATE(DH15,33),"Yaklaşıyor","Takipte")),"Tarih hatalı")))</f>
        <v/>
      </c>
      <c r="U15" s="35">
        <f>IF(B15="","",IF(NOT(ISNUMBER(BW15)),"Tarih girilmedi",IFERROR(IF(TODAY()&gt;EDATE(BW15,24),"Süresi geçti",IF(TODAY()&gt;=(EDATE(BW15,24)-45),"Yaklaşıyor","Takipte")),"Tarih hatalı")))</f>
        <v/>
      </c>
      <c r="V15" s="35">
        <f>IF(B15="","",IF(NOT(ISNUMBER(BM15)),"Tarih girilmedi",IFERROR(IF(TODAY()&gt;BM15,"Süresi geçti",IF(TODAY()&gt;=(BM15-180),"Yaklaşıyor","Takipte")),"Tarih hatalı")))</f>
        <v/>
      </c>
      <c r="W15" s="40" t="n"/>
      <c r="X15" s="37" t="n"/>
      <c r="Y15" s="39" t="n"/>
      <c r="Z15" s="37" t="n"/>
      <c r="AA15" s="37" t="n"/>
      <c r="AB15" s="37" t="n"/>
      <c r="AC15" s="38" t="n"/>
      <c r="AD15" s="38" t="n"/>
      <c r="AE15" s="38" t="n"/>
      <c r="AF15" s="37" t="n"/>
      <c r="AG15" s="37" t="n"/>
      <c r="AH15" s="37" t="n"/>
      <c r="AI15" s="38" t="n"/>
      <c r="AJ15" s="37" t="n"/>
      <c r="AK15" s="41" t="n"/>
      <c r="AL15" s="41" t="n"/>
      <c r="AM15" s="37" t="n"/>
      <c r="AN15" s="39" t="n"/>
      <c r="AO15" s="42" t="n"/>
      <c r="AP15" s="37" t="n"/>
      <c r="AQ15" s="37" t="n"/>
      <c r="AR15" s="37" t="n"/>
      <c r="AS15" s="37" t="n"/>
      <c r="AT15" s="37" t="n"/>
      <c r="AU15" s="37" t="n"/>
      <c r="AV15" s="37" t="n"/>
      <c r="AW15" s="37" t="n"/>
      <c r="AX15" s="43" t="n"/>
      <c r="AY15" s="37" t="n"/>
      <c r="AZ15" s="37" t="n"/>
      <c r="BA15" s="41" t="n"/>
      <c r="BB15" s="37" t="n"/>
      <c r="BC15" s="37" t="n"/>
      <c r="BD15" s="37" t="n"/>
      <c r="BE15" s="37" t="n"/>
      <c r="BF15" s="37" t="n"/>
      <c r="BG15" s="37" t="n"/>
      <c r="BH15" s="41" t="n"/>
      <c r="BI15" s="37" t="n"/>
      <c r="BJ15" s="37" t="n"/>
      <c r="BK15" s="38" t="n"/>
      <c r="BL15" s="37" t="n"/>
      <c r="BM15" s="41" t="n"/>
      <c r="BN15" s="37" t="n"/>
      <c r="BO15" s="41" t="n"/>
      <c r="BP15" s="37" t="n"/>
      <c r="BQ15" s="37" t="n"/>
      <c r="BR15" s="41" t="n"/>
      <c r="BS15" s="39" t="n"/>
      <c r="BT15" s="44" t="n"/>
      <c r="BU15" s="37" t="n"/>
      <c r="BV15" s="45" t="n"/>
      <c r="BW15" s="41" t="n"/>
      <c r="BX15" s="41" t="n"/>
      <c r="BY15" s="37" t="n"/>
      <c r="BZ15" s="37" t="n"/>
      <c r="CA15" s="37" t="n"/>
      <c r="CB15" s="37" t="n"/>
      <c r="CC15" s="39" t="n"/>
      <c r="CD15" s="39" t="n"/>
      <c r="CE15" s="46" t="n"/>
      <c r="CF15" s="37" t="n"/>
      <c r="CG15" s="37" t="n"/>
      <c r="CH15" s="45" t="n"/>
      <c r="CI15" s="37" t="n"/>
      <c r="CJ15" s="38" t="n"/>
      <c r="CK15" s="41" t="n"/>
      <c r="CL15" s="37" t="n"/>
      <c r="CM15" s="41" t="n"/>
      <c r="CN15" s="37" t="n"/>
      <c r="CO15" s="37" t="n"/>
      <c r="CP15" s="41" t="n"/>
      <c r="CQ15" s="41" t="n"/>
      <c r="CR15" s="37" t="n"/>
      <c r="CS15" s="37" t="n"/>
      <c r="CT15" s="47" t="n"/>
      <c r="CU15" s="37" t="n"/>
      <c r="CV15" s="38" t="n"/>
      <c r="CW15" s="41" t="n"/>
      <c r="CX15" s="37" t="n"/>
      <c r="CY15" s="37" t="n"/>
      <c r="CZ15" s="37" t="n"/>
      <c r="DA15" s="37" t="n"/>
      <c r="DB15" s="37" t="n"/>
      <c r="DC15" s="37" t="n"/>
      <c r="DD15" s="37" t="n"/>
      <c r="DE15" s="37" t="n"/>
      <c r="DF15" s="37" t="n"/>
      <c r="DG15" s="37" t="n"/>
      <c r="DH15" s="41" t="n"/>
      <c r="DI15" s="37" t="n"/>
      <c r="DJ15" s="37" t="n"/>
      <c r="DK15" s="37" t="n"/>
      <c r="DL15" s="41" t="n"/>
      <c r="DM15" s="37" t="n"/>
      <c r="DN15" s="45" t="n"/>
      <c r="DO15" s="41" t="n"/>
      <c r="DP15" s="48" t="n"/>
      <c r="DQ15" s="37" t="n"/>
      <c r="DR15" s="37" t="n"/>
      <c r="DS15" s="41" t="n"/>
      <c r="DT15" s="37" t="n"/>
      <c r="DU15" s="37" t="n"/>
      <c r="DV15" s="37" t="n"/>
      <c r="DW15" s="37" t="n"/>
      <c r="DX15" s="37" t="n"/>
      <c r="DY15" s="37" t="n"/>
      <c r="DZ15" s="39" t="n"/>
      <c r="EA15" s="37" t="n"/>
      <c r="EB15" s="37" t="n"/>
      <c r="EC15" s="37" t="n"/>
      <c r="ED15" s="41" t="n"/>
      <c r="EE15" s="37" t="n"/>
      <c r="EF15" s="39" t="n"/>
      <c r="EG15" s="49" t="n"/>
      <c r="EH15" s="41" t="n"/>
      <c r="EI15" s="41" t="n"/>
      <c r="EJ15" s="37" t="n"/>
      <c r="EK15" s="41" t="n"/>
      <c r="EL15" s="41" t="n"/>
      <c r="EM15" s="37" t="n"/>
      <c r="EN15" s="41" t="n"/>
      <c r="EO15" s="41" t="n"/>
      <c r="EP15" s="37" t="n"/>
      <c r="EQ15" s="39" t="n"/>
      <c r="ER15" s="45" t="n"/>
      <c r="ES15" s="41" t="n"/>
      <c r="ET15" s="39" t="n"/>
      <c r="EU15" s="39" t="n"/>
      <c r="EV15" s="41" t="n"/>
      <c r="EW15" s="39" t="n"/>
      <c r="EX15" s="37" t="n"/>
      <c r="EY15" s="37" t="n"/>
      <c r="EZ15" s="39" t="n"/>
      <c r="FA15" s="41" t="n"/>
      <c r="FB15" s="41" t="n"/>
      <c r="FC15" s="50" t="n"/>
      <c r="FD15" s="36">
        <f>IF(B15="","",IF(NOT(ISNUMBER(EK15)),"Tarih girilmedi",IFERROR(EDATE(EK15,12),"Tarih hatalı")))</f>
        <v/>
      </c>
      <c r="FE15" s="36">
        <f>IF(B15="","",IF(NOT(ISNUMBER(EK15)),"Tarih girilmedi",IFERROR(EDATE(EK15,11),"Tarih hatalı")))</f>
        <v/>
      </c>
      <c r="FF15" s="36">
        <f>IF(B15="","",IF(NOT(ISNUMBER(EN15)),"Tarih girilmedi",IFERROR(EDATE(EN15,12),"Tarih hatalı")))</f>
        <v/>
      </c>
      <c r="FG15" s="36">
        <f>IF(B15="","",IF(NOT(ISNUMBER(EN15)),"Tarih girilmedi",IFERROR(EDATE(EN15,11),"Tarih hatalı")))</f>
        <v/>
      </c>
      <c r="FH15" s="36">
        <f>IF(B15="","",IF(NOT(ISNUMBER(CW15)),"Tarih girilmedi",IFERROR(EDATE(CW15,60),"Tarih hatalı")))</f>
        <v/>
      </c>
      <c r="FI15" s="36">
        <f>IF(B15="","",IF(NOT(ISNUMBER(CW15)),"Tarih girilmedi",IFERROR(EDATE(CW15,57),"Tarih hatalı")))</f>
        <v/>
      </c>
      <c r="FJ15" s="36">
        <f>IF(B15="","",IF(NOT(ISNUMBER(DH15)),"Tarih girilmedi",IFERROR(EDATE(DH15,36),"Tarih hatalı")))</f>
        <v/>
      </c>
      <c r="FK15" s="36">
        <f>IF(B15="","",IF(NOT(ISNUMBER(DH15)),"Tarih girilmedi",IFERROR(EDATE(DH15,33),"Tarih hatalı")))</f>
        <v/>
      </c>
      <c r="FL15" s="36">
        <f>IF(B15="","",IF(NOT(ISNUMBER(BW15)),"Tarih girilmedi",IFERROR(EDATE(BW15,24),"Tarih hatalı")))</f>
        <v/>
      </c>
      <c r="FM15" s="36">
        <f>IF(B15="","",IF(NOT(ISNUMBER(BW15)),"Tarih girilmedi",IFERROR(EDATE(BW15,24)-45,"Tarih hatalı")))</f>
        <v/>
      </c>
      <c r="FN15" s="36">
        <f>IF(B15="","",IF(NOT(ISNUMBER(BM15)),"Tarih girilmedi",IFERROR(BM15-180,"Tarih hatalı")))</f>
        <v/>
      </c>
      <c r="FO15" s="51">
        <f>IF(OR(B15="",NOT(ISNUMBER(BM15))),"",BM15)</f>
        <v/>
      </c>
      <c r="FP15" s="51">
        <f>IF(OR(B15="",NOT(ISNUMBER(BM15))),"",BM15-180)</f>
        <v/>
      </c>
      <c r="FQ15" s="51">
        <f>IF(OR(B15="",NOT(ISNUMBER(BR15))),"",BR15)</f>
        <v/>
      </c>
      <c r="FR15" s="51">
        <f>IF(OR(B15="",NOT(ISNUMBER(AL15))),"",AL15)</f>
        <v/>
      </c>
      <c r="FS15" s="51">
        <f>IF(OR(B15="",NOT(ISNUMBER(CW15))),"",EDATE(CW15,60))</f>
        <v/>
      </c>
      <c r="FT15" s="51">
        <f>IF(OR(B15="",NOT(ISNUMBER(DH15))),"",EDATE(DH15,36))</f>
        <v/>
      </c>
      <c r="FU15" s="51">
        <f>IF(OR(B15="",NOT(ISNUMBER(BW15))),"",EDATE(BW15,24))</f>
        <v/>
      </c>
      <c r="FV15" s="51">
        <f>IF(OR(B15="",NOT(ISNUMBER(BX15))),"",BX15)</f>
        <v/>
      </c>
      <c r="FW15" s="51">
        <f>IF(OR(B15="",NOT(ISNUMBER(EK15))),"",EDATE(EK15,12))</f>
        <v/>
      </c>
      <c r="FX15" s="51">
        <f>IF(OR(B15="",NOT(ISNUMBER(EL15))),"",EL15)</f>
        <v/>
      </c>
      <c r="FY15" s="51">
        <f>IF(OR(B15="",NOT(ISNUMBER(EN15))),"",EDATE(EN15,12))</f>
        <v/>
      </c>
      <c r="FZ15" s="51">
        <f>IF(OR(B15="",NOT(ISNUMBER(EO15))),"",EO15)</f>
        <v/>
      </c>
      <c r="GA15" s="51">
        <f>IF(OR(B15="",NOT(ISNUMBER(CK15))),"",CK15)</f>
        <v/>
      </c>
      <c r="GB15" s="51">
        <f>IF(OR(B15="",NOT(ISNUMBER(CM15))),"",CM15)</f>
        <v/>
      </c>
      <c r="GC15" s="51">
        <f>IF(OR(B15="",NOT(ISNUMBER(CQ15))),"",CQ15)</f>
        <v/>
      </c>
      <c r="GD15" s="51">
        <f>IF(OR(B15="",NOT(ISNUMBER(EI15))),"",EI15)</f>
        <v/>
      </c>
      <c r="GE15" s="51">
        <f>IF(OR(B15="",NOT(ISNUMBER(FA15))),"",FA15)</f>
        <v/>
      </c>
      <c r="GF15" s="51">
        <f>IF(OR(B15="",NOT(ISNUMBER(ES15))),"",ES15)</f>
        <v/>
      </c>
      <c r="GG15" s="51">
        <f>IF(OR(B15="",NOT(ISNUMBER(FB15))),"",FB15)</f>
        <v/>
      </c>
    </row>
    <row r="16" ht="22" customHeight="1">
      <c r="A16" s="32" t="n">
        <v>12</v>
      </c>
      <c r="B16" s="33" t="n"/>
      <c r="C16" s="34">
        <f>IF(B16="","",((P16="Süresi geçti")+(P16="Yaklaşıyor")+(P16="Tarih hatalı"))+((Q16="Süresi geçti")+(Q16="Yaklaşıyor")+(Q16="Tarih hatalı"))+((R16="Süresi geçti")+(R16="Yaklaşıyor")+(R16="Tarih hatalı"))+((S16="Süresi geçti")+(S16="Yaklaşıyor")+(S16="Tarih hatalı"))+((T16="Süresi geçti")+(T16="Yaklaşıyor")+(T16="Tarih hatalı"))+((U16="Süresi geçti")+(U16="Yaklaşıyor")+(U16="Tarih hatalı"))+((V16="Süresi geçti")+(V16="Yaklaşıyor")+(V16="Tarih hatalı")))</f>
        <v/>
      </c>
      <c r="D16" s="35">
        <f>IF(OR(B16="",E16=""),"",INDEX($FO$4:$GG$4,1,MATCH(E16,FO16:GG16,0)))</f>
        <v/>
      </c>
      <c r="E16" s="36">
        <f>IF(B16="","",IF(COUNT(FO16:GG16)=0,"",SMALL(FO16:GG16,1)))</f>
        <v/>
      </c>
      <c r="F16" s="34">
        <f>IF(E16="","",E16-TODAY())</f>
        <v/>
      </c>
      <c r="G16" s="37" t="n"/>
      <c r="H16" s="37" t="n"/>
      <c r="I16" s="37" t="n"/>
      <c r="J16" s="37" t="n"/>
      <c r="K16" s="37" t="n"/>
      <c r="L16" s="38" t="n"/>
      <c r="M16" s="37" t="n"/>
      <c r="N16" s="37" t="n"/>
      <c r="O16" s="39" t="n"/>
      <c r="P16" s="35">
        <f>IF(B16="","",IF(NOT(ISNUMBER(AL16)),"Tarih girilmedi",IFERROR(IF(TODAY()&gt;AL16,"Süresi geçti",IF(TODAY()&gt;=(AL16-60),"Yaklaşıyor","Takipte")),"Tarih hatalı")))</f>
        <v/>
      </c>
      <c r="Q16" s="35">
        <f>IF(B16="","",IF(NOT(ISNUMBER(EK16)),"Tarih girilmedi",IFERROR(IF(TODAY()&gt;EDATE(EK16,12),"Süresi geçti",IF(TODAY()&gt;=EDATE(EK16,11),"Yaklaşıyor","Takipte")),"Tarih hatalı")))</f>
        <v/>
      </c>
      <c r="R16" s="35">
        <f>IF(B16="","",IF(NOT(ISNUMBER(EN16)),"Tarih girilmedi",IFERROR(IF(TODAY()&gt;EDATE(EN16,12),"Süresi geçti",IF(TODAY()&gt;=EDATE(EN16,11),"Yaklaşıyor","Takipte")),"Tarih hatalı")))</f>
        <v/>
      </c>
      <c r="S16" s="35">
        <f>IF(B16="","",IF(NOT(ISNUMBER(CW16)),"Tarih girilmedi",IFERROR(IF(TODAY()&gt;EDATE(CW16,60),"Süresi geçti",IF(TODAY()&gt;=EDATE(CW16,57),"Yaklaşıyor","Takipte")),"Tarih hatalı")))</f>
        <v/>
      </c>
      <c r="T16" s="35">
        <f>IF(B16="","",IF(NOT(ISNUMBER(DH16)),"Tarih girilmedi",IFERROR(IF(TODAY()&gt;EDATE(DH16,36),"Süresi geçti",IF(TODAY()&gt;=EDATE(DH16,33),"Yaklaşıyor","Takipte")),"Tarih hatalı")))</f>
        <v/>
      </c>
      <c r="U16" s="35">
        <f>IF(B16="","",IF(NOT(ISNUMBER(BW16)),"Tarih girilmedi",IFERROR(IF(TODAY()&gt;EDATE(BW16,24),"Süresi geçti",IF(TODAY()&gt;=(EDATE(BW16,24)-45),"Yaklaşıyor","Takipte")),"Tarih hatalı")))</f>
        <v/>
      </c>
      <c r="V16" s="35">
        <f>IF(B16="","",IF(NOT(ISNUMBER(BM16)),"Tarih girilmedi",IFERROR(IF(TODAY()&gt;BM16,"Süresi geçti",IF(TODAY()&gt;=(BM16-180),"Yaklaşıyor","Takipte")),"Tarih hatalı")))</f>
        <v/>
      </c>
      <c r="W16" s="40" t="n"/>
      <c r="X16" s="37" t="n"/>
      <c r="Y16" s="39" t="n"/>
      <c r="Z16" s="37" t="n"/>
      <c r="AA16" s="37" t="n"/>
      <c r="AB16" s="37" t="n"/>
      <c r="AC16" s="38" t="n"/>
      <c r="AD16" s="38" t="n"/>
      <c r="AE16" s="38" t="n"/>
      <c r="AF16" s="37" t="n"/>
      <c r="AG16" s="37" t="n"/>
      <c r="AH16" s="37" t="n"/>
      <c r="AI16" s="38" t="n"/>
      <c r="AJ16" s="37" t="n"/>
      <c r="AK16" s="41" t="n"/>
      <c r="AL16" s="41" t="n"/>
      <c r="AM16" s="37" t="n"/>
      <c r="AN16" s="39" t="n"/>
      <c r="AO16" s="42" t="n"/>
      <c r="AP16" s="37" t="n"/>
      <c r="AQ16" s="37" t="n"/>
      <c r="AR16" s="37" t="n"/>
      <c r="AS16" s="37" t="n"/>
      <c r="AT16" s="37" t="n"/>
      <c r="AU16" s="37" t="n"/>
      <c r="AV16" s="37" t="n"/>
      <c r="AW16" s="37" t="n"/>
      <c r="AX16" s="43" t="n"/>
      <c r="AY16" s="37" t="n"/>
      <c r="AZ16" s="37" t="n"/>
      <c r="BA16" s="41" t="n"/>
      <c r="BB16" s="37" t="n"/>
      <c r="BC16" s="37" t="n"/>
      <c r="BD16" s="37" t="n"/>
      <c r="BE16" s="37" t="n"/>
      <c r="BF16" s="37" t="n"/>
      <c r="BG16" s="37" t="n"/>
      <c r="BH16" s="41" t="n"/>
      <c r="BI16" s="37" t="n"/>
      <c r="BJ16" s="37" t="n"/>
      <c r="BK16" s="38" t="n"/>
      <c r="BL16" s="37" t="n"/>
      <c r="BM16" s="41" t="n"/>
      <c r="BN16" s="37" t="n"/>
      <c r="BO16" s="41" t="n"/>
      <c r="BP16" s="37" t="n"/>
      <c r="BQ16" s="37" t="n"/>
      <c r="BR16" s="41" t="n"/>
      <c r="BS16" s="39" t="n"/>
      <c r="BT16" s="44" t="n"/>
      <c r="BU16" s="37" t="n"/>
      <c r="BV16" s="45" t="n"/>
      <c r="BW16" s="41" t="n"/>
      <c r="BX16" s="41" t="n"/>
      <c r="BY16" s="37" t="n"/>
      <c r="BZ16" s="37" t="n"/>
      <c r="CA16" s="37" t="n"/>
      <c r="CB16" s="37" t="n"/>
      <c r="CC16" s="39" t="n"/>
      <c r="CD16" s="39" t="n"/>
      <c r="CE16" s="46" t="n"/>
      <c r="CF16" s="37" t="n"/>
      <c r="CG16" s="37" t="n"/>
      <c r="CH16" s="45" t="n"/>
      <c r="CI16" s="37" t="n"/>
      <c r="CJ16" s="38" t="n"/>
      <c r="CK16" s="41" t="n"/>
      <c r="CL16" s="37" t="n"/>
      <c r="CM16" s="41" t="n"/>
      <c r="CN16" s="37" t="n"/>
      <c r="CO16" s="37" t="n"/>
      <c r="CP16" s="41" t="n"/>
      <c r="CQ16" s="41" t="n"/>
      <c r="CR16" s="37" t="n"/>
      <c r="CS16" s="37" t="n"/>
      <c r="CT16" s="47" t="n"/>
      <c r="CU16" s="37" t="n"/>
      <c r="CV16" s="38" t="n"/>
      <c r="CW16" s="41" t="n"/>
      <c r="CX16" s="37" t="n"/>
      <c r="CY16" s="37" t="n"/>
      <c r="CZ16" s="37" t="n"/>
      <c r="DA16" s="37" t="n"/>
      <c r="DB16" s="37" t="n"/>
      <c r="DC16" s="37" t="n"/>
      <c r="DD16" s="37" t="n"/>
      <c r="DE16" s="37" t="n"/>
      <c r="DF16" s="37" t="n"/>
      <c r="DG16" s="37" t="n"/>
      <c r="DH16" s="41" t="n"/>
      <c r="DI16" s="37" t="n"/>
      <c r="DJ16" s="37" t="n"/>
      <c r="DK16" s="37" t="n"/>
      <c r="DL16" s="41" t="n"/>
      <c r="DM16" s="37" t="n"/>
      <c r="DN16" s="45" t="n"/>
      <c r="DO16" s="41" t="n"/>
      <c r="DP16" s="48" t="n"/>
      <c r="DQ16" s="37" t="n"/>
      <c r="DR16" s="37" t="n"/>
      <c r="DS16" s="41" t="n"/>
      <c r="DT16" s="37" t="n"/>
      <c r="DU16" s="37" t="n"/>
      <c r="DV16" s="37" t="n"/>
      <c r="DW16" s="37" t="n"/>
      <c r="DX16" s="37" t="n"/>
      <c r="DY16" s="37" t="n"/>
      <c r="DZ16" s="39" t="n"/>
      <c r="EA16" s="37" t="n"/>
      <c r="EB16" s="37" t="n"/>
      <c r="EC16" s="37" t="n"/>
      <c r="ED16" s="41" t="n"/>
      <c r="EE16" s="37" t="n"/>
      <c r="EF16" s="39" t="n"/>
      <c r="EG16" s="49" t="n"/>
      <c r="EH16" s="41" t="n"/>
      <c r="EI16" s="41" t="n"/>
      <c r="EJ16" s="37" t="n"/>
      <c r="EK16" s="41" t="n"/>
      <c r="EL16" s="41" t="n"/>
      <c r="EM16" s="37" t="n"/>
      <c r="EN16" s="41" t="n"/>
      <c r="EO16" s="41" t="n"/>
      <c r="EP16" s="37" t="n"/>
      <c r="EQ16" s="39" t="n"/>
      <c r="ER16" s="45" t="n"/>
      <c r="ES16" s="41" t="n"/>
      <c r="ET16" s="39" t="n"/>
      <c r="EU16" s="39" t="n"/>
      <c r="EV16" s="41" t="n"/>
      <c r="EW16" s="39" t="n"/>
      <c r="EX16" s="37" t="n"/>
      <c r="EY16" s="37" t="n"/>
      <c r="EZ16" s="39" t="n"/>
      <c r="FA16" s="41" t="n"/>
      <c r="FB16" s="41" t="n"/>
      <c r="FC16" s="50" t="n"/>
      <c r="FD16" s="36">
        <f>IF(B16="","",IF(NOT(ISNUMBER(EK16)),"Tarih girilmedi",IFERROR(EDATE(EK16,12),"Tarih hatalı")))</f>
        <v/>
      </c>
      <c r="FE16" s="36">
        <f>IF(B16="","",IF(NOT(ISNUMBER(EK16)),"Tarih girilmedi",IFERROR(EDATE(EK16,11),"Tarih hatalı")))</f>
        <v/>
      </c>
      <c r="FF16" s="36">
        <f>IF(B16="","",IF(NOT(ISNUMBER(EN16)),"Tarih girilmedi",IFERROR(EDATE(EN16,12),"Tarih hatalı")))</f>
        <v/>
      </c>
      <c r="FG16" s="36">
        <f>IF(B16="","",IF(NOT(ISNUMBER(EN16)),"Tarih girilmedi",IFERROR(EDATE(EN16,11),"Tarih hatalı")))</f>
        <v/>
      </c>
      <c r="FH16" s="36">
        <f>IF(B16="","",IF(NOT(ISNUMBER(CW16)),"Tarih girilmedi",IFERROR(EDATE(CW16,60),"Tarih hatalı")))</f>
        <v/>
      </c>
      <c r="FI16" s="36">
        <f>IF(B16="","",IF(NOT(ISNUMBER(CW16)),"Tarih girilmedi",IFERROR(EDATE(CW16,57),"Tarih hatalı")))</f>
        <v/>
      </c>
      <c r="FJ16" s="36">
        <f>IF(B16="","",IF(NOT(ISNUMBER(DH16)),"Tarih girilmedi",IFERROR(EDATE(DH16,36),"Tarih hatalı")))</f>
        <v/>
      </c>
      <c r="FK16" s="36">
        <f>IF(B16="","",IF(NOT(ISNUMBER(DH16)),"Tarih girilmedi",IFERROR(EDATE(DH16,33),"Tarih hatalı")))</f>
        <v/>
      </c>
      <c r="FL16" s="36">
        <f>IF(B16="","",IF(NOT(ISNUMBER(BW16)),"Tarih girilmedi",IFERROR(EDATE(BW16,24),"Tarih hatalı")))</f>
        <v/>
      </c>
      <c r="FM16" s="36">
        <f>IF(B16="","",IF(NOT(ISNUMBER(BW16)),"Tarih girilmedi",IFERROR(EDATE(BW16,24)-45,"Tarih hatalı")))</f>
        <v/>
      </c>
      <c r="FN16" s="36">
        <f>IF(B16="","",IF(NOT(ISNUMBER(BM16)),"Tarih girilmedi",IFERROR(BM16-180,"Tarih hatalı")))</f>
        <v/>
      </c>
      <c r="FO16" s="51">
        <f>IF(OR(B16="",NOT(ISNUMBER(BM16))),"",BM16)</f>
        <v/>
      </c>
      <c r="FP16" s="51">
        <f>IF(OR(B16="",NOT(ISNUMBER(BM16))),"",BM16-180)</f>
        <v/>
      </c>
      <c r="FQ16" s="51">
        <f>IF(OR(B16="",NOT(ISNUMBER(BR16))),"",BR16)</f>
        <v/>
      </c>
      <c r="FR16" s="51">
        <f>IF(OR(B16="",NOT(ISNUMBER(AL16))),"",AL16)</f>
        <v/>
      </c>
      <c r="FS16" s="51">
        <f>IF(OR(B16="",NOT(ISNUMBER(CW16))),"",EDATE(CW16,60))</f>
        <v/>
      </c>
      <c r="FT16" s="51">
        <f>IF(OR(B16="",NOT(ISNUMBER(DH16))),"",EDATE(DH16,36))</f>
        <v/>
      </c>
      <c r="FU16" s="51">
        <f>IF(OR(B16="",NOT(ISNUMBER(BW16))),"",EDATE(BW16,24))</f>
        <v/>
      </c>
      <c r="FV16" s="51">
        <f>IF(OR(B16="",NOT(ISNUMBER(BX16))),"",BX16)</f>
        <v/>
      </c>
      <c r="FW16" s="51">
        <f>IF(OR(B16="",NOT(ISNUMBER(EK16))),"",EDATE(EK16,12))</f>
        <v/>
      </c>
      <c r="FX16" s="51">
        <f>IF(OR(B16="",NOT(ISNUMBER(EL16))),"",EL16)</f>
        <v/>
      </c>
      <c r="FY16" s="51">
        <f>IF(OR(B16="",NOT(ISNUMBER(EN16))),"",EDATE(EN16,12))</f>
        <v/>
      </c>
      <c r="FZ16" s="51">
        <f>IF(OR(B16="",NOT(ISNUMBER(EO16))),"",EO16)</f>
        <v/>
      </c>
      <c r="GA16" s="51">
        <f>IF(OR(B16="",NOT(ISNUMBER(CK16))),"",CK16)</f>
        <v/>
      </c>
      <c r="GB16" s="51">
        <f>IF(OR(B16="",NOT(ISNUMBER(CM16))),"",CM16)</f>
        <v/>
      </c>
      <c r="GC16" s="51">
        <f>IF(OR(B16="",NOT(ISNUMBER(CQ16))),"",CQ16)</f>
        <v/>
      </c>
      <c r="GD16" s="51">
        <f>IF(OR(B16="",NOT(ISNUMBER(EI16))),"",EI16)</f>
        <v/>
      </c>
      <c r="GE16" s="51">
        <f>IF(OR(B16="",NOT(ISNUMBER(FA16))),"",FA16)</f>
        <v/>
      </c>
      <c r="GF16" s="51">
        <f>IF(OR(B16="",NOT(ISNUMBER(ES16))),"",ES16)</f>
        <v/>
      </c>
      <c r="GG16" s="51">
        <f>IF(OR(B16="",NOT(ISNUMBER(FB16))),"",FB16)</f>
        <v/>
      </c>
    </row>
    <row r="17" ht="22" customHeight="1">
      <c r="A17" s="32" t="n">
        <v>13</v>
      </c>
      <c r="B17" s="33" t="n"/>
      <c r="C17" s="34">
        <f>IF(B17="","",((P17="Süresi geçti")+(P17="Yaklaşıyor")+(P17="Tarih hatalı"))+((Q17="Süresi geçti")+(Q17="Yaklaşıyor")+(Q17="Tarih hatalı"))+((R17="Süresi geçti")+(R17="Yaklaşıyor")+(R17="Tarih hatalı"))+((S17="Süresi geçti")+(S17="Yaklaşıyor")+(S17="Tarih hatalı"))+((T17="Süresi geçti")+(T17="Yaklaşıyor")+(T17="Tarih hatalı"))+((U17="Süresi geçti")+(U17="Yaklaşıyor")+(U17="Tarih hatalı"))+((V17="Süresi geçti")+(V17="Yaklaşıyor")+(V17="Tarih hatalı")))</f>
        <v/>
      </c>
      <c r="D17" s="35">
        <f>IF(OR(B17="",E17=""),"",INDEX($FO$4:$GG$4,1,MATCH(E17,FO17:GG17,0)))</f>
        <v/>
      </c>
      <c r="E17" s="36">
        <f>IF(B17="","",IF(COUNT(FO17:GG17)=0,"",SMALL(FO17:GG17,1)))</f>
        <v/>
      </c>
      <c r="F17" s="34">
        <f>IF(E17="","",E17-TODAY())</f>
        <v/>
      </c>
      <c r="G17" s="37" t="n"/>
      <c r="H17" s="37" t="n"/>
      <c r="I17" s="37" t="n"/>
      <c r="J17" s="37" t="n"/>
      <c r="K17" s="37" t="n"/>
      <c r="L17" s="38" t="n"/>
      <c r="M17" s="37" t="n"/>
      <c r="N17" s="37" t="n"/>
      <c r="O17" s="39" t="n"/>
      <c r="P17" s="35">
        <f>IF(B17="","",IF(NOT(ISNUMBER(AL17)),"Tarih girilmedi",IFERROR(IF(TODAY()&gt;AL17,"Süresi geçti",IF(TODAY()&gt;=(AL17-60),"Yaklaşıyor","Takipte")),"Tarih hatalı")))</f>
        <v/>
      </c>
      <c r="Q17" s="35">
        <f>IF(B17="","",IF(NOT(ISNUMBER(EK17)),"Tarih girilmedi",IFERROR(IF(TODAY()&gt;EDATE(EK17,12),"Süresi geçti",IF(TODAY()&gt;=EDATE(EK17,11),"Yaklaşıyor","Takipte")),"Tarih hatalı")))</f>
        <v/>
      </c>
      <c r="R17" s="35">
        <f>IF(B17="","",IF(NOT(ISNUMBER(EN17)),"Tarih girilmedi",IFERROR(IF(TODAY()&gt;EDATE(EN17,12),"Süresi geçti",IF(TODAY()&gt;=EDATE(EN17,11),"Yaklaşıyor","Takipte")),"Tarih hatalı")))</f>
        <v/>
      </c>
      <c r="S17" s="35">
        <f>IF(B17="","",IF(NOT(ISNUMBER(CW17)),"Tarih girilmedi",IFERROR(IF(TODAY()&gt;EDATE(CW17,60),"Süresi geçti",IF(TODAY()&gt;=EDATE(CW17,57),"Yaklaşıyor","Takipte")),"Tarih hatalı")))</f>
        <v/>
      </c>
      <c r="T17" s="35">
        <f>IF(B17="","",IF(NOT(ISNUMBER(DH17)),"Tarih girilmedi",IFERROR(IF(TODAY()&gt;EDATE(DH17,36),"Süresi geçti",IF(TODAY()&gt;=EDATE(DH17,33),"Yaklaşıyor","Takipte")),"Tarih hatalı")))</f>
        <v/>
      </c>
      <c r="U17" s="35">
        <f>IF(B17="","",IF(NOT(ISNUMBER(BW17)),"Tarih girilmedi",IFERROR(IF(TODAY()&gt;EDATE(BW17,24),"Süresi geçti",IF(TODAY()&gt;=(EDATE(BW17,24)-45),"Yaklaşıyor","Takipte")),"Tarih hatalı")))</f>
        <v/>
      </c>
      <c r="V17" s="35">
        <f>IF(B17="","",IF(NOT(ISNUMBER(BM17)),"Tarih girilmedi",IFERROR(IF(TODAY()&gt;BM17,"Süresi geçti",IF(TODAY()&gt;=(BM17-180),"Yaklaşıyor","Takipte")),"Tarih hatalı")))</f>
        <v/>
      </c>
      <c r="W17" s="40" t="n"/>
      <c r="X17" s="37" t="n"/>
      <c r="Y17" s="39" t="n"/>
      <c r="Z17" s="37" t="n"/>
      <c r="AA17" s="37" t="n"/>
      <c r="AB17" s="37" t="n"/>
      <c r="AC17" s="38" t="n"/>
      <c r="AD17" s="38" t="n"/>
      <c r="AE17" s="38" t="n"/>
      <c r="AF17" s="37" t="n"/>
      <c r="AG17" s="37" t="n"/>
      <c r="AH17" s="37" t="n"/>
      <c r="AI17" s="38" t="n"/>
      <c r="AJ17" s="37" t="n"/>
      <c r="AK17" s="41" t="n"/>
      <c r="AL17" s="41" t="n"/>
      <c r="AM17" s="37" t="n"/>
      <c r="AN17" s="39" t="n"/>
      <c r="AO17" s="42" t="n"/>
      <c r="AP17" s="37" t="n"/>
      <c r="AQ17" s="37" t="n"/>
      <c r="AR17" s="37" t="n"/>
      <c r="AS17" s="37" t="n"/>
      <c r="AT17" s="37" t="n"/>
      <c r="AU17" s="37" t="n"/>
      <c r="AV17" s="37" t="n"/>
      <c r="AW17" s="37" t="n"/>
      <c r="AX17" s="43" t="n"/>
      <c r="AY17" s="37" t="n"/>
      <c r="AZ17" s="37" t="n"/>
      <c r="BA17" s="41" t="n"/>
      <c r="BB17" s="37" t="n"/>
      <c r="BC17" s="37" t="n"/>
      <c r="BD17" s="37" t="n"/>
      <c r="BE17" s="37" t="n"/>
      <c r="BF17" s="37" t="n"/>
      <c r="BG17" s="37" t="n"/>
      <c r="BH17" s="41" t="n"/>
      <c r="BI17" s="37" t="n"/>
      <c r="BJ17" s="37" t="n"/>
      <c r="BK17" s="38" t="n"/>
      <c r="BL17" s="37" t="n"/>
      <c r="BM17" s="41" t="n"/>
      <c r="BN17" s="37" t="n"/>
      <c r="BO17" s="41" t="n"/>
      <c r="BP17" s="37" t="n"/>
      <c r="BQ17" s="37" t="n"/>
      <c r="BR17" s="41" t="n"/>
      <c r="BS17" s="39" t="n"/>
      <c r="BT17" s="44" t="n"/>
      <c r="BU17" s="37" t="n"/>
      <c r="BV17" s="45" t="n"/>
      <c r="BW17" s="41" t="n"/>
      <c r="BX17" s="41" t="n"/>
      <c r="BY17" s="37" t="n"/>
      <c r="BZ17" s="37" t="n"/>
      <c r="CA17" s="37" t="n"/>
      <c r="CB17" s="37" t="n"/>
      <c r="CC17" s="39" t="n"/>
      <c r="CD17" s="39" t="n"/>
      <c r="CE17" s="46" t="n"/>
      <c r="CF17" s="37" t="n"/>
      <c r="CG17" s="37" t="n"/>
      <c r="CH17" s="45" t="n"/>
      <c r="CI17" s="37" t="n"/>
      <c r="CJ17" s="38" t="n"/>
      <c r="CK17" s="41" t="n"/>
      <c r="CL17" s="37" t="n"/>
      <c r="CM17" s="41" t="n"/>
      <c r="CN17" s="37" t="n"/>
      <c r="CO17" s="37" t="n"/>
      <c r="CP17" s="41" t="n"/>
      <c r="CQ17" s="41" t="n"/>
      <c r="CR17" s="37" t="n"/>
      <c r="CS17" s="37" t="n"/>
      <c r="CT17" s="47" t="n"/>
      <c r="CU17" s="37" t="n"/>
      <c r="CV17" s="38" t="n"/>
      <c r="CW17" s="41" t="n"/>
      <c r="CX17" s="37" t="n"/>
      <c r="CY17" s="37" t="n"/>
      <c r="CZ17" s="37" t="n"/>
      <c r="DA17" s="37" t="n"/>
      <c r="DB17" s="37" t="n"/>
      <c r="DC17" s="37" t="n"/>
      <c r="DD17" s="37" t="n"/>
      <c r="DE17" s="37" t="n"/>
      <c r="DF17" s="37" t="n"/>
      <c r="DG17" s="37" t="n"/>
      <c r="DH17" s="41" t="n"/>
      <c r="DI17" s="37" t="n"/>
      <c r="DJ17" s="37" t="n"/>
      <c r="DK17" s="37" t="n"/>
      <c r="DL17" s="41" t="n"/>
      <c r="DM17" s="37" t="n"/>
      <c r="DN17" s="45" t="n"/>
      <c r="DO17" s="41" t="n"/>
      <c r="DP17" s="48" t="n"/>
      <c r="DQ17" s="37" t="n"/>
      <c r="DR17" s="37" t="n"/>
      <c r="DS17" s="41" t="n"/>
      <c r="DT17" s="37" t="n"/>
      <c r="DU17" s="37" t="n"/>
      <c r="DV17" s="37" t="n"/>
      <c r="DW17" s="37" t="n"/>
      <c r="DX17" s="37" t="n"/>
      <c r="DY17" s="37" t="n"/>
      <c r="DZ17" s="39" t="n"/>
      <c r="EA17" s="37" t="n"/>
      <c r="EB17" s="37" t="n"/>
      <c r="EC17" s="37" t="n"/>
      <c r="ED17" s="41" t="n"/>
      <c r="EE17" s="37" t="n"/>
      <c r="EF17" s="39" t="n"/>
      <c r="EG17" s="49" t="n"/>
      <c r="EH17" s="41" t="n"/>
      <c r="EI17" s="41" t="n"/>
      <c r="EJ17" s="37" t="n"/>
      <c r="EK17" s="41" t="n"/>
      <c r="EL17" s="41" t="n"/>
      <c r="EM17" s="37" t="n"/>
      <c r="EN17" s="41" t="n"/>
      <c r="EO17" s="41" t="n"/>
      <c r="EP17" s="37" t="n"/>
      <c r="EQ17" s="39" t="n"/>
      <c r="ER17" s="45" t="n"/>
      <c r="ES17" s="41" t="n"/>
      <c r="ET17" s="39" t="n"/>
      <c r="EU17" s="39" t="n"/>
      <c r="EV17" s="41" t="n"/>
      <c r="EW17" s="39" t="n"/>
      <c r="EX17" s="37" t="n"/>
      <c r="EY17" s="37" t="n"/>
      <c r="EZ17" s="39" t="n"/>
      <c r="FA17" s="41" t="n"/>
      <c r="FB17" s="41" t="n"/>
      <c r="FC17" s="50" t="n"/>
      <c r="FD17" s="36">
        <f>IF(B17="","",IF(NOT(ISNUMBER(EK17)),"Tarih girilmedi",IFERROR(EDATE(EK17,12),"Tarih hatalı")))</f>
        <v/>
      </c>
      <c r="FE17" s="36">
        <f>IF(B17="","",IF(NOT(ISNUMBER(EK17)),"Tarih girilmedi",IFERROR(EDATE(EK17,11),"Tarih hatalı")))</f>
        <v/>
      </c>
      <c r="FF17" s="36">
        <f>IF(B17="","",IF(NOT(ISNUMBER(EN17)),"Tarih girilmedi",IFERROR(EDATE(EN17,12),"Tarih hatalı")))</f>
        <v/>
      </c>
      <c r="FG17" s="36">
        <f>IF(B17="","",IF(NOT(ISNUMBER(EN17)),"Tarih girilmedi",IFERROR(EDATE(EN17,11),"Tarih hatalı")))</f>
        <v/>
      </c>
      <c r="FH17" s="36">
        <f>IF(B17="","",IF(NOT(ISNUMBER(CW17)),"Tarih girilmedi",IFERROR(EDATE(CW17,60),"Tarih hatalı")))</f>
        <v/>
      </c>
      <c r="FI17" s="36">
        <f>IF(B17="","",IF(NOT(ISNUMBER(CW17)),"Tarih girilmedi",IFERROR(EDATE(CW17,57),"Tarih hatalı")))</f>
        <v/>
      </c>
      <c r="FJ17" s="36">
        <f>IF(B17="","",IF(NOT(ISNUMBER(DH17)),"Tarih girilmedi",IFERROR(EDATE(DH17,36),"Tarih hatalı")))</f>
        <v/>
      </c>
      <c r="FK17" s="36">
        <f>IF(B17="","",IF(NOT(ISNUMBER(DH17)),"Tarih girilmedi",IFERROR(EDATE(DH17,33),"Tarih hatalı")))</f>
        <v/>
      </c>
      <c r="FL17" s="36">
        <f>IF(B17="","",IF(NOT(ISNUMBER(BW17)),"Tarih girilmedi",IFERROR(EDATE(BW17,24),"Tarih hatalı")))</f>
        <v/>
      </c>
      <c r="FM17" s="36">
        <f>IF(B17="","",IF(NOT(ISNUMBER(BW17)),"Tarih girilmedi",IFERROR(EDATE(BW17,24)-45,"Tarih hatalı")))</f>
        <v/>
      </c>
      <c r="FN17" s="36">
        <f>IF(B17="","",IF(NOT(ISNUMBER(BM17)),"Tarih girilmedi",IFERROR(BM17-180,"Tarih hatalı")))</f>
        <v/>
      </c>
      <c r="FO17" s="51">
        <f>IF(OR(B17="",NOT(ISNUMBER(BM17))),"",BM17)</f>
        <v/>
      </c>
      <c r="FP17" s="51">
        <f>IF(OR(B17="",NOT(ISNUMBER(BM17))),"",BM17-180)</f>
        <v/>
      </c>
      <c r="FQ17" s="51">
        <f>IF(OR(B17="",NOT(ISNUMBER(BR17))),"",BR17)</f>
        <v/>
      </c>
      <c r="FR17" s="51">
        <f>IF(OR(B17="",NOT(ISNUMBER(AL17))),"",AL17)</f>
        <v/>
      </c>
      <c r="FS17" s="51">
        <f>IF(OR(B17="",NOT(ISNUMBER(CW17))),"",EDATE(CW17,60))</f>
        <v/>
      </c>
      <c r="FT17" s="51">
        <f>IF(OR(B17="",NOT(ISNUMBER(DH17))),"",EDATE(DH17,36))</f>
        <v/>
      </c>
      <c r="FU17" s="51">
        <f>IF(OR(B17="",NOT(ISNUMBER(BW17))),"",EDATE(BW17,24))</f>
        <v/>
      </c>
      <c r="FV17" s="51">
        <f>IF(OR(B17="",NOT(ISNUMBER(BX17))),"",BX17)</f>
        <v/>
      </c>
      <c r="FW17" s="51">
        <f>IF(OR(B17="",NOT(ISNUMBER(EK17))),"",EDATE(EK17,12))</f>
        <v/>
      </c>
      <c r="FX17" s="51">
        <f>IF(OR(B17="",NOT(ISNUMBER(EL17))),"",EL17)</f>
        <v/>
      </c>
      <c r="FY17" s="51">
        <f>IF(OR(B17="",NOT(ISNUMBER(EN17))),"",EDATE(EN17,12))</f>
        <v/>
      </c>
      <c r="FZ17" s="51">
        <f>IF(OR(B17="",NOT(ISNUMBER(EO17))),"",EO17)</f>
        <v/>
      </c>
      <c r="GA17" s="51">
        <f>IF(OR(B17="",NOT(ISNUMBER(CK17))),"",CK17)</f>
        <v/>
      </c>
      <c r="GB17" s="51">
        <f>IF(OR(B17="",NOT(ISNUMBER(CM17))),"",CM17)</f>
        <v/>
      </c>
      <c r="GC17" s="51">
        <f>IF(OR(B17="",NOT(ISNUMBER(CQ17))),"",CQ17)</f>
        <v/>
      </c>
      <c r="GD17" s="51">
        <f>IF(OR(B17="",NOT(ISNUMBER(EI17))),"",EI17)</f>
        <v/>
      </c>
      <c r="GE17" s="51">
        <f>IF(OR(B17="",NOT(ISNUMBER(FA17))),"",FA17)</f>
        <v/>
      </c>
      <c r="GF17" s="51">
        <f>IF(OR(B17="",NOT(ISNUMBER(ES17))),"",ES17)</f>
        <v/>
      </c>
      <c r="GG17" s="51">
        <f>IF(OR(B17="",NOT(ISNUMBER(FB17))),"",FB17)</f>
        <v/>
      </c>
    </row>
    <row r="18" ht="22" customHeight="1">
      <c r="A18" s="32" t="n">
        <v>14</v>
      </c>
      <c r="B18" s="33" t="n"/>
      <c r="C18" s="34">
        <f>IF(B18="","",((P18="Süresi geçti")+(P18="Yaklaşıyor")+(P18="Tarih hatalı"))+((Q18="Süresi geçti")+(Q18="Yaklaşıyor")+(Q18="Tarih hatalı"))+((R18="Süresi geçti")+(R18="Yaklaşıyor")+(R18="Tarih hatalı"))+((S18="Süresi geçti")+(S18="Yaklaşıyor")+(S18="Tarih hatalı"))+((T18="Süresi geçti")+(T18="Yaklaşıyor")+(T18="Tarih hatalı"))+((U18="Süresi geçti")+(U18="Yaklaşıyor")+(U18="Tarih hatalı"))+((V18="Süresi geçti")+(V18="Yaklaşıyor")+(V18="Tarih hatalı")))</f>
        <v/>
      </c>
      <c r="D18" s="35">
        <f>IF(OR(B18="",E18=""),"",INDEX($FO$4:$GG$4,1,MATCH(E18,FO18:GG18,0)))</f>
        <v/>
      </c>
      <c r="E18" s="36">
        <f>IF(B18="","",IF(COUNT(FO18:GG18)=0,"",SMALL(FO18:GG18,1)))</f>
        <v/>
      </c>
      <c r="F18" s="34">
        <f>IF(E18="","",E18-TODAY())</f>
        <v/>
      </c>
      <c r="G18" s="37" t="n"/>
      <c r="H18" s="37" t="n"/>
      <c r="I18" s="37" t="n"/>
      <c r="J18" s="37" t="n"/>
      <c r="K18" s="37" t="n"/>
      <c r="L18" s="38" t="n"/>
      <c r="M18" s="37" t="n"/>
      <c r="N18" s="37" t="n"/>
      <c r="O18" s="39" t="n"/>
      <c r="P18" s="35">
        <f>IF(B18="","",IF(NOT(ISNUMBER(AL18)),"Tarih girilmedi",IFERROR(IF(TODAY()&gt;AL18,"Süresi geçti",IF(TODAY()&gt;=(AL18-60),"Yaklaşıyor","Takipte")),"Tarih hatalı")))</f>
        <v/>
      </c>
      <c r="Q18" s="35">
        <f>IF(B18="","",IF(NOT(ISNUMBER(EK18)),"Tarih girilmedi",IFERROR(IF(TODAY()&gt;EDATE(EK18,12),"Süresi geçti",IF(TODAY()&gt;=EDATE(EK18,11),"Yaklaşıyor","Takipte")),"Tarih hatalı")))</f>
        <v/>
      </c>
      <c r="R18" s="35">
        <f>IF(B18="","",IF(NOT(ISNUMBER(EN18)),"Tarih girilmedi",IFERROR(IF(TODAY()&gt;EDATE(EN18,12),"Süresi geçti",IF(TODAY()&gt;=EDATE(EN18,11),"Yaklaşıyor","Takipte")),"Tarih hatalı")))</f>
        <v/>
      </c>
      <c r="S18" s="35">
        <f>IF(B18="","",IF(NOT(ISNUMBER(CW18)),"Tarih girilmedi",IFERROR(IF(TODAY()&gt;EDATE(CW18,60),"Süresi geçti",IF(TODAY()&gt;=EDATE(CW18,57),"Yaklaşıyor","Takipte")),"Tarih hatalı")))</f>
        <v/>
      </c>
      <c r="T18" s="35">
        <f>IF(B18="","",IF(NOT(ISNUMBER(DH18)),"Tarih girilmedi",IFERROR(IF(TODAY()&gt;EDATE(DH18,36),"Süresi geçti",IF(TODAY()&gt;=EDATE(DH18,33),"Yaklaşıyor","Takipte")),"Tarih hatalı")))</f>
        <v/>
      </c>
      <c r="U18" s="35">
        <f>IF(B18="","",IF(NOT(ISNUMBER(BW18)),"Tarih girilmedi",IFERROR(IF(TODAY()&gt;EDATE(BW18,24),"Süresi geçti",IF(TODAY()&gt;=(EDATE(BW18,24)-45),"Yaklaşıyor","Takipte")),"Tarih hatalı")))</f>
        <v/>
      </c>
      <c r="V18" s="35">
        <f>IF(B18="","",IF(NOT(ISNUMBER(BM18)),"Tarih girilmedi",IFERROR(IF(TODAY()&gt;BM18,"Süresi geçti",IF(TODAY()&gt;=(BM18-180),"Yaklaşıyor","Takipte")),"Tarih hatalı")))</f>
        <v/>
      </c>
      <c r="W18" s="40" t="n"/>
      <c r="X18" s="37" t="n"/>
      <c r="Y18" s="39" t="n"/>
      <c r="Z18" s="37" t="n"/>
      <c r="AA18" s="37" t="n"/>
      <c r="AB18" s="37" t="n"/>
      <c r="AC18" s="38" t="n"/>
      <c r="AD18" s="38" t="n"/>
      <c r="AE18" s="38" t="n"/>
      <c r="AF18" s="37" t="n"/>
      <c r="AG18" s="37" t="n"/>
      <c r="AH18" s="37" t="n"/>
      <c r="AI18" s="38" t="n"/>
      <c r="AJ18" s="37" t="n"/>
      <c r="AK18" s="41" t="n"/>
      <c r="AL18" s="41" t="n"/>
      <c r="AM18" s="37" t="n"/>
      <c r="AN18" s="39" t="n"/>
      <c r="AO18" s="42" t="n"/>
      <c r="AP18" s="37" t="n"/>
      <c r="AQ18" s="37" t="n"/>
      <c r="AR18" s="37" t="n"/>
      <c r="AS18" s="37" t="n"/>
      <c r="AT18" s="37" t="n"/>
      <c r="AU18" s="37" t="n"/>
      <c r="AV18" s="37" t="n"/>
      <c r="AW18" s="37" t="n"/>
      <c r="AX18" s="43" t="n"/>
      <c r="AY18" s="37" t="n"/>
      <c r="AZ18" s="37" t="n"/>
      <c r="BA18" s="41" t="n"/>
      <c r="BB18" s="37" t="n"/>
      <c r="BC18" s="37" t="n"/>
      <c r="BD18" s="37" t="n"/>
      <c r="BE18" s="37" t="n"/>
      <c r="BF18" s="37" t="n"/>
      <c r="BG18" s="37" t="n"/>
      <c r="BH18" s="41" t="n"/>
      <c r="BI18" s="37" t="n"/>
      <c r="BJ18" s="37" t="n"/>
      <c r="BK18" s="38" t="n"/>
      <c r="BL18" s="37" t="n"/>
      <c r="BM18" s="41" t="n"/>
      <c r="BN18" s="37" t="n"/>
      <c r="BO18" s="41" t="n"/>
      <c r="BP18" s="37" t="n"/>
      <c r="BQ18" s="37" t="n"/>
      <c r="BR18" s="41" t="n"/>
      <c r="BS18" s="39" t="n"/>
      <c r="BT18" s="44" t="n"/>
      <c r="BU18" s="37" t="n"/>
      <c r="BV18" s="45" t="n"/>
      <c r="BW18" s="41" t="n"/>
      <c r="BX18" s="41" t="n"/>
      <c r="BY18" s="37" t="n"/>
      <c r="BZ18" s="37" t="n"/>
      <c r="CA18" s="37" t="n"/>
      <c r="CB18" s="37" t="n"/>
      <c r="CC18" s="39" t="n"/>
      <c r="CD18" s="39" t="n"/>
      <c r="CE18" s="46" t="n"/>
      <c r="CF18" s="37" t="n"/>
      <c r="CG18" s="37" t="n"/>
      <c r="CH18" s="45" t="n"/>
      <c r="CI18" s="37" t="n"/>
      <c r="CJ18" s="38" t="n"/>
      <c r="CK18" s="41" t="n"/>
      <c r="CL18" s="37" t="n"/>
      <c r="CM18" s="41" t="n"/>
      <c r="CN18" s="37" t="n"/>
      <c r="CO18" s="37" t="n"/>
      <c r="CP18" s="41" t="n"/>
      <c r="CQ18" s="41" t="n"/>
      <c r="CR18" s="37" t="n"/>
      <c r="CS18" s="37" t="n"/>
      <c r="CT18" s="47" t="n"/>
      <c r="CU18" s="37" t="n"/>
      <c r="CV18" s="38" t="n"/>
      <c r="CW18" s="41" t="n"/>
      <c r="CX18" s="37" t="n"/>
      <c r="CY18" s="37" t="n"/>
      <c r="CZ18" s="37" t="n"/>
      <c r="DA18" s="37" t="n"/>
      <c r="DB18" s="37" t="n"/>
      <c r="DC18" s="37" t="n"/>
      <c r="DD18" s="37" t="n"/>
      <c r="DE18" s="37" t="n"/>
      <c r="DF18" s="37" t="n"/>
      <c r="DG18" s="37" t="n"/>
      <c r="DH18" s="41" t="n"/>
      <c r="DI18" s="37" t="n"/>
      <c r="DJ18" s="37" t="n"/>
      <c r="DK18" s="37" t="n"/>
      <c r="DL18" s="41" t="n"/>
      <c r="DM18" s="37" t="n"/>
      <c r="DN18" s="45" t="n"/>
      <c r="DO18" s="41" t="n"/>
      <c r="DP18" s="48" t="n"/>
      <c r="DQ18" s="37" t="n"/>
      <c r="DR18" s="37" t="n"/>
      <c r="DS18" s="41" t="n"/>
      <c r="DT18" s="37" t="n"/>
      <c r="DU18" s="37" t="n"/>
      <c r="DV18" s="37" t="n"/>
      <c r="DW18" s="37" t="n"/>
      <c r="DX18" s="37" t="n"/>
      <c r="DY18" s="37" t="n"/>
      <c r="DZ18" s="39" t="n"/>
      <c r="EA18" s="37" t="n"/>
      <c r="EB18" s="37" t="n"/>
      <c r="EC18" s="37" t="n"/>
      <c r="ED18" s="41" t="n"/>
      <c r="EE18" s="37" t="n"/>
      <c r="EF18" s="39" t="n"/>
      <c r="EG18" s="49" t="n"/>
      <c r="EH18" s="41" t="n"/>
      <c r="EI18" s="41" t="n"/>
      <c r="EJ18" s="37" t="n"/>
      <c r="EK18" s="41" t="n"/>
      <c r="EL18" s="41" t="n"/>
      <c r="EM18" s="37" t="n"/>
      <c r="EN18" s="41" t="n"/>
      <c r="EO18" s="41" t="n"/>
      <c r="EP18" s="37" t="n"/>
      <c r="EQ18" s="39" t="n"/>
      <c r="ER18" s="45" t="n"/>
      <c r="ES18" s="41" t="n"/>
      <c r="ET18" s="39" t="n"/>
      <c r="EU18" s="39" t="n"/>
      <c r="EV18" s="41" t="n"/>
      <c r="EW18" s="39" t="n"/>
      <c r="EX18" s="37" t="n"/>
      <c r="EY18" s="37" t="n"/>
      <c r="EZ18" s="39" t="n"/>
      <c r="FA18" s="41" t="n"/>
      <c r="FB18" s="41" t="n"/>
      <c r="FC18" s="50" t="n"/>
      <c r="FD18" s="36">
        <f>IF(B18="","",IF(NOT(ISNUMBER(EK18)),"Tarih girilmedi",IFERROR(EDATE(EK18,12),"Tarih hatalı")))</f>
        <v/>
      </c>
      <c r="FE18" s="36">
        <f>IF(B18="","",IF(NOT(ISNUMBER(EK18)),"Tarih girilmedi",IFERROR(EDATE(EK18,11),"Tarih hatalı")))</f>
        <v/>
      </c>
      <c r="FF18" s="36">
        <f>IF(B18="","",IF(NOT(ISNUMBER(EN18)),"Tarih girilmedi",IFERROR(EDATE(EN18,12),"Tarih hatalı")))</f>
        <v/>
      </c>
      <c r="FG18" s="36">
        <f>IF(B18="","",IF(NOT(ISNUMBER(EN18)),"Tarih girilmedi",IFERROR(EDATE(EN18,11),"Tarih hatalı")))</f>
        <v/>
      </c>
      <c r="FH18" s="36">
        <f>IF(B18="","",IF(NOT(ISNUMBER(CW18)),"Tarih girilmedi",IFERROR(EDATE(CW18,60),"Tarih hatalı")))</f>
        <v/>
      </c>
      <c r="FI18" s="36">
        <f>IF(B18="","",IF(NOT(ISNUMBER(CW18)),"Tarih girilmedi",IFERROR(EDATE(CW18,57),"Tarih hatalı")))</f>
        <v/>
      </c>
      <c r="FJ18" s="36">
        <f>IF(B18="","",IF(NOT(ISNUMBER(DH18)),"Tarih girilmedi",IFERROR(EDATE(DH18,36),"Tarih hatalı")))</f>
        <v/>
      </c>
      <c r="FK18" s="36">
        <f>IF(B18="","",IF(NOT(ISNUMBER(DH18)),"Tarih girilmedi",IFERROR(EDATE(DH18,33),"Tarih hatalı")))</f>
        <v/>
      </c>
      <c r="FL18" s="36">
        <f>IF(B18="","",IF(NOT(ISNUMBER(BW18)),"Tarih girilmedi",IFERROR(EDATE(BW18,24),"Tarih hatalı")))</f>
        <v/>
      </c>
      <c r="FM18" s="36">
        <f>IF(B18="","",IF(NOT(ISNUMBER(BW18)),"Tarih girilmedi",IFERROR(EDATE(BW18,24)-45,"Tarih hatalı")))</f>
        <v/>
      </c>
      <c r="FN18" s="36">
        <f>IF(B18="","",IF(NOT(ISNUMBER(BM18)),"Tarih girilmedi",IFERROR(BM18-180,"Tarih hatalı")))</f>
        <v/>
      </c>
      <c r="FO18" s="51">
        <f>IF(OR(B18="",NOT(ISNUMBER(BM18))),"",BM18)</f>
        <v/>
      </c>
      <c r="FP18" s="51">
        <f>IF(OR(B18="",NOT(ISNUMBER(BM18))),"",BM18-180)</f>
        <v/>
      </c>
      <c r="FQ18" s="51">
        <f>IF(OR(B18="",NOT(ISNUMBER(BR18))),"",BR18)</f>
        <v/>
      </c>
      <c r="FR18" s="51">
        <f>IF(OR(B18="",NOT(ISNUMBER(AL18))),"",AL18)</f>
        <v/>
      </c>
      <c r="FS18" s="51">
        <f>IF(OR(B18="",NOT(ISNUMBER(CW18))),"",EDATE(CW18,60))</f>
        <v/>
      </c>
      <c r="FT18" s="51">
        <f>IF(OR(B18="",NOT(ISNUMBER(DH18))),"",EDATE(DH18,36))</f>
        <v/>
      </c>
      <c r="FU18" s="51">
        <f>IF(OR(B18="",NOT(ISNUMBER(BW18))),"",EDATE(BW18,24))</f>
        <v/>
      </c>
      <c r="FV18" s="51">
        <f>IF(OR(B18="",NOT(ISNUMBER(BX18))),"",BX18)</f>
        <v/>
      </c>
      <c r="FW18" s="51">
        <f>IF(OR(B18="",NOT(ISNUMBER(EK18))),"",EDATE(EK18,12))</f>
        <v/>
      </c>
      <c r="FX18" s="51">
        <f>IF(OR(B18="",NOT(ISNUMBER(EL18))),"",EL18)</f>
        <v/>
      </c>
      <c r="FY18" s="51">
        <f>IF(OR(B18="",NOT(ISNUMBER(EN18))),"",EDATE(EN18,12))</f>
        <v/>
      </c>
      <c r="FZ18" s="51">
        <f>IF(OR(B18="",NOT(ISNUMBER(EO18))),"",EO18)</f>
        <v/>
      </c>
      <c r="GA18" s="51">
        <f>IF(OR(B18="",NOT(ISNUMBER(CK18))),"",CK18)</f>
        <v/>
      </c>
      <c r="GB18" s="51">
        <f>IF(OR(B18="",NOT(ISNUMBER(CM18))),"",CM18)</f>
        <v/>
      </c>
      <c r="GC18" s="51">
        <f>IF(OR(B18="",NOT(ISNUMBER(CQ18))),"",CQ18)</f>
        <v/>
      </c>
      <c r="GD18" s="51">
        <f>IF(OR(B18="",NOT(ISNUMBER(EI18))),"",EI18)</f>
        <v/>
      </c>
      <c r="GE18" s="51">
        <f>IF(OR(B18="",NOT(ISNUMBER(FA18))),"",FA18)</f>
        <v/>
      </c>
      <c r="GF18" s="51">
        <f>IF(OR(B18="",NOT(ISNUMBER(ES18))),"",ES18)</f>
        <v/>
      </c>
      <c r="GG18" s="51">
        <f>IF(OR(B18="",NOT(ISNUMBER(FB18))),"",FB18)</f>
        <v/>
      </c>
    </row>
    <row r="19" ht="22" customHeight="1">
      <c r="A19" s="32" t="n">
        <v>15</v>
      </c>
      <c r="B19" s="33" t="n"/>
      <c r="C19" s="34">
        <f>IF(B19="","",((P19="Süresi geçti")+(P19="Yaklaşıyor")+(P19="Tarih hatalı"))+((Q19="Süresi geçti")+(Q19="Yaklaşıyor")+(Q19="Tarih hatalı"))+((R19="Süresi geçti")+(R19="Yaklaşıyor")+(R19="Tarih hatalı"))+((S19="Süresi geçti")+(S19="Yaklaşıyor")+(S19="Tarih hatalı"))+((T19="Süresi geçti")+(T19="Yaklaşıyor")+(T19="Tarih hatalı"))+((U19="Süresi geçti")+(U19="Yaklaşıyor")+(U19="Tarih hatalı"))+((V19="Süresi geçti")+(V19="Yaklaşıyor")+(V19="Tarih hatalı")))</f>
        <v/>
      </c>
      <c r="D19" s="35">
        <f>IF(OR(B19="",E19=""),"",INDEX($FO$4:$GG$4,1,MATCH(E19,FO19:GG19,0)))</f>
        <v/>
      </c>
      <c r="E19" s="36">
        <f>IF(B19="","",IF(COUNT(FO19:GG19)=0,"",SMALL(FO19:GG19,1)))</f>
        <v/>
      </c>
      <c r="F19" s="34">
        <f>IF(E19="","",E19-TODAY())</f>
        <v/>
      </c>
      <c r="G19" s="37" t="n"/>
      <c r="H19" s="37" t="n"/>
      <c r="I19" s="37" t="n"/>
      <c r="J19" s="37" t="n"/>
      <c r="K19" s="37" t="n"/>
      <c r="L19" s="38" t="n"/>
      <c r="M19" s="37" t="n"/>
      <c r="N19" s="37" t="n"/>
      <c r="O19" s="39" t="n"/>
      <c r="P19" s="35">
        <f>IF(B19="","",IF(NOT(ISNUMBER(AL19)),"Tarih girilmedi",IFERROR(IF(TODAY()&gt;AL19,"Süresi geçti",IF(TODAY()&gt;=(AL19-60),"Yaklaşıyor","Takipte")),"Tarih hatalı")))</f>
        <v/>
      </c>
      <c r="Q19" s="35">
        <f>IF(B19="","",IF(NOT(ISNUMBER(EK19)),"Tarih girilmedi",IFERROR(IF(TODAY()&gt;EDATE(EK19,12),"Süresi geçti",IF(TODAY()&gt;=EDATE(EK19,11),"Yaklaşıyor","Takipte")),"Tarih hatalı")))</f>
        <v/>
      </c>
      <c r="R19" s="35">
        <f>IF(B19="","",IF(NOT(ISNUMBER(EN19)),"Tarih girilmedi",IFERROR(IF(TODAY()&gt;EDATE(EN19,12),"Süresi geçti",IF(TODAY()&gt;=EDATE(EN19,11),"Yaklaşıyor","Takipte")),"Tarih hatalı")))</f>
        <v/>
      </c>
      <c r="S19" s="35">
        <f>IF(B19="","",IF(NOT(ISNUMBER(CW19)),"Tarih girilmedi",IFERROR(IF(TODAY()&gt;EDATE(CW19,60),"Süresi geçti",IF(TODAY()&gt;=EDATE(CW19,57),"Yaklaşıyor","Takipte")),"Tarih hatalı")))</f>
        <v/>
      </c>
      <c r="T19" s="35">
        <f>IF(B19="","",IF(NOT(ISNUMBER(DH19)),"Tarih girilmedi",IFERROR(IF(TODAY()&gt;EDATE(DH19,36),"Süresi geçti",IF(TODAY()&gt;=EDATE(DH19,33),"Yaklaşıyor","Takipte")),"Tarih hatalı")))</f>
        <v/>
      </c>
      <c r="U19" s="35">
        <f>IF(B19="","",IF(NOT(ISNUMBER(BW19)),"Tarih girilmedi",IFERROR(IF(TODAY()&gt;EDATE(BW19,24),"Süresi geçti",IF(TODAY()&gt;=(EDATE(BW19,24)-45),"Yaklaşıyor","Takipte")),"Tarih hatalı")))</f>
        <v/>
      </c>
      <c r="V19" s="35">
        <f>IF(B19="","",IF(NOT(ISNUMBER(BM19)),"Tarih girilmedi",IFERROR(IF(TODAY()&gt;BM19,"Süresi geçti",IF(TODAY()&gt;=(BM19-180),"Yaklaşıyor","Takipte")),"Tarih hatalı")))</f>
        <v/>
      </c>
      <c r="W19" s="40" t="n"/>
      <c r="X19" s="37" t="n"/>
      <c r="Y19" s="39" t="n"/>
      <c r="Z19" s="37" t="n"/>
      <c r="AA19" s="37" t="n"/>
      <c r="AB19" s="37" t="n"/>
      <c r="AC19" s="38" t="n"/>
      <c r="AD19" s="38" t="n"/>
      <c r="AE19" s="38" t="n"/>
      <c r="AF19" s="37" t="n"/>
      <c r="AG19" s="37" t="n"/>
      <c r="AH19" s="37" t="n"/>
      <c r="AI19" s="38" t="n"/>
      <c r="AJ19" s="37" t="n"/>
      <c r="AK19" s="41" t="n"/>
      <c r="AL19" s="41" t="n"/>
      <c r="AM19" s="37" t="n"/>
      <c r="AN19" s="39" t="n"/>
      <c r="AO19" s="42" t="n"/>
      <c r="AP19" s="37" t="n"/>
      <c r="AQ19" s="37" t="n"/>
      <c r="AR19" s="37" t="n"/>
      <c r="AS19" s="37" t="n"/>
      <c r="AT19" s="37" t="n"/>
      <c r="AU19" s="37" t="n"/>
      <c r="AV19" s="37" t="n"/>
      <c r="AW19" s="37" t="n"/>
      <c r="AX19" s="43" t="n"/>
      <c r="AY19" s="37" t="n"/>
      <c r="AZ19" s="37" t="n"/>
      <c r="BA19" s="41" t="n"/>
      <c r="BB19" s="37" t="n"/>
      <c r="BC19" s="37" t="n"/>
      <c r="BD19" s="37" t="n"/>
      <c r="BE19" s="37" t="n"/>
      <c r="BF19" s="37" t="n"/>
      <c r="BG19" s="37" t="n"/>
      <c r="BH19" s="41" t="n"/>
      <c r="BI19" s="37" t="n"/>
      <c r="BJ19" s="37" t="n"/>
      <c r="BK19" s="38" t="n"/>
      <c r="BL19" s="37" t="n"/>
      <c r="BM19" s="41" t="n"/>
      <c r="BN19" s="37" t="n"/>
      <c r="BO19" s="41" t="n"/>
      <c r="BP19" s="37" t="n"/>
      <c r="BQ19" s="37" t="n"/>
      <c r="BR19" s="41" t="n"/>
      <c r="BS19" s="39" t="n"/>
      <c r="BT19" s="44" t="n"/>
      <c r="BU19" s="37" t="n"/>
      <c r="BV19" s="45" t="n"/>
      <c r="BW19" s="41" t="n"/>
      <c r="BX19" s="41" t="n"/>
      <c r="BY19" s="37" t="n"/>
      <c r="BZ19" s="37" t="n"/>
      <c r="CA19" s="37" t="n"/>
      <c r="CB19" s="37" t="n"/>
      <c r="CC19" s="39" t="n"/>
      <c r="CD19" s="39" t="n"/>
      <c r="CE19" s="46" t="n"/>
      <c r="CF19" s="37" t="n"/>
      <c r="CG19" s="37" t="n"/>
      <c r="CH19" s="45" t="n"/>
      <c r="CI19" s="37" t="n"/>
      <c r="CJ19" s="38" t="n"/>
      <c r="CK19" s="41" t="n"/>
      <c r="CL19" s="37" t="n"/>
      <c r="CM19" s="41" t="n"/>
      <c r="CN19" s="37" t="n"/>
      <c r="CO19" s="37" t="n"/>
      <c r="CP19" s="41" t="n"/>
      <c r="CQ19" s="41" t="n"/>
      <c r="CR19" s="37" t="n"/>
      <c r="CS19" s="37" t="n"/>
      <c r="CT19" s="47" t="n"/>
      <c r="CU19" s="37" t="n"/>
      <c r="CV19" s="38" t="n"/>
      <c r="CW19" s="41" t="n"/>
      <c r="CX19" s="37" t="n"/>
      <c r="CY19" s="37" t="n"/>
      <c r="CZ19" s="37" t="n"/>
      <c r="DA19" s="37" t="n"/>
      <c r="DB19" s="37" t="n"/>
      <c r="DC19" s="37" t="n"/>
      <c r="DD19" s="37" t="n"/>
      <c r="DE19" s="37" t="n"/>
      <c r="DF19" s="37" t="n"/>
      <c r="DG19" s="37" t="n"/>
      <c r="DH19" s="41" t="n"/>
      <c r="DI19" s="37" t="n"/>
      <c r="DJ19" s="37" t="n"/>
      <c r="DK19" s="37" t="n"/>
      <c r="DL19" s="41" t="n"/>
      <c r="DM19" s="37" t="n"/>
      <c r="DN19" s="45" t="n"/>
      <c r="DO19" s="41" t="n"/>
      <c r="DP19" s="48" t="n"/>
      <c r="DQ19" s="37" t="n"/>
      <c r="DR19" s="37" t="n"/>
      <c r="DS19" s="41" t="n"/>
      <c r="DT19" s="37" t="n"/>
      <c r="DU19" s="37" t="n"/>
      <c r="DV19" s="37" t="n"/>
      <c r="DW19" s="37" t="n"/>
      <c r="DX19" s="37" t="n"/>
      <c r="DY19" s="37" t="n"/>
      <c r="DZ19" s="39" t="n"/>
      <c r="EA19" s="37" t="n"/>
      <c r="EB19" s="37" t="n"/>
      <c r="EC19" s="37" t="n"/>
      <c r="ED19" s="41" t="n"/>
      <c r="EE19" s="37" t="n"/>
      <c r="EF19" s="39" t="n"/>
      <c r="EG19" s="49" t="n"/>
      <c r="EH19" s="41" t="n"/>
      <c r="EI19" s="41" t="n"/>
      <c r="EJ19" s="37" t="n"/>
      <c r="EK19" s="41" t="n"/>
      <c r="EL19" s="41" t="n"/>
      <c r="EM19" s="37" t="n"/>
      <c r="EN19" s="41" t="n"/>
      <c r="EO19" s="41" t="n"/>
      <c r="EP19" s="37" t="n"/>
      <c r="EQ19" s="39" t="n"/>
      <c r="ER19" s="45" t="n"/>
      <c r="ES19" s="41" t="n"/>
      <c r="ET19" s="39" t="n"/>
      <c r="EU19" s="39" t="n"/>
      <c r="EV19" s="41" t="n"/>
      <c r="EW19" s="39" t="n"/>
      <c r="EX19" s="37" t="n"/>
      <c r="EY19" s="37" t="n"/>
      <c r="EZ19" s="39" t="n"/>
      <c r="FA19" s="41" t="n"/>
      <c r="FB19" s="41" t="n"/>
      <c r="FC19" s="50" t="n"/>
      <c r="FD19" s="36">
        <f>IF(B19="","",IF(NOT(ISNUMBER(EK19)),"Tarih girilmedi",IFERROR(EDATE(EK19,12),"Tarih hatalı")))</f>
        <v/>
      </c>
      <c r="FE19" s="36">
        <f>IF(B19="","",IF(NOT(ISNUMBER(EK19)),"Tarih girilmedi",IFERROR(EDATE(EK19,11),"Tarih hatalı")))</f>
        <v/>
      </c>
      <c r="FF19" s="36">
        <f>IF(B19="","",IF(NOT(ISNUMBER(EN19)),"Tarih girilmedi",IFERROR(EDATE(EN19,12),"Tarih hatalı")))</f>
        <v/>
      </c>
      <c r="FG19" s="36">
        <f>IF(B19="","",IF(NOT(ISNUMBER(EN19)),"Tarih girilmedi",IFERROR(EDATE(EN19,11),"Tarih hatalı")))</f>
        <v/>
      </c>
      <c r="FH19" s="36">
        <f>IF(B19="","",IF(NOT(ISNUMBER(CW19)),"Tarih girilmedi",IFERROR(EDATE(CW19,60),"Tarih hatalı")))</f>
        <v/>
      </c>
      <c r="FI19" s="36">
        <f>IF(B19="","",IF(NOT(ISNUMBER(CW19)),"Tarih girilmedi",IFERROR(EDATE(CW19,57),"Tarih hatalı")))</f>
        <v/>
      </c>
      <c r="FJ19" s="36">
        <f>IF(B19="","",IF(NOT(ISNUMBER(DH19)),"Tarih girilmedi",IFERROR(EDATE(DH19,36),"Tarih hatalı")))</f>
        <v/>
      </c>
      <c r="FK19" s="36">
        <f>IF(B19="","",IF(NOT(ISNUMBER(DH19)),"Tarih girilmedi",IFERROR(EDATE(DH19,33),"Tarih hatalı")))</f>
        <v/>
      </c>
      <c r="FL19" s="36">
        <f>IF(B19="","",IF(NOT(ISNUMBER(BW19)),"Tarih girilmedi",IFERROR(EDATE(BW19,24),"Tarih hatalı")))</f>
        <v/>
      </c>
      <c r="FM19" s="36">
        <f>IF(B19="","",IF(NOT(ISNUMBER(BW19)),"Tarih girilmedi",IFERROR(EDATE(BW19,24)-45,"Tarih hatalı")))</f>
        <v/>
      </c>
      <c r="FN19" s="36">
        <f>IF(B19="","",IF(NOT(ISNUMBER(BM19)),"Tarih girilmedi",IFERROR(BM19-180,"Tarih hatalı")))</f>
        <v/>
      </c>
      <c r="FO19" s="51">
        <f>IF(OR(B19="",NOT(ISNUMBER(BM19))),"",BM19)</f>
        <v/>
      </c>
      <c r="FP19" s="51">
        <f>IF(OR(B19="",NOT(ISNUMBER(BM19))),"",BM19-180)</f>
        <v/>
      </c>
      <c r="FQ19" s="51">
        <f>IF(OR(B19="",NOT(ISNUMBER(BR19))),"",BR19)</f>
        <v/>
      </c>
      <c r="FR19" s="51">
        <f>IF(OR(B19="",NOT(ISNUMBER(AL19))),"",AL19)</f>
        <v/>
      </c>
      <c r="FS19" s="51">
        <f>IF(OR(B19="",NOT(ISNUMBER(CW19))),"",EDATE(CW19,60))</f>
        <v/>
      </c>
      <c r="FT19" s="51">
        <f>IF(OR(B19="",NOT(ISNUMBER(DH19))),"",EDATE(DH19,36))</f>
        <v/>
      </c>
      <c r="FU19" s="51">
        <f>IF(OR(B19="",NOT(ISNUMBER(BW19))),"",EDATE(BW19,24))</f>
        <v/>
      </c>
      <c r="FV19" s="51">
        <f>IF(OR(B19="",NOT(ISNUMBER(BX19))),"",BX19)</f>
        <v/>
      </c>
      <c r="FW19" s="51">
        <f>IF(OR(B19="",NOT(ISNUMBER(EK19))),"",EDATE(EK19,12))</f>
        <v/>
      </c>
      <c r="FX19" s="51">
        <f>IF(OR(B19="",NOT(ISNUMBER(EL19))),"",EL19)</f>
        <v/>
      </c>
      <c r="FY19" s="51">
        <f>IF(OR(B19="",NOT(ISNUMBER(EN19))),"",EDATE(EN19,12))</f>
        <v/>
      </c>
      <c r="FZ19" s="51">
        <f>IF(OR(B19="",NOT(ISNUMBER(EO19))),"",EO19)</f>
        <v/>
      </c>
      <c r="GA19" s="51">
        <f>IF(OR(B19="",NOT(ISNUMBER(CK19))),"",CK19)</f>
        <v/>
      </c>
      <c r="GB19" s="51">
        <f>IF(OR(B19="",NOT(ISNUMBER(CM19))),"",CM19)</f>
        <v/>
      </c>
      <c r="GC19" s="51">
        <f>IF(OR(B19="",NOT(ISNUMBER(CQ19))),"",CQ19)</f>
        <v/>
      </c>
      <c r="GD19" s="51">
        <f>IF(OR(B19="",NOT(ISNUMBER(EI19))),"",EI19)</f>
        <v/>
      </c>
      <c r="GE19" s="51">
        <f>IF(OR(B19="",NOT(ISNUMBER(FA19))),"",FA19)</f>
        <v/>
      </c>
      <c r="GF19" s="51">
        <f>IF(OR(B19="",NOT(ISNUMBER(ES19))),"",ES19)</f>
        <v/>
      </c>
      <c r="GG19" s="51">
        <f>IF(OR(B19="",NOT(ISNUMBER(FB19))),"",FB19)</f>
        <v/>
      </c>
    </row>
    <row r="20" ht="22" customHeight="1">
      <c r="A20" s="32" t="n">
        <v>16</v>
      </c>
      <c r="B20" s="33" t="n"/>
      <c r="C20" s="34">
        <f>IF(B20="","",((P20="Süresi geçti")+(P20="Yaklaşıyor")+(P20="Tarih hatalı"))+((Q20="Süresi geçti")+(Q20="Yaklaşıyor")+(Q20="Tarih hatalı"))+((R20="Süresi geçti")+(R20="Yaklaşıyor")+(R20="Tarih hatalı"))+((S20="Süresi geçti")+(S20="Yaklaşıyor")+(S20="Tarih hatalı"))+((T20="Süresi geçti")+(T20="Yaklaşıyor")+(T20="Tarih hatalı"))+((U20="Süresi geçti")+(U20="Yaklaşıyor")+(U20="Tarih hatalı"))+((V20="Süresi geçti")+(V20="Yaklaşıyor")+(V20="Tarih hatalı")))</f>
        <v/>
      </c>
      <c r="D20" s="35">
        <f>IF(OR(B20="",E20=""),"",INDEX($FO$4:$GG$4,1,MATCH(E20,FO20:GG20,0)))</f>
        <v/>
      </c>
      <c r="E20" s="36">
        <f>IF(B20="","",IF(COUNT(FO20:GG20)=0,"",SMALL(FO20:GG20,1)))</f>
        <v/>
      </c>
      <c r="F20" s="34">
        <f>IF(E20="","",E20-TODAY())</f>
        <v/>
      </c>
      <c r="G20" s="37" t="n"/>
      <c r="H20" s="37" t="n"/>
      <c r="I20" s="37" t="n"/>
      <c r="J20" s="37" t="n"/>
      <c r="K20" s="37" t="n"/>
      <c r="L20" s="38" t="n"/>
      <c r="M20" s="37" t="n"/>
      <c r="N20" s="37" t="n"/>
      <c r="O20" s="39" t="n"/>
      <c r="P20" s="35">
        <f>IF(B20="","",IF(NOT(ISNUMBER(AL20)),"Tarih girilmedi",IFERROR(IF(TODAY()&gt;AL20,"Süresi geçti",IF(TODAY()&gt;=(AL20-60),"Yaklaşıyor","Takipte")),"Tarih hatalı")))</f>
        <v/>
      </c>
      <c r="Q20" s="35">
        <f>IF(B20="","",IF(NOT(ISNUMBER(EK20)),"Tarih girilmedi",IFERROR(IF(TODAY()&gt;EDATE(EK20,12),"Süresi geçti",IF(TODAY()&gt;=EDATE(EK20,11),"Yaklaşıyor","Takipte")),"Tarih hatalı")))</f>
        <v/>
      </c>
      <c r="R20" s="35">
        <f>IF(B20="","",IF(NOT(ISNUMBER(EN20)),"Tarih girilmedi",IFERROR(IF(TODAY()&gt;EDATE(EN20,12),"Süresi geçti",IF(TODAY()&gt;=EDATE(EN20,11),"Yaklaşıyor","Takipte")),"Tarih hatalı")))</f>
        <v/>
      </c>
      <c r="S20" s="35">
        <f>IF(B20="","",IF(NOT(ISNUMBER(CW20)),"Tarih girilmedi",IFERROR(IF(TODAY()&gt;EDATE(CW20,60),"Süresi geçti",IF(TODAY()&gt;=EDATE(CW20,57),"Yaklaşıyor","Takipte")),"Tarih hatalı")))</f>
        <v/>
      </c>
      <c r="T20" s="35">
        <f>IF(B20="","",IF(NOT(ISNUMBER(DH20)),"Tarih girilmedi",IFERROR(IF(TODAY()&gt;EDATE(DH20,36),"Süresi geçti",IF(TODAY()&gt;=EDATE(DH20,33),"Yaklaşıyor","Takipte")),"Tarih hatalı")))</f>
        <v/>
      </c>
      <c r="U20" s="35">
        <f>IF(B20="","",IF(NOT(ISNUMBER(BW20)),"Tarih girilmedi",IFERROR(IF(TODAY()&gt;EDATE(BW20,24),"Süresi geçti",IF(TODAY()&gt;=(EDATE(BW20,24)-45),"Yaklaşıyor","Takipte")),"Tarih hatalı")))</f>
        <v/>
      </c>
      <c r="V20" s="35">
        <f>IF(B20="","",IF(NOT(ISNUMBER(BM20)),"Tarih girilmedi",IFERROR(IF(TODAY()&gt;BM20,"Süresi geçti",IF(TODAY()&gt;=(BM20-180),"Yaklaşıyor","Takipte")),"Tarih hatalı")))</f>
        <v/>
      </c>
      <c r="W20" s="40" t="n"/>
      <c r="X20" s="37" t="n"/>
      <c r="Y20" s="39" t="n"/>
      <c r="Z20" s="37" t="n"/>
      <c r="AA20" s="37" t="n"/>
      <c r="AB20" s="37" t="n"/>
      <c r="AC20" s="38" t="n"/>
      <c r="AD20" s="38" t="n"/>
      <c r="AE20" s="38" t="n"/>
      <c r="AF20" s="37" t="n"/>
      <c r="AG20" s="37" t="n"/>
      <c r="AH20" s="37" t="n"/>
      <c r="AI20" s="38" t="n"/>
      <c r="AJ20" s="37" t="n"/>
      <c r="AK20" s="41" t="n"/>
      <c r="AL20" s="41" t="n"/>
      <c r="AM20" s="37" t="n"/>
      <c r="AN20" s="39" t="n"/>
      <c r="AO20" s="42" t="n"/>
      <c r="AP20" s="37" t="n"/>
      <c r="AQ20" s="37" t="n"/>
      <c r="AR20" s="37" t="n"/>
      <c r="AS20" s="37" t="n"/>
      <c r="AT20" s="37" t="n"/>
      <c r="AU20" s="37" t="n"/>
      <c r="AV20" s="37" t="n"/>
      <c r="AW20" s="37" t="n"/>
      <c r="AX20" s="43" t="n"/>
      <c r="AY20" s="37" t="n"/>
      <c r="AZ20" s="37" t="n"/>
      <c r="BA20" s="41" t="n"/>
      <c r="BB20" s="37" t="n"/>
      <c r="BC20" s="37" t="n"/>
      <c r="BD20" s="37" t="n"/>
      <c r="BE20" s="37" t="n"/>
      <c r="BF20" s="37" t="n"/>
      <c r="BG20" s="37" t="n"/>
      <c r="BH20" s="41" t="n"/>
      <c r="BI20" s="37" t="n"/>
      <c r="BJ20" s="37" t="n"/>
      <c r="BK20" s="38" t="n"/>
      <c r="BL20" s="37" t="n"/>
      <c r="BM20" s="41" t="n"/>
      <c r="BN20" s="37" t="n"/>
      <c r="BO20" s="41" t="n"/>
      <c r="BP20" s="37" t="n"/>
      <c r="BQ20" s="37" t="n"/>
      <c r="BR20" s="41" t="n"/>
      <c r="BS20" s="39" t="n"/>
      <c r="BT20" s="44" t="n"/>
      <c r="BU20" s="37" t="n"/>
      <c r="BV20" s="45" t="n"/>
      <c r="BW20" s="41" t="n"/>
      <c r="BX20" s="41" t="n"/>
      <c r="BY20" s="37" t="n"/>
      <c r="BZ20" s="37" t="n"/>
      <c r="CA20" s="37" t="n"/>
      <c r="CB20" s="37" t="n"/>
      <c r="CC20" s="39" t="n"/>
      <c r="CD20" s="39" t="n"/>
      <c r="CE20" s="46" t="n"/>
      <c r="CF20" s="37" t="n"/>
      <c r="CG20" s="37" t="n"/>
      <c r="CH20" s="45" t="n"/>
      <c r="CI20" s="37" t="n"/>
      <c r="CJ20" s="38" t="n"/>
      <c r="CK20" s="41" t="n"/>
      <c r="CL20" s="37" t="n"/>
      <c r="CM20" s="41" t="n"/>
      <c r="CN20" s="37" t="n"/>
      <c r="CO20" s="37" t="n"/>
      <c r="CP20" s="41" t="n"/>
      <c r="CQ20" s="41" t="n"/>
      <c r="CR20" s="37" t="n"/>
      <c r="CS20" s="37" t="n"/>
      <c r="CT20" s="47" t="n"/>
      <c r="CU20" s="37" t="n"/>
      <c r="CV20" s="38" t="n"/>
      <c r="CW20" s="41" t="n"/>
      <c r="CX20" s="37" t="n"/>
      <c r="CY20" s="37" t="n"/>
      <c r="CZ20" s="37" t="n"/>
      <c r="DA20" s="37" t="n"/>
      <c r="DB20" s="37" t="n"/>
      <c r="DC20" s="37" t="n"/>
      <c r="DD20" s="37" t="n"/>
      <c r="DE20" s="37" t="n"/>
      <c r="DF20" s="37" t="n"/>
      <c r="DG20" s="37" t="n"/>
      <c r="DH20" s="41" t="n"/>
      <c r="DI20" s="37" t="n"/>
      <c r="DJ20" s="37" t="n"/>
      <c r="DK20" s="37" t="n"/>
      <c r="DL20" s="41" t="n"/>
      <c r="DM20" s="37" t="n"/>
      <c r="DN20" s="45" t="n"/>
      <c r="DO20" s="41" t="n"/>
      <c r="DP20" s="48" t="n"/>
      <c r="DQ20" s="37" t="n"/>
      <c r="DR20" s="37" t="n"/>
      <c r="DS20" s="41" t="n"/>
      <c r="DT20" s="37" t="n"/>
      <c r="DU20" s="37" t="n"/>
      <c r="DV20" s="37" t="n"/>
      <c r="DW20" s="37" t="n"/>
      <c r="DX20" s="37" t="n"/>
      <c r="DY20" s="37" t="n"/>
      <c r="DZ20" s="39" t="n"/>
      <c r="EA20" s="37" t="n"/>
      <c r="EB20" s="37" t="n"/>
      <c r="EC20" s="37" t="n"/>
      <c r="ED20" s="41" t="n"/>
      <c r="EE20" s="37" t="n"/>
      <c r="EF20" s="39" t="n"/>
      <c r="EG20" s="49" t="n"/>
      <c r="EH20" s="41" t="n"/>
      <c r="EI20" s="41" t="n"/>
      <c r="EJ20" s="37" t="n"/>
      <c r="EK20" s="41" t="n"/>
      <c r="EL20" s="41" t="n"/>
      <c r="EM20" s="37" t="n"/>
      <c r="EN20" s="41" t="n"/>
      <c r="EO20" s="41" t="n"/>
      <c r="EP20" s="37" t="n"/>
      <c r="EQ20" s="39" t="n"/>
      <c r="ER20" s="45" t="n"/>
      <c r="ES20" s="41" t="n"/>
      <c r="ET20" s="39" t="n"/>
      <c r="EU20" s="39" t="n"/>
      <c r="EV20" s="41" t="n"/>
      <c r="EW20" s="39" t="n"/>
      <c r="EX20" s="37" t="n"/>
      <c r="EY20" s="37" t="n"/>
      <c r="EZ20" s="39" t="n"/>
      <c r="FA20" s="41" t="n"/>
      <c r="FB20" s="41" t="n"/>
      <c r="FC20" s="50" t="n"/>
      <c r="FD20" s="36">
        <f>IF(B20="","",IF(NOT(ISNUMBER(EK20)),"Tarih girilmedi",IFERROR(EDATE(EK20,12),"Tarih hatalı")))</f>
        <v/>
      </c>
      <c r="FE20" s="36">
        <f>IF(B20="","",IF(NOT(ISNUMBER(EK20)),"Tarih girilmedi",IFERROR(EDATE(EK20,11),"Tarih hatalı")))</f>
        <v/>
      </c>
      <c r="FF20" s="36">
        <f>IF(B20="","",IF(NOT(ISNUMBER(EN20)),"Tarih girilmedi",IFERROR(EDATE(EN20,12),"Tarih hatalı")))</f>
        <v/>
      </c>
      <c r="FG20" s="36">
        <f>IF(B20="","",IF(NOT(ISNUMBER(EN20)),"Tarih girilmedi",IFERROR(EDATE(EN20,11),"Tarih hatalı")))</f>
        <v/>
      </c>
      <c r="FH20" s="36">
        <f>IF(B20="","",IF(NOT(ISNUMBER(CW20)),"Tarih girilmedi",IFERROR(EDATE(CW20,60),"Tarih hatalı")))</f>
        <v/>
      </c>
      <c r="FI20" s="36">
        <f>IF(B20="","",IF(NOT(ISNUMBER(CW20)),"Tarih girilmedi",IFERROR(EDATE(CW20,57),"Tarih hatalı")))</f>
        <v/>
      </c>
      <c r="FJ20" s="36">
        <f>IF(B20="","",IF(NOT(ISNUMBER(DH20)),"Tarih girilmedi",IFERROR(EDATE(DH20,36),"Tarih hatalı")))</f>
        <v/>
      </c>
      <c r="FK20" s="36">
        <f>IF(B20="","",IF(NOT(ISNUMBER(DH20)),"Tarih girilmedi",IFERROR(EDATE(DH20,33),"Tarih hatalı")))</f>
        <v/>
      </c>
      <c r="FL20" s="36">
        <f>IF(B20="","",IF(NOT(ISNUMBER(BW20)),"Tarih girilmedi",IFERROR(EDATE(BW20,24),"Tarih hatalı")))</f>
        <v/>
      </c>
      <c r="FM20" s="36">
        <f>IF(B20="","",IF(NOT(ISNUMBER(BW20)),"Tarih girilmedi",IFERROR(EDATE(BW20,24)-45,"Tarih hatalı")))</f>
        <v/>
      </c>
      <c r="FN20" s="36">
        <f>IF(B20="","",IF(NOT(ISNUMBER(BM20)),"Tarih girilmedi",IFERROR(BM20-180,"Tarih hatalı")))</f>
        <v/>
      </c>
      <c r="FO20" s="51">
        <f>IF(OR(B20="",NOT(ISNUMBER(BM20))),"",BM20)</f>
        <v/>
      </c>
      <c r="FP20" s="51">
        <f>IF(OR(B20="",NOT(ISNUMBER(BM20))),"",BM20-180)</f>
        <v/>
      </c>
      <c r="FQ20" s="51">
        <f>IF(OR(B20="",NOT(ISNUMBER(BR20))),"",BR20)</f>
        <v/>
      </c>
      <c r="FR20" s="51">
        <f>IF(OR(B20="",NOT(ISNUMBER(AL20))),"",AL20)</f>
        <v/>
      </c>
      <c r="FS20" s="51">
        <f>IF(OR(B20="",NOT(ISNUMBER(CW20))),"",EDATE(CW20,60))</f>
        <v/>
      </c>
      <c r="FT20" s="51">
        <f>IF(OR(B20="",NOT(ISNUMBER(DH20))),"",EDATE(DH20,36))</f>
        <v/>
      </c>
      <c r="FU20" s="51">
        <f>IF(OR(B20="",NOT(ISNUMBER(BW20))),"",EDATE(BW20,24))</f>
        <v/>
      </c>
      <c r="FV20" s="51">
        <f>IF(OR(B20="",NOT(ISNUMBER(BX20))),"",BX20)</f>
        <v/>
      </c>
      <c r="FW20" s="51">
        <f>IF(OR(B20="",NOT(ISNUMBER(EK20))),"",EDATE(EK20,12))</f>
        <v/>
      </c>
      <c r="FX20" s="51">
        <f>IF(OR(B20="",NOT(ISNUMBER(EL20))),"",EL20)</f>
        <v/>
      </c>
      <c r="FY20" s="51">
        <f>IF(OR(B20="",NOT(ISNUMBER(EN20))),"",EDATE(EN20,12))</f>
        <v/>
      </c>
      <c r="FZ20" s="51">
        <f>IF(OR(B20="",NOT(ISNUMBER(EO20))),"",EO20)</f>
        <v/>
      </c>
      <c r="GA20" s="51">
        <f>IF(OR(B20="",NOT(ISNUMBER(CK20))),"",CK20)</f>
        <v/>
      </c>
      <c r="GB20" s="51">
        <f>IF(OR(B20="",NOT(ISNUMBER(CM20))),"",CM20)</f>
        <v/>
      </c>
      <c r="GC20" s="51">
        <f>IF(OR(B20="",NOT(ISNUMBER(CQ20))),"",CQ20)</f>
        <v/>
      </c>
      <c r="GD20" s="51">
        <f>IF(OR(B20="",NOT(ISNUMBER(EI20))),"",EI20)</f>
        <v/>
      </c>
      <c r="GE20" s="51">
        <f>IF(OR(B20="",NOT(ISNUMBER(FA20))),"",FA20)</f>
        <v/>
      </c>
      <c r="GF20" s="51">
        <f>IF(OR(B20="",NOT(ISNUMBER(ES20))),"",ES20)</f>
        <v/>
      </c>
      <c r="GG20" s="51">
        <f>IF(OR(B20="",NOT(ISNUMBER(FB20))),"",FB20)</f>
        <v/>
      </c>
    </row>
    <row r="21" ht="22" customHeight="1">
      <c r="A21" s="32" t="n">
        <v>17</v>
      </c>
      <c r="B21" s="33" t="n"/>
      <c r="C21" s="34">
        <f>IF(B21="","",((P21="Süresi geçti")+(P21="Yaklaşıyor")+(P21="Tarih hatalı"))+((Q21="Süresi geçti")+(Q21="Yaklaşıyor")+(Q21="Tarih hatalı"))+((R21="Süresi geçti")+(R21="Yaklaşıyor")+(R21="Tarih hatalı"))+((S21="Süresi geçti")+(S21="Yaklaşıyor")+(S21="Tarih hatalı"))+((T21="Süresi geçti")+(T21="Yaklaşıyor")+(T21="Tarih hatalı"))+((U21="Süresi geçti")+(U21="Yaklaşıyor")+(U21="Tarih hatalı"))+((V21="Süresi geçti")+(V21="Yaklaşıyor")+(V21="Tarih hatalı")))</f>
        <v/>
      </c>
      <c r="D21" s="35">
        <f>IF(OR(B21="",E21=""),"",INDEX($FO$4:$GG$4,1,MATCH(E21,FO21:GG21,0)))</f>
        <v/>
      </c>
      <c r="E21" s="36">
        <f>IF(B21="","",IF(COUNT(FO21:GG21)=0,"",SMALL(FO21:GG21,1)))</f>
        <v/>
      </c>
      <c r="F21" s="34">
        <f>IF(E21="","",E21-TODAY())</f>
        <v/>
      </c>
      <c r="G21" s="37" t="n"/>
      <c r="H21" s="37" t="n"/>
      <c r="I21" s="37" t="n"/>
      <c r="J21" s="37" t="n"/>
      <c r="K21" s="37" t="n"/>
      <c r="L21" s="38" t="n"/>
      <c r="M21" s="37" t="n"/>
      <c r="N21" s="37" t="n"/>
      <c r="O21" s="39" t="n"/>
      <c r="P21" s="35">
        <f>IF(B21="","",IF(NOT(ISNUMBER(AL21)),"Tarih girilmedi",IFERROR(IF(TODAY()&gt;AL21,"Süresi geçti",IF(TODAY()&gt;=(AL21-60),"Yaklaşıyor","Takipte")),"Tarih hatalı")))</f>
        <v/>
      </c>
      <c r="Q21" s="35">
        <f>IF(B21="","",IF(NOT(ISNUMBER(EK21)),"Tarih girilmedi",IFERROR(IF(TODAY()&gt;EDATE(EK21,12),"Süresi geçti",IF(TODAY()&gt;=EDATE(EK21,11),"Yaklaşıyor","Takipte")),"Tarih hatalı")))</f>
        <v/>
      </c>
      <c r="R21" s="35">
        <f>IF(B21="","",IF(NOT(ISNUMBER(EN21)),"Tarih girilmedi",IFERROR(IF(TODAY()&gt;EDATE(EN21,12),"Süresi geçti",IF(TODAY()&gt;=EDATE(EN21,11),"Yaklaşıyor","Takipte")),"Tarih hatalı")))</f>
        <v/>
      </c>
      <c r="S21" s="35">
        <f>IF(B21="","",IF(NOT(ISNUMBER(CW21)),"Tarih girilmedi",IFERROR(IF(TODAY()&gt;EDATE(CW21,60),"Süresi geçti",IF(TODAY()&gt;=EDATE(CW21,57),"Yaklaşıyor","Takipte")),"Tarih hatalı")))</f>
        <v/>
      </c>
      <c r="T21" s="35">
        <f>IF(B21="","",IF(NOT(ISNUMBER(DH21)),"Tarih girilmedi",IFERROR(IF(TODAY()&gt;EDATE(DH21,36),"Süresi geçti",IF(TODAY()&gt;=EDATE(DH21,33),"Yaklaşıyor","Takipte")),"Tarih hatalı")))</f>
        <v/>
      </c>
      <c r="U21" s="35">
        <f>IF(B21="","",IF(NOT(ISNUMBER(BW21)),"Tarih girilmedi",IFERROR(IF(TODAY()&gt;EDATE(BW21,24),"Süresi geçti",IF(TODAY()&gt;=(EDATE(BW21,24)-45),"Yaklaşıyor","Takipte")),"Tarih hatalı")))</f>
        <v/>
      </c>
      <c r="V21" s="35">
        <f>IF(B21="","",IF(NOT(ISNUMBER(BM21)),"Tarih girilmedi",IFERROR(IF(TODAY()&gt;BM21,"Süresi geçti",IF(TODAY()&gt;=(BM21-180),"Yaklaşıyor","Takipte")),"Tarih hatalı")))</f>
        <v/>
      </c>
      <c r="W21" s="40" t="n"/>
      <c r="X21" s="37" t="n"/>
      <c r="Y21" s="39" t="n"/>
      <c r="Z21" s="37" t="n"/>
      <c r="AA21" s="37" t="n"/>
      <c r="AB21" s="37" t="n"/>
      <c r="AC21" s="38" t="n"/>
      <c r="AD21" s="38" t="n"/>
      <c r="AE21" s="38" t="n"/>
      <c r="AF21" s="37" t="n"/>
      <c r="AG21" s="37" t="n"/>
      <c r="AH21" s="37" t="n"/>
      <c r="AI21" s="38" t="n"/>
      <c r="AJ21" s="37" t="n"/>
      <c r="AK21" s="41" t="n"/>
      <c r="AL21" s="41" t="n"/>
      <c r="AM21" s="37" t="n"/>
      <c r="AN21" s="39" t="n"/>
      <c r="AO21" s="42" t="n"/>
      <c r="AP21" s="37" t="n"/>
      <c r="AQ21" s="37" t="n"/>
      <c r="AR21" s="37" t="n"/>
      <c r="AS21" s="37" t="n"/>
      <c r="AT21" s="37" t="n"/>
      <c r="AU21" s="37" t="n"/>
      <c r="AV21" s="37" t="n"/>
      <c r="AW21" s="37" t="n"/>
      <c r="AX21" s="43" t="n"/>
      <c r="AY21" s="37" t="n"/>
      <c r="AZ21" s="37" t="n"/>
      <c r="BA21" s="41" t="n"/>
      <c r="BB21" s="37" t="n"/>
      <c r="BC21" s="37" t="n"/>
      <c r="BD21" s="37" t="n"/>
      <c r="BE21" s="37" t="n"/>
      <c r="BF21" s="37" t="n"/>
      <c r="BG21" s="37" t="n"/>
      <c r="BH21" s="41" t="n"/>
      <c r="BI21" s="37" t="n"/>
      <c r="BJ21" s="37" t="n"/>
      <c r="BK21" s="38" t="n"/>
      <c r="BL21" s="37" t="n"/>
      <c r="BM21" s="41" t="n"/>
      <c r="BN21" s="37" t="n"/>
      <c r="BO21" s="41" t="n"/>
      <c r="BP21" s="37" t="n"/>
      <c r="BQ21" s="37" t="n"/>
      <c r="BR21" s="41" t="n"/>
      <c r="BS21" s="39" t="n"/>
      <c r="BT21" s="44" t="n"/>
      <c r="BU21" s="37" t="n"/>
      <c r="BV21" s="45" t="n"/>
      <c r="BW21" s="41" t="n"/>
      <c r="BX21" s="41" t="n"/>
      <c r="BY21" s="37" t="n"/>
      <c r="BZ21" s="37" t="n"/>
      <c r="CA21" s="37" t="n"/>
      <c r="CB21" s="37" t="n"/>
      <c r="CC21" s="39" t="n"/>
      <c r="CD21" s="39" t="n"/>
      <c r="CE21" s="46" t="n"/>
      <c r="CF21" s="37" t="n"/>
      <c r="CG21" s="37" t="n"/>
      <c r="CH21" s="45" t="n"/>
      <c r="CI21" s="37" t="n"/>
      <c r="CJ21" s="38" t="n"/>
      <c r="CK21" s="41" t="n"/>
      <c r="CL21" s="37" t="n"/>
      <c r="CM21" s="41" t="n"/>
      <c r="CN21" s="37" t="n"/>
      <c r="CO21" s="37" t="n"/>
      <c r="CP21" s="41" t="n"/>
      <c r="CQ21" s="41" t="n"/>
      <c r="CR21" s="37" t="n"/>
      <c r="CS21" s="37" t="n"/>
      <c r="CT21" s="47" t="n"/>
      <c r="CU21" s="37" t="n"/>
      <c r="CV21" s="38" t="n"/>
      <c r="CW21" s="41" t="n"/>
      <c r="CX21" s="37" t="n"/>
      <c r="CY21" s="37" t="n"/>
      <c r="CZ21" s="37" t="n"/>
      <c r="DA21" s="37" t="n"/>
      <c r="DB21" s="37" t="n"/>
      <c r="DC21" s="37" t="n"/>
      <c r="DD21" s="37" t="n"/>
      <c r="DE21" s="37" t="n"/>
      <c r="DF21" s="37" t="n"/>
      <c r="DG21" s="37" t="n"/>
      <c r="DH21" s="41" t="n"/>
      <c r="DI21" s="37" t="n"/>
      <c r="DJ21" s="37" t="n"/>
      <c r="DK21" s="37" t="n"/>
      <c r="DL21" s="41" t="n"/>
      <c r="DM21" s="37" t="n"/>
      <c r="DN21" s="45" t="n"/>
      <c r="DO21" s="41" t="n"/>
      <c r="DP21" s="48" t="n"/>
      <c r="DQ21" s="37" t="n"/>
      <c r="DR21" s="37" t="n"/>
      <c r="DS21" s="41" t="n"/>
      <c r="DT21" s="37" t="n"/>
      <c r="DU21" s="37" t="n"/>
      <c r="DV21" s="37" t="n"/>
      <c r="DW21" s="37" t="n"/>
      <c r="DX21" s="37" t="n"/>
      <c r="DY21" s="37" t="n"/>
      <c r="DZ21" s="39" t="n"/>
      <c r="EA21" s="37" t="n"/>
      <c r="EB21" s="37" t="n"/>
      <c r="EC21" s="37" t="n"/>
      <c r="ED21" s="41" t="n"/>
      <c r="EE21" s="37" t="n"/>
      <c r="EF21" s="39" t="n"/>
      <c r="EG21" s="49" t="n"/>
      <c r="EH21" s="41" t="n"/>
      <c r="EI21" s="41" t="n"/>
      <c r="EJ21" s="37" t="n"/>
      <c r="EK21" s="41" t="n"/>
      <c r="EL21" s="41" t="n"/>
      <c r="EM21" s="37" t="n"/>
      <c r="EN21" s="41" t="n"/>
      <c r="EO21" s="41" t="n"/>
      <c r="EP21" s="37" t="n"/>
      <c r="EQ21" s="39" t="n"/>
      <c r="ER21" s="45" t="n"/>
      <c r="ES21" s="41" t="n"/>
      <c r="ET21" s="39" t="n"/>
      <c r="EU21" s="39" t="n"/>
      <c r="EV21" s="41" t="n"/>
      <c r="EW21" s="39" t="n"/>
      <c r="EX21" s="37" t="n"/>
      <c r="EY21" s="37" t="n"/>
      <c r="EZ21" s="39" t="n"/>
      <c r="FA21" s="41" t="n"/>
      <c r="FB21" s="41" t="n"/>
      <c r="FC21" s="50" t="n"/>
      <c r="FD21" s="36">
        <f>IF(B21="","",IF(NOT(ISNUMBER(EK21)),"Tarih girilmedi",IFERROR(EDATE(EK21,12),"Tarih hatalı")))</f>
        <v/>
      </c>
      <c r="FE21" s="36">
        <f>IF(B21="","",IF(NOT(ISNUMBER(EK21)),"Tarih girilmedi",IFERROR(EDATE(EK21,11),"Tarih hatalı")))</f>
        <v/>
      </c>
      <c r="FF21" s="36">
        <f>IF(B21="","",IF(NOT(ISNUMBER(EN21)),"Tarih girilmedi",IFERROR(EDATE(EN21,12),"Tarih hatalı")))</f>
        <v/>
      </c>
      <c r="FG21" s="36">
        <f>IF(B21="","",IF(NOT(ISNUMBER(EN21)),"Tarih girilmedi",IFERROR(EDATE(EN21,11),"Tarih hatalı")))</f>
        <v/>
      </c>
      <c r="FH21" s="36">
        <f>IF(B21="","",IF(NOT(ISNUMBER(CW21)),"Tarih girilmedi",IFERROR(EDATE(CW21,60),"Tarih hatalı")))</f>
        <v/>
      </c>
      <c r="FI21" s="36">
        <f>IF(B21="","",IF(NOT(ISNUMBER(CW21)),"Tarih girilmedi",IFERROR(EDATE(CW21,57),"Tarih hatalı")))</f>
        <v/>
      </c>
      <c r="FJ21" s="36">
        <f>IF(B21="","",IF(NOT(ISNUMBER(DH21)),"Tarih girilmedi",IFERROR(EDATE(DH21,36),"Tarih hatalı")))</f>
        <v/>
      </c>
      <c r="FK21" s="36">
        <f>IF(B21="","",IF(NOT(ISNUMBER(DH21)),"Tarih girilmedi",IFERROR(EDATE(DH21,33),"Tarih hatalı")))</f>
        <v/>
      </c>
      <c r="FL21" s="36">
        <f>IF(B21="","",IF(NOT(ISNUMBER(BW21)),"Tarih girilmedi",IFERROR(EDATE(BW21,24),"Tarih hatalı")))</f>
        <v/>
      </c>
      <c r="FM21" s="36">
        <f>IF(B21="","",IF(NOT(ISNUMBER(BW21)),"Tarih girilmedi",IFERROR(EDATE(BW21,24)-45,"Tarih hatalı")))</f>
        <v/>
      </c>
      <c r="FN21" s="36">
        <f>IF(B21="","",IF(NOT(ISNUMBER(BM21)),"Tarih girilmedi",IFERROR(BM21-180,"Tarih hatalı")))</f>
        <v/>
      </c>
      <c r="FO21" s="51">
        <f>IF(OR(B21="",NOT(ISNUMBER(BM21))),"",BM21)</f>
        <v/>
      </c>
      <c r="FP21" s="51">
        <f>IF(OR(B21="",NOT(ISNUMBER(BM21))),"",BM21-180)</f>
        <v/>
      </c>
      <c r="FQ21" s="51">
        <f>IF(OR(B21="",NOT(ISNUMBER(BR21))),"",BR21)</f>
        <v/>
      </c>
      <c r="FR21" s="51">
        <f>IF(OR(B21="",NOT(ISNUMBER(AL21))),"",AL21)</f>
        <v/>
      </c>
      <c r="FS21" s="51">
        <f>IF(OR(B21="",NOT(ISNUMBER(CW21))),"",EDATE(CW21,60))</f>
        <v/>
      </c>
      <c r="FT21" s="51">
        <f>IF(OR(B21="",NOT(ISNUMBER(DH21))),"",EDATE(DH21,36))</f>
        <v/>
      </c>
      <c r="FU21" s="51">
        <f>IF(OR(B21="",NOT(ISNUMBER(BW21))),"",EDATE(BW21,24))</f>
        <v/>
      </c>
      <c r="FV21" s="51">
        <f>IF(OR(B21="",NOT(ISNUMBER(BX21))),"",BX21)</f>
        <v/>
      </c>
      <c r="FW21" s="51">
        <f>IF(OR(B21="",NOT(ISNUMBER(EK21))),"",EDATE(EK21,12))</f>
        <v/>
      </c>
      <c r="FX21" s="51">
        <f>IF(OR(B21="",NOT(ISNUMBER(EL21))),"",EL21)</f>
        <v/>
      </c>
      <c r="FY21" s="51">
        <f>IF(OR(B21="",NOT(ISNUMBER(EN21))),"",EDATE(EN21,12))</f>
        <v/>
      </c>
      <c r="FZ21" s="51">
        <f>IF(OR(B21="",NOT(ISNUMBER(EO21))),"",EO21)</f>
        <v/>
      </c>
      <c r="GA21" s="51">
        <f>IF(OR(B21="",NOT(ISNUMBER(CK21))),"",CK21)</f>
        <v/>
      </c>
      <c r="GB21" s="51">
        <f>IF(OR(B21="",NOT(ISNUMBER(CM21))),"",CM21)</f>
        <v/>
      </c>
      <c r="GC21" s="51">
        <f>IF(OR(B21="",NOT(ISNUMBER(CQ21))),"",CQ21)</f>
        <v/>
      </c>
      <c r="GD21" s="51">
        <f>IF(OR(B21="",NOT(ISNUMBER(EI21))),"",EI21)</f>
        <v/>
      </c>
      <c r="GE21" s="51">
        <f>IF(OR(B21="",NOT(ISNUMBER(FA21))),"",FA21)</f>
        <v/>
      </c>
      <c r="GF21" s="51">
        <f>IF(OR(B21="",NOT(ISNUMBER(ES21))),"",ES21)</f>
        <v/>
      </c>
      <c r="GG21" s="51">
        <f>IF(OR(B21="",NOT(ISNUMBER(FB21))),"",FB21)</f>
        <v/>
      </c>
    </row>
    <row r="22" ht="22" customHeight="1">
      <c r="A22" s="32" t="n">
        <v>18</v>
      </c>
      <c r="B22" s="33" t="n"/>
      <c r="C22" s="34">
        <f>IF(B22="","",((P22="Süresi geçti")+(P22="Yaklaşıyor")+(P22="Tarih hatalı"))+((Q22="Süresi geçti")+(Q22="Yaklaşıyor")+(Q22="Tarih hatalı"))+((R22="Süresi geçti")+(R22="Yaklaşıyor")+(R22="Tarih hatalı"))+((S22="Süresi geçti")+(S22="Yaklaşıyor")+(S22="Tarih hatalı"))+((T22="Süresi geçti")+(T22="Yaklaşıyor")+(T22="Tarih hatalı"))+((U22="Süresi geçti")+(U22="Yaklaşıyor")+(U22="Tarih hatalı"))+((V22="Süresi geçti")+(V22="Yaklaşıyor")+(V22="Tarih hatalı")))</f>
        <v/>
      </c>
      <c r="D22" s="35">
        <f>IF(OR(B22="",E22=""),"",INDEX($FO$4:$GG$4,1,MATCH(E22,FO22:GG22,0)))</f>
        <v/>
      </c>
      <c r="E22" s="36">
        <f>IF(B22="","",IF(COUNT(FO22:GG22)=0,"",SMALL(FO22:GG22,1)))</f>
        <v/>
      </c>
      <c r="F22" s="34">
        <f>IF(E22="","",E22-TODAY())</f>
        <v/>
      </c>
      <c r="G22" s="37" t="n"/>
      <c r="H22" s="37" t="n"/>
      <c r="I22" s="37" t="n"/>
      <c r="J22" s="37" t="n"/>
      <c r="K22" s="37" t="n"/>
      <c r="L22" s="38" t="n"/>
      <c r="M22" s="37" t="n"/>
      <c r="N22" s="37" t="n"/>
      <c r="O22" s="39" t="n"/>
      <c r="P22" s="35">
        <f>IF(B22="","",IF(NOT(ISNUMBER(AL22)),"Tarih girilmedi",IFERROR(IF(TODAY()&gt;AL22,"Süresi geçti",IF(TODAY()&gt;=(AL22-60),"Yaklaşıyor","Takipte")),"Tarih hatalı")))</f>
        <v/>
      </c>
      <c r="Q22" s="35">
        <f>IF(B22="","",IF(NOT(ISNUMBER(EK22)),"Tarih girilmedi",IFERROR(IF(TODAY()&gt;EDATE(EK22,12),"Süresi geçti",IF(TODAY()&gt;=EDATE(EK22,11),"Yaklaşıyor","Takipte")),"Tarih hatalı")))</f>
        <v/>
      </c>
      <c r="R22" s="35">
        <f>IF(B22="","",IF(NOT(ISNUMBER(EN22)),"Tarih girilmedi",IFERROR(IF(TODAY()&gt;EDATE(EN22,12),"Süresi geçti",IF(TODAY()&gt;=EDATE(EN22,11),"Yaklaşıyor","Takipte")),"Tarih hatalı")))</f>
        <v/>
      </c>
      <c r="S22" s="35">
        <f>IF(B22="","",IF(NOT(ISNUMBER(CW22)),"Tarih girilmedi",IFERROR(IF(TODAY()&gt;EDATE(CW22,60),"Süresi geçti",IF(TODAY()&gt;=EDATE(CW22,57),"Yaklaşıyor","Takipte")),"Tarih hatalı")))</f>
        <v/>
      </c>
      <c r="T22" s="35">
        <f>IF(B22="","",IF(NOT(ISNUMBER(DH22)),"Tarih girilmedi",IFERROR(IF(TODAY()&gt;EDATE(DH22,36),"Süresi geçti",IF(TODAY()&gt;=EDATE(DH22,33),"Yaklaşıyor","Takipte")),"Tarih hatalı")))</f>
        <v/>
      </c>
      <c r="U22" s="35">
        <f>IF(B22="","",IF(NOT(ISNUMBER(BW22)),"Tarih girilmedi",IFERROR(IF(TODAY()&gt;EDATE(BW22,24),"Süresi geçti",IF(TODAY()&gt;=(EDATE(BW22,24)-45),"Yaklaşıyor","Takipte")),"Tarih hatalı")))</f>
        <v/>
      </c>
      <c r="V22" s="35">
        <f>IF(B22="","",IF(NOT(ISNUMBER(BM22)),"Tarih girilmedi",IFERROR(IF(TODAY()&gt;BM22,"Süresi geçti",IF(TODAY()&gt;=(BM22-180),"Yaklaşıyor","Takipte")),"Tarih hatalı")))</f>
        <v/>
      </c>
      <c r="W22" s="40" t="n"/>
      <c r="X22" s="37" t="n"/>
      <c r="Y22" s="39" t="n"/>
      <c r="Z22" s="37" t="n"/>
      <c r="AA22" s="37" t="n"/>
      <c r="AB22" s="37" t="n"/>
      <c r="AC22" s="38" t="n"/>
      <c r="AD22" s="38" t="n"/>
      <c r="AE22" s="38" t="n"/>
      <c r="AF22" s="37" t="n"/>
      <c r="AG22" s="37" t="n"/>
      <c r="AH22" s="37" t="n"/>
      <c r="AI22" s="38" t="n"/>
      <c r="AJ22" s="37" t="n"/>
      <c r="AK22" s="41" t="n"/>
      <c r="AL22" s="41" t="n"/>
      <c r="AM22" s="37" t="n"/>
      <c r="AN22" s="39" t="n"/>
      <c r="AO22" s="42" t="n"/>
      <c r="AP22" s="37" t="n"/>
      <c r="AQ22" s="37" t="n"/>
      <c r="AR22" s="37" t="n"/>
      <c r="AS22" s="37" t="n"/>
      <c r="AT22" s="37" t="n"/>
      <c r="AU22" s="37" t="n"/>
      <c r="AV22" s="37" t="n"/>
      <c r="AW22" s="37" t="n"/>
      <c r="AX22" s="43" t="n"/>
      <c r="AY22" s="37" t="n"/>
      <c r="AZ22" s="37" t="n"/>
      <c r="BA22" s="41" t="n"/>
      <c r="BB22" s="37" t="n"/>
      <c r="BC22" s="37" t="n"/>
      <c r="BD22" s="37" t="n"/>
      <c r="BE22" s="37" t="n"/>
      <c r="BF22" s="37" t="n"/>
      <c r="BG22" s="37" t="n"/>
      <c r="BH22" s="41" t="n"/>
      <c r="BI22" s="37" t="n"/>
      <c r="BJ22" s="37" t="n"/>
      <c r="BK22" s="38" t="n"/>
      <c r="BL22" s="37" t="n"/>
      <c r="BM22" s="41" t="n"/>
      <c r="BN22" s="37" t="n"/>
      <c r="BO22" s="41" t="n"/>
      <c r="BP22" s="37" t="n"/>
      <c r="BQ22" s="37" t="n"/>
      <c r="BR22" s="41" t="n"/>
      <c r="BS22" s="39" t="n"/>
      <c r="BT22" s="44" t="n"/>
      <c r="BU22" s="37" t="n"/>
      <c r="BV22" s="45" t="n"/>
      <c r="BW22" s="41" t="n"/>
      <c r="BX22" s="41" t="n"/>
      <c r="BY22" s="37" t="n"/>
      <c r="BZ22" s="37" t="n"/>
      <c r="CA22" s="37" t="n"/>
      <c r="CB22" s="37" t="n"/>
      <c r="CC22" s="39" t="n"/>
      <c r="CD22" s="39" t="n"/>
      <c r="CE22" s="46" t="n"/>
      <c r="CF22" s="37" t="n"/>
      <c r="CG22" s="37" t="n"/>
      <c r="CH22" s="45" t="n"/>
      <c r="CI22" s="37" t="n"/>
      <c r="CJ22" s="38" t="n"/>
      <c r="CK22" s="41" t="n"/>
      <c r="CL22" s="37" t="n"/>
      <c r="CM22" s="41" t="n"/>
      <c r="CN22" s="37" t="n"/>
      <c r="CO22" s="37" t="n"/>
      <c r="CP22" s="41" t="n"/>
      <c r="CQ22" s="41" t="n"/>
      <c r="CR22" s="37" t="n"/>
      <c r="CS22" s="37" t="n"/>
      <c r="CT22" s="47" t="n"/>
      <c r="CU22" s="37" t="n"/>
      <c r="CV22" s="38" t="n"/>
      <c r="CW22" s="41" t="n"/>
      <c r="CX22" s="37" t="n"/>
      <c r="CY22" s="37" t="n"/>
      <c r="CZ22" s="37" t="n"/>
      <c r="DA22" s="37" t="n"/>
      <c r="DB22" s="37" t="n"/>
      <c r="DC22" s="37" t="n"/>
      <c r="DD22" s="37" t="n"/>
      <c r="DE22" s="37" t="n"/>
      <c r="DF22" s="37" t="n"/>
      <c r="DG22" s="37" t="n"/>
      <c r="DH22" s="41" t="n"/>
      <c r="DI22" s="37" t="n"/>
      <c r="DJ22" s="37" t="n"/>
      <c r="DK22" s="37" t="n"/>
      <c r="DL22" s="41" t="n"/>
      <c r="DM22" s="37" t="n"/>
      <c r="DN22" s="45" t="n"/>
      <c r="DO22" s="41" t="n"/>
      <c r="DP22" s="48" t="n"/>
      <c r="DQ22" s="37" t="n"/>
      <c r="DR22" s="37" t="n"/>
      <c r="DS22" s="41" t="n"/>
      <c r="DT22" s="37" t="n"/>
      <c r="DU22" s="37" t="n"/>
      <c r="DV22" s="37" t="n"/>
      <c r="DW22" s="37" t="n"/>
      <c r="DX22" s="37" t="n"/>
      <c r="DY22" s="37" t="n"/>
      <c r="DZ22" s="39" t="n"/>
      <c r="EA22" s="37" t="n"/>
      <c r="EB22" s="37" t="n"/>
      <c r="EC22" s="37" t="n"/>
      <c r="ED22" s="41" t="n"/>
      <c r="EE22" s="37" t="n"/>
      <c r="EF22" s="39" t="n"/>
      <c r="EG22" s="49" t="n"/>
      <c r="EH22" s="41" t="n"/>
      <c r="EI22" s="41" t="n"/>
      <c r="EJ22" s="37" t="n"/>
      <c r="EK22" s="41" t="n"/>
      <c r="EL22" s="41" t="n"/>
      <c r="EM22" s="37" t="n"/>
      <c r="EN22" s="41" t="n"/>
      <c r="EO22" s="41" t="n"/>
      <c r="EP22" s="37" t="n"/>
      <c r="EQ22" s="39" t="n"/>
      <c r="ER22" s="45" t="n"/>
      <c r="ES22" s="41" t="n"/>
      <c r="ET22" s="39" t="n"/>
      <c r="EU22" s="39" t="n"/>
      <c r="EV22" s="41" t="n"/>
      <c r="EW22" s="39" t="n"/>
      <c r="EX22" s="37" t="n"/>
      <c r="EY22" s="37" t="n"/>
      <c r="EZ22" s="39" t="n"/>
      <c r="FA22" s="41" t="n"/>
      <c r="FB22" s="41" t="n"/>
      <c r="FC22" s="50" t="n"/>
      <c r="FD22" s="36">
        <f>IF(B22="","",IF(NOT(ISNUMBER(EK22)),"Tarih girilmedi",IFERROR(EDATE(EK22,12),"Tarih hatalı")))</f>
        <v/>
      </c>
      <c r="FE22" s="36">
        <f>IF(B22="","",IF(NOT(ISNUMBER(EK22)),"Tarih girilmedi",IFERROR(EDATE(EK22,11),"Tarih hatalı")))</f>
        <v/>
      </c>
      <c r="FF22" s="36">
        <f>IF(B22="","",IF(NOT(ISNUMBER(EN22)),"Tarih girilmedi",IFERROR(EDATE(EN22,12),"Tarih hatalı")))</f>
        <v/>
      </c>
      <c r="FG22" s="36">
        <f>IF(B22="","",IF(NOT(ISNUMBER(EN22)),"Tarih girilmedi",IFERROR(EDATE(EN22,11),"Tarih hatalı")))</f>
        <v/>
      </c>
      <c r="FH22" s="36">
        <f>IF(B22="","",IF(NOT(ISNUMBER(CW22)),"Tarih girilmedi",IFERROR(EDATE(CW22,60),"Tarih hatalı")))</f>
        <v/>
      </c>
      <c r="FI22" s="36">
        <f>IF(B22="","",IF(NOT(ISNUMBER(CW22)),"Tarih girilmedi",IFERROR(EDATE(CW22,57),"Tarih hatalı")))</f>
        <v/>
      </c>
      <c r="FJ22" s="36">
        <f>IF(B22="","",IF(NOT(ISNUMBER(DH22)),"Tarih girilmedi",IFERROR(EDATE(DH22,36),"Tarih hatalı")))</f>
        <v/>
      </c>
      <c r="FK22" s="36">
        <f>IF(B22="","",IF(NOT(ISNUMBER(DH22)),"Tarih girilmedi",IFERROR(EDATE(DH22,33),"Tarih hatalı")))</f>
        <v/>
      </c>
      <c r="FL22" s="36">
        <f>IF(B22="","",IF(NOT(ISNUMBER(BW22)),"Tarih girilmedi",IFERROR(EDATE(BW22,24),"Tarih hatalı")))</f>
        <v/>
      </c>
      <c r="FM22" s="36">
        <f>IF(B22="","",IF(NOT(ISNUMBER(BW22)),"Tarih girilmedi",IFERROR(EDATE(BW22,24)-45,"Tarih hatalı")))</f>
        <v/>
      </c>
      <c r="FN22" s="36">
        <f>IF(B22="","",IF(NOT(ISNUMBER(BM22)),"Tarih girilmedi",IFERROR(BM22-180,"Tarih hatalı")))</f>
        <v/>
      </c>
      <c r="FO22" s="51">
        <f>IF(OR(B22="",NOT(ISNUMBER(BM22))),"",BM22)</f>
        <v/>
      </c>
      <c r="FP22" s="51">
        <f>IF(OR(B22="",NOT(ISNUMBER(BM22))),"",BM22-180)</f>
        <v/>
      </c>
      <c r="FQ22" s="51">
        <f>IF(OR(B22="",NOT(ISNUMBER(BR22))),"",BR22)</f>
        <v/>
      </c>
      <c r="FR22" s="51">
        <f>IF(OR(B22="",NOT(ISNUMBER(AL22))),"",AL22)</f>
        <v/>
      </c>
      <c r="FS22" s="51">
        <f>IF(OR(B22="",NOT(ISNUMBER(CW22))),"",EDATE(CW22,60))</f>
        <v/>
      </c>
      <c r="FT22" s="51">
        <f>IF(OR(B22="",NOT(ISNUMBER(DH22))),"",EDATE(DH22,36))</f>
        <v/>
      </c>
      <c r="FU22" s="51">
        <f>IF(OR(B22="",NOT(ISNUMBER(BW22))),"",EDATE(BW22,24))</f>
        <v/>
      </c>
      <c r="FV22" s="51">
        <f>IF(OR(B22="",NOT(ISNUMBER(BX22))),"",BX22)</f>
        <v/>
      </c>
      <c r="FW22" s="51">
        <f>IF(OR(B22="",NOT(ISNUMBER(EK22))),"",EDATE(EK22,12))</f>
        <v/>
      </c>
      <c r="FX22" s="51">
        <f>IF(OR(B22="",NOT(ISNUMBER(EL22))),"",EL22)</f>
        <v/>
      </c>
      <c r="FY22" s="51">
        <f>IF(OR(B22="",NOT(ISNUMBER(EN22))),"",EDATE(EN22,12))</f>
        <v/>
      </c>
      <c r="FZ22" s="51">
        <f>IF(OR(B22="",NOT(ISNUMBER(EO22))),"",EO22)</f>
        <v/>
      </c>
      <c r="GA22" s="51">
        <f>IF(OR(B22="",NOT(ISNUMBER(CK22))),"",CK22)</f>
        <v/>
      </c>
      <c r="GB22" s="51">
        <f>IF(OR(B22="",NOT(ISNUMBER(CM22))),"",CM22)</f>
        <v/>
      </c>
      <c r="GC22" s="51">
        <f>IF(OR(B22="",NOT(ISNUMBER(CQ22))),"",CQ22)</f>
        <v/>
      </c>
      <c r="GD22" s="51">
        <f>IF(OR(B22="",NOT(ISNUMBER(EI22))),"",EI22)</f>
        <v/>
      </c>
      <c r="GE22" s="51">
        <f>IF(OR(B22="",NOT(ISNUMBER(FA22))),"",FA22)</f>
        <v/>
      </c>
      <c r="GF22" s="51">
        <f>IF(OR(B22="",NOT(ISNUMBER(ES22))),"",ES22)</f>
        <v/>
      </c>
      <c r="GG22" s="51">
        <f>IF(OR(B22="",NOT(ISNUMBER(FB22))),"",FB22)</f>
        <v/>
      </c>
    </row>
    <row r="23" ht="22" customHeight="1">
      <c r="A23" s="32" t="n">
        <v>19</v>
      </c>
      <c r="B23" s="33" t="n"/>
      <c r="C23" s="34">
        <f>IF(B23="","",((P23="Süresi geçti")+(P23="Yaklaşıyor")+(P23="Tarih hatalı"))+((Q23="Süresi geçti")+(Q23="Yaklaşıyor")+(Q23="Tarih hatalı"))+((R23="Süresi geçti")+(R23="Yaklaşıyor")+(R23="Tarih hatalı"))+((S23="Süresi geçti")+(S23="Yaklaşıyor")+(S23="Tarih hatalı"))+((T23="Süresi geçti")+(T23="Yaklaşıyor")+(T23="Tarih hatalı"))+((U23="Süresi geçti")+(U23="Yaklaşıyor")+(U23="Tarih hatalı"))+((V23="Süresi geçti")+(V23="Yaklaşıyor")+(V23="Tarih hatalı")))</f>
        <v/>
      </c>
      <c r="D23" s="35">
        <f>IF(OR(B23="",E23=""),"",INDEX($FO$4:$GG$4,1,MATCH(E23,FO23:GG23,0)))</f>
        <v/>
      </c>
      <c r="E23" s="36">
        <f>IF(B23="","",IF(COUNT(FO23:GG23)=0,"",SMALL(FO23:GG23,1)))</f>
        <v/>
      </c>
      <c r="F23" s="34">
        <f>IF(E23="","",E23-TODAY())</f>
        <v/>
      </c>
      <c r="G23" s="37" t="n"/>
      <c r="H23" s="37" t="n"/>
      <c r="I23" s="37" t="n"/>
      <c r="J23" s="37" t="n"/>
      <c r="K23" s="37" t="n"/>
      <c r="L23" s="38" t="n"/>
      <c r="M23" s="37" t="n"/>
      <c r="N23" s="37" t="n"/>
      <c r="O23" s="39" t="n"/>
      <c r="P23" s="35">
        <f>IF(B23="","",IF(NOT(ISNUMBER(AL23)),"Tarih girilmedi",IFERROR(IF(TODAY()&gt;AL23,"Süresi geçti",IF(TODAY()&gt;=(AL23-60),"Yaklaşıyor","Takipte")),"Tarih hatalı")))</f>
        <v/>
      </c>
      <c r="Q23" s="35">
        <f>IF(B23="","",IF(NOT(ISNUMBER(EK23)),"Tarih girilmedi",IFERROR(IF(TODAY()&gt;EDATE(EK23,12),"Süresi geçti",IF(TODAY()&gt;=EDATE(EK23,11),"Yaklaşıyor","Takipte")),"Tarih hatalı")))</f>
        <v/>
      </c>
      <c r="R23" s="35">
        <f>IF(B23="","",IF(NOT(ISNUMBER(EN23)),"Tarih girilmedi",IFERROR(IF(TODAY()&gt;EDATE(EN23,12),"Süresi geçti",IF(TODAY()&gt;=EDATE(EN23,11),"Yaklaşıyor","Takipte")),"Tarih hatalı")))</f>
        <v/>
      </c>
      <c r="S23" s="35">
        <f>IF(B23="","",IF(NOT(ISNUMBER(CW23)),"Tarih girilmedi",IFERROR(IF(TODAY()&gt;EDATE(CW23,60),"Süresi geçti",IF(TODAY()&gt;=EDATE(CW23,57),"Yaklaşıyor","Takipte")),"Tarih hatalı")))</f>
        <v/>
      </c>
      <c r="T23" s="35">
        <f>IF(B23="","",IF(NOT(ISNUMBER(DH23)),"Tarih girilmedi",IFERROR(IF(TODAY()&gt;EDATE(DH23,36),"Süresi geçti",IF(TODAY()&gt;=EDATE(DH23,33),"Yaklaşıyor","Takipte")),"Tarih hatalı")))</f>
        <v/>
      </c>
      <c r="U23" s="35">
        <f>IF(B23="","",IF(NOT(ISNUMBER(BW23)),"Tarih girilmedi",IFERROR(IF(TODAY()&gt;EDATE(BW23,24),"Süresi geçti",IF(TODAY()&gt;=(EDATE(BW23,24)-45),"Yaklaşıyor","Takipte")),"Tarih hatalı")))</f>
        <v/>
      </c>
      <c r="V23" s="35">
        <f>IF(B23="","",IF(NOT(ISNUMBER(BM23)),"Tarih girilmedi",IFERROR(IF(TODAY()&gt;BM23,"Süresi geçti",IF(TODAY()&gt;=(BM23-180),"Yaklaşıyor","Takipte")),"Tarih hatalı")))</f>
        <v/>
      </c>
      <c r="W23" s="40" t="n"/>
      <c r="X23" s="37" t="n"/>
      <c r="Y23" s="39" t="n"/>
      <c r="Z23" s="37" t="n"/>
      <c r="AA23" s="37" t="n"/>
      <c r="AB23" s="37" t="n"/>
      <c r="AC23" s="38" t="n"/>
      <c r="AD23" s="38" t="n"/>
      <c r="AE23" s="38" t="n"/>
      <c r="AF23" s="37" t="n"/>
      <c r="AG23" s="37" t="n"/>
      <c r="AH23" s="37" t="n"/>
      <c r="AI23" s="38" t="n"/>
      <c r="AJ23" s="37" t="n"/>
      <c r="AK23" s="41" t="n"/>
      <c r="AL23" s="41" t="n"/>
      <c r="AM23" s="37" t="n"/>
      <c r="AN23" s="39" t="n"/>
      <c r="AO23" s="42" t="n"/>
      <c r="AP23" s="37" t="n"/>
      <c r="AQ23" s="37" t="n"/>
      <c r="AR23" s="37" t="n"/>
      <c r="AS23" s="37" t="n"/>
      <c r="AT23" s="37" t="n"/>
      <c r="AU23" s="37" t="n"/>
      <c r="AV23" s="37" t="n"/>
      <c r="AW23" s="37" t="n"/>
      <c r="AX23" s="43" t="n"/>
      <c r="AY23" s="37" t="n"/>
      <c r="AZ23" s="37" t="n"/>
      <c r="BA23" s="41" t="n"/>
      <c r="BB23" s="37" t="n"/>
      <c r="BC23" s="37" t="n"/>
      <c r="BD23" s="37" t="n"/>
      <c r="BE23" s="37" t="n"/>
      <c r="BF23" s="37" t="n"/>
      <c r="BG23" s="37" t="n"/>
      <c r="BH23" s="41" t="n"/>
      <c r="BI23" s="37" t="n"/>
      <c r="BJ23" s="37" t="n"/>
      <c r="BK23" s="38" t="n"/>
      <c r="BL23" s="37" t="n"/>
      <c r="BM23" s="41" t="n"/>
      <c r="BN23" s="37" t="n"/>
      <c r="BO23" s="41" t="n"/>
      <c r="BP23" s="37" t="n"/>
      <c r="BQ23" s="37" t="n"/>
      <c r="BR23" s="41" t="n"/>
      <c r="BS23" s="39" t="n"/>
      <c r="BT23" s="44" t="n"/>
      <c r="BU23" s="37" t="n"/>
      <c r="BV23" s="45" t="n"/>
      <c r="BW23" s="41" t="n"/>
      <c r="BX23" s="41" t="n"/>
      <c r="BY23" s="37" t="n"/>
      <c r="BZ23" s="37" t="n"/>
      <c r="CA23" s="37" t="n"/>
      <c r="CB23" s="37" t="n"/>
      <c r="CC23" s="39" t="n"/>
      <c r="CD23" s="39" t="n"/>
      <c r="CE23" s="46" t="n"/>
      <c r="CF23" s="37" t="n"/>
      <c r="CG23" s="37" t="n"/>
      <c r="CH23" s="45" t="n"/>
      <c r="CI23" s="37" t="n"/>
      <c r="CJ23" s="38" t="n"/>
      <c r="CK23" s="41" t="n"/>
      <c r="CL23" s="37" t="n"/>
      <c r="CM23" s="41" t="n"/>
      <c r="CN23" s="37" t="n"/>
      <c r="CO23" s="37" t="n"/>
      <c r="CP23" s="41" t="n"/>
      <c r="CQ23" s="41" t="n"/>
      <c r="CR23" s="37" t="n"/>
      <c r="CS23" s="37" t="n"/>
      <c r="CT23" s="47" t="n"/>
      <c r="CU23" s="37" t="n"/>
      <c r="CV23" s="38" t="n"/>
      <c r="CW23" s="41" t="n"/>
      <c r="CX23" s="37" t="n"/>
      <c r="CY23" s="37" t="n"/>
      <c r="CZ23" s="37" t="n"/>
      <c r="DA23" s="37" t="n"/>
      <c r="DB23" s="37" t="n"/>
      <c r="DC23" s="37" t="n"/>
      <c r="DD23" s="37" t="n"/>
      <c r="DE23" s="37" t="n"/>
      <c r="DF23" s="37" t="n"/>
      <c r="DG23" s="37" t="n"/>
      <c r="DH23" s="41" t="n"/>
      <c r="DI23" s="37" t="n"/>
      <c r="DJ23" s="37" t="n"/>
      <c r="DK23" s="37" t="n"/>
      <c r="DL23" s="41" t="n"/>
      <c r="DM23" s="37" t="n"/>
      <c r="DN23" s="45" t="n"/>
      <c r="DO23" s="41" t="n"/>
      <c r="DP23" s="48" t="n"/>
      <c r="DQ23" s="37" t="n"/>
      <c r="DR23" s="37" t="n"/>
      <c r="DS23" s="41" t="n"/>
      <c r="DT23" s="37" t="n"/>
      <c r="DU23" s="37" t="n"/>
      <c r="DV23" s="37" t="n"/>
      <c r="DW23" s="37" t="n"/>
      <c r="DX23" s="37" t="n"/>
      <c r="DY23" s="37" t="n"/>
      <c r="DZ23" s="39" t="n"/>
      <c r="EA23" s="37" t="n"/>
      <c r="EB23" s="37" t="n"/>
      <c r="EC23" s="37" t="n"/>
      <c r="ED23" s="41" t="n"/>
      <c r="EE23" s="37" t="n"/>
      <c r="EF23" s="39" t="n"/>
      <c r="EG23" s="49" t="n"/>
      <c r="EH23" s="41" t="n"/>
      <c r="EI23" s="41" t="n"/>
      <c r="EJ23" s="37" t="n"/>
      <c r="EK23" s="41" t="n"/>
      <c r="EL23" s="41" t="n"/>
      <c r="EM23" s="37" t="n"/>
      <c r="EN23" s="41" t="n"/>
      <c r="EO23" s="41" t="n"/>
      <c r="EP23" s="37" t="n"/>
      <c r="EQ23" s="39" t="n"/>
      <c r="ER23" s="45" t="n"/>
      <c r="ES23" s="41" t="n"/>
      <c r="ET23" s="39" t="n"/>
      <c r="EU23" s="39" t="n"/>
      <c r="EV23" s="41" t="n"/>
      <c r="EW23" s="39" t="n"/>
      <c r="EX23" s="37" t="n"/>
      <c r="EY23" s="37" t="n"/>
      <c r="EZ23" s="39" t="n"/>
      <c r="FA23" s="41" t="n"/>
      <c r="FB23" s="41" t="n"/>
      <c r="FC23" s="50" t="n"/>
      <c r="FD23" s="36">
        <f>IF(B23="","",IF(NOT(ISNUMBER(EK23)),"Tarih girilmedi",IFERROR(EDATE(EK23,12),"Tarih hatalı")))</f>
        <v/>
      </c>
      <c r="FE23" s="36">
        <f>IF(B23="","",IF(NOT(ISNUMBER(EK23)),"Tarih girilmedi",IFERROR(EDATE(EK23,11),"Tarih hatalı")))</f>
        <v/>
      </c>
      <c r="FF23" s="36">
        <f>IF(B23="","",IF(NOT(ISNUMBER(EN23)),"Tarih girilmedi",IFERROR(EDATE(EN23,12),"Tarih hatalı")))</f>
        <v/>
      </c>
      <c r="FG23" s="36">
        <f>IF(B23="","",IF(NOT(ISNUMBER(EN23)),"Tarih girilmedi",IFERROR(EDATE(EN23,11),"Tarih hatalı")))</f>
        <v/>
      </c>
      <c r="FH23" s="36">
        <f>IF(B23="","",IF(NOT(ISNUMBER(CW23)),"Tarih girilmedi",IFERROR(EDATE(CW23,60),"Tarih hatalı")))</f>
        <v/>
      </c>
      <c r="FI23" s="36">
        <f>IF(B23="","",IF(NOT(ISNUMBER(CW23)),"Tarih girilmedi",IFERROR(EDATE(CW23,57),"Tarih hatalı")))</f>
        <v/>
      </c>
      <c r="FJ23" s="36">
        <f>IF(B23="","",IF(NOT(ISNUMBER(DH23)),"Tarih girilmedi",IFERROR(EDATE(DH23,36),"Tarih hatalı")))</f>
        <v/>
      </c>
      <c r="FK23" s="36">
        <f>IF(B23="","",IF(NOT(ISNUMBER(DH23)),"Tarih girilmedi",IFERROR(EDATE(DH23,33),"Tarih hatalı")))</f>
        <v/>
      </c>
      <c r="FL23" s="36">
        <f>IF(B23="","",IF(NOT(ISNUMBER(BW23)),"Tarih girilmedi",IFERROR(EDATE(BW23,24),"Tarih hatalı")))</f>
        <v/>
      </c>
      <c r="FM23" s="36">
        <f>IF(B23="","",IF(NOT(ISNUMBER(BW23)),"Tarih girilmedi",IFERROR(EDATE(BW23,24)-45,"Tarih hatalı")))</f>
        <v/>
      </c>
      <c r="FN23" s="36">
        <f>IF(B23="","",IF(NOT(ISNUMBER(BM23)),"Tarih girilmedi",IFERROR(BM23-180,"Tarih hatalı")))</f>
        <v/>
      </c>
      <c r="FO23" s="51">
        <f>IF(OR(B23="",NOT(ISNUMBER(BM23))),"",BM23)</f>
        <v/>
      </c>
      <c r="FP23" s="51">
        <f>IF(OR(B23="",NOT(ISNUMBER(BM23))),"",BM23-180)</f>
        <v/>
      </c>
      <c r="FQ23" s="51">
        <f>IF(OR(B23="",NOT(ISNUMBER(BR23))),"",BR23)</f>
        <v/>
      </c>
      <c r="FR23" s="51">
        <f>IF(OR(B23="",NOT(ISNUMBER(AL23))),"",AL23)</f>
        <v/>
      </c>
      <c r="FS23" s="51">
        <f>IF(OR(B23="",NOT(ISNUMBER(CW23))),"",EDATE(CW23,60))</f>
        <v/>
      </c>
      <c r="FT23" s="51">
        <f>IF(OR(B23="",NOT(ISNUMBER(DH23))),"",EDATE(DH23,36))</f>
        <v/>
      </c>
      <c r="FU23" s="51">
        <f>IF(OR(B23="",NOT(ISNUMBER(BW23))),"",EDATE(BW23,24))</f>
        <v/>
      </c>
      <c r="FV23" s="51">
        <f>IF(OR(B23="",NOT(ISNUMBER(BX23))),"",BX23)</f>
        <v/>
      </c>
      <c r="FW23" s="51">
        <f>IF(OR(B23="",NOT(ISNUMBER(EK23))),"",EDATE(EK23,12))</f>
        <v/>
      </c>
      <c r="FX23" s="51">
        <f>IF(OR(B23="",NOT(ISNUMBER(EL23))),"",EL23)</f>
        <v/>
      </c>
      <c r="FY23" s="51">
        <f>IF(OR(B23="",NOT(ISNUMBER(EN23))),"",EDATE(EN23,12))</f>
        <v/>
      </c>
      <c r="FZ23" s="51">
        <f>IF(OR(B23="",NOT(ISNUMBER(EO23))),"",EO23)</f>
        <v/>
      </c>
      <c r="GA23" s="51">
        <f>IF(OR(B23="",NOT(ISNUMBER(CK23))),"",CK23)</f>
        <v/>
      </c>
      <c r="GB23" s="51">
        <f>IF(OR(B23="",NOT(ISNUMBER(CM23))),"",CM23)</f>
        <v/>
      </c>
      <c r="GC23" s="51">
        <f>IF(OR(B23="",NOT(ISNUMBER(CQ23))),"",CQ23)</f>
        <v/>
      </c>
      <c r="GD23" s="51">
        <f>IF(OR(B23="",NOT(ISNUMBER(EI23))),"",EI23)</f>
        <v/>
      </c>
      <c r="GE23" s="51">
        <f>IF(OR(B23="",NOT(ISNUMBER(FA23))),"",FA23)</f>
        <v/>
      </c>
      <c r="GF23" s="51">
        <f>IF(OR(B23="",NOT(ISNUMBER(ES23))),"",ES23)</f>
        <v/>
      </c>
      <c r="GG23" s="51">
        <f>IF(OR(B23="",NOT(ISNUMBER(FB23))),"",FB23)</f>
        <v/>
      </c>
    </row>
    <row r="24" ht="22" customHeight="1">
      <c r="A24" s="32" t="n">
        <v>20</v>
      </c>
      <c r="B24" s="33" t="n"/>
      <c r="C24" s="34">
        <f>IF(B24="","",((P24="Süresi geçti")+(P24="Yaklaşıyor")+(P24="Tarih hatalı"))+((Q24="Süresi geçti")+(Q24="Yaklaşıyor")+(Q24="Tarih hatalı"))+((R24="Süresi geçti")+(R24="Yaklaşıyor")+(R24="Tarih hatalı"))+((S24="Süresi geçti")+(S24="Yaklaşıyor")+(S24="Tarih hatalı"))+((T24="Süresi geçti")+(T24="Yaklaşıyor")+(T24="Tarih hatalı"))+((U24="Süresi geçti")+(U24="Yaklaşıyor")+(U24="Tarih hatalı"))+((V24="Süresi geçti")+(V24="Yaklaşıyor")+(V24="Tarih hatalı")))</f>
        <v/>
      </c>
      <c r="D24" s="35">
        <f>IF(OR(B24="",E24=""),"",INDEX($FO$4:$GG$4,1,MATCH(E24,FO24:GG24,0)))</f>
        <v/>
      </c>
      <c r="E24" s="36">
        <f>IF(B24="","",IF(COUNT(FO24:GG24)=0,"",SMALL(FO24:GG24,1)))</f>
        <v/>
      </c>
      <c r="F24" s="34">
        <f>IF(E24="","",E24-TODAY())</f>
        <v/>
      </c>
      <c r="G24" s="37" t="n"/>
      <c r="H24" s="37" t="n"/>
      <c r="I24" s="37" t="n"/>
      <c r="J24" s="37" t="n"/>
      <c r="K24" s="37" t="n"/>
      <c r="L24" s="38" t="n"/>
      <c r="M24" s="37" t="n"/>
      <c r="N24" s="37" t="n"/>
      <c r="O24" s="39" t="n"/>
      <c r="P24" s="35">
        <f>IF(B24="","",IF(NOT(ISNUMBER(AL24)),"Tarih girilmedi",IFERROR(IF(TODAY()&gt;AL24,"Süresi geçti",IF(TODAY()&gt;=(AL24-60),"Yaklaşıyor","Takipte")),"Tarih hatalı")))</f>
        <v/>
      </c>
      <c r="Q24" s="35">
        <f>IF(B24="","",IF(NOT(ISNUMBER(EK24)),"Tarih girilmedi",IFERROR(IF(TODAY()&gt;EDATE(EK24,12),"Süresi geçti",IF(TODAY()&gt;=EDATE(EK24,11),"Yaklaşıyor","Takipte")),"Tarih hatalı")))</f>
        <v/>
      </c>
      <c r="R24" s="35">
        <f>IF(B24="","",IF(NOT(ISNUMBER(EN24)),"Tarih girilmedi",IFERROR(IF(TODAY()&gt;EDATE(EN24,12),"Süresi geçti",IF(TODAY()&gt;=EDATE(EN24,11),"Yaklaşıyor","Takipte")),"Tarih hatalı")))</f>
        <v/>
      </c>
      <c r="S24" s="35">
        <f>IF(B24="","",IF(NOT(ISNUMBER(CW24)),"Tarih girilmedi",IFERROR(IF(TODAY()&gt;EDATE(CW24,60),"Süresi geçti",IF(TODAY()&gt;=EDATE(CW24,57),"Yaklaşıyor","Takipte")),"Tarih hatalı")))</f>
        <v/>
      </c>
      <c r="T24" s="35">
        <f>IF(B24="","",IF(NOT(ISNUMBER(DH24)),"Tarih girilmedi",IFERROR(IF(TODAY()&gt;EDATE(DH24,36),"Süresi geçti",IF(TODAY()&gt;=EDATE(DH24,33),"Yaklaşıyor","Takipte")),"Tarih hatalı")))</f>
        <v/>
      </c>
      <c r="U24" s="35">
        <f>IF(B24="","",IF(NOT(ISNUMBER(BW24)),"Tarih girilmedi",IFERROR(IF(TODAY()&gt;EDATE(BW24,24),"Süresi geçti",IF(TODAY()&gt;=(EDATE(BW24,24)-45),"Yaklaşıyor","Takipte")),"Tarih hatalı")))</f>
        <v/>
      </c>
      <c r="V24" s="35">
        <f>IF(B24="","",IF(NOT(ISNUMBER(BM24)),"Tarih girilmedi",IFERROR(IF(TODAY()&gt;BM24,"Süresi geçti",IF(TODAY()&gt;=(BM24-180),"Yaklaşıyor","Takipte")),"Tarih hatalı")))</f>
        <v/>
      </c>
      <c r="W24" s="40" t="n"/>
      <c r="X24" s="37" t="n"/>
      <c r="Y24" s="39" t="n"/>
      <c r="Z24" s="37" t="n"/>
      <c r="AA24" s="37" t="n"/>
      <c r="AB24" s="37" t="n"/>
      <c r="AC24" s="38" t="n"/>
      <c r="AD24" s="38" t="n"/>
      <c r="AE24" s="38" t="n"/>
      <c r="AF24" s="37" t="n"/>
      <c r="AG24" s="37" t="n"/>
      <c r="AH24" s="37" t="n"/>
      <c r="AI24" s="38" t="n"/>
      <c r="AJ24" s="37" t="n"/>
      <c r="AK24" s="41" t="n"/>
      <c r="AL24" s="41" t="n"/>
      <c r="AM24" s="37" t="n"/>
      <c r="AN24" s="39" t="n"/>
      <c r="AO24" s="42" t="n"/>
      <c r="AP24" s="37" t="n"/>
      <c r="AQ24" s="37" t="n"/>
      <c r="AR24" s="37" t="n"/>
      <c r="AS24" s="37" t="n"/>
      <c r="AT24" s="37" t="n"/>
      <c r="AU24" s="37" t="n"/>
      <c r="AV24" s="37" t="n"/>
      <c r="AW24" s="37" t="n"/>
      <c r="AX24" s="43" t="n"/>
      <c r="AY24" s="37" t="n"/>
      <c r="AZ24" s="37" t="n"/>
      <c r="BA24" s="41" t="n"/>
      <c r="BB24" s="37" t="n"/>
      <c r="BC24" s="37" t="n"/>
      <c r="BD24" s="37" t="n"/>
      <c r="BE24" s="37" t="n"/>
      <c r="BF24" s="37" t="n"/>
      <c r="BG24" s="37" t="n"/>
      <c r="BH24" s="41" t="n"/>
      <c r="BI24" s="37" t="n"/>
      <c r="BJ24" s="37" t="n"/>
      <c r="BK24" s="38" t="n"/>
      <c r="BL24" s="37" t="n"/>
      <c r="BM24" s="41" t="n"/>
      <c r="BN24" s="37" t="n"/>
      <c r="BO24" s="41" t="n"/>
      <c r="BP24" s="37" t="n"/>
      <c r="BQ24" s="37" t="n"/>
      <c r="BR24" s="41" t="n"/>
      <c r="BS24" s="39" t="n"/>
      <c r="BT24" s="44" t="n"/>
      <c r="BU24" s="37" t="n"/>
      <c r="BV24" s="45" t="n"/>
      <c r="BW24" s="41" t="n"/>
      <c r="BX24" s="41" t="n"/>
      <c r="BY24" s="37" t="n"/>
      <c r="BZ24" s="37" t="n"/>
      <c r="CA24" s="37" t="n"/>
      <c r="CB24" s="37" t="n"/>
      <c r="CC24" s="39" t="n"/>
      <c r="CD24" s="39" t="n"/>
      <c r="CE24" s="46" t="n"/>
      <c r="CF24" s="37" t="n"/>
      <c r="CG24" s="37" t="n"/>
      <c r="CH24" s="45" t="n"/>
      <c r="CI24" s="37" t="n"/>
      <c r="CJ24" s="38" t="n"/>
      <c r="CK24" s="41" t="n"/>
      <c r="CL24" s="37" t="n"/>
      <c r="CM24" s="41" t="n"/>
      <c r="CN24" s="37" t="n"/>
      <c r="CO24" s="37" t="n"/>
      <c r="CP24" s="41" t="n"/>
      <c r="CQ24" s="41" t="n"/>
      <c r="CR24" s="37" t="n"/>
      <c r="CS24" s="37" t="n"/>
      <c r="CT24" s="47" t="n"/>
      <c r="CU24" s="37" t="n"/>
      <c r="CV24" s="38" t="n"/>
      <c r="CW24" s="41" t="n"/>
      <c r="CX24" s="37" t="n"/>
      <c r="CY24" s="37" t="n"/>
      <c r="CZ24" s="37" t="n"/>
      <c r="DA24" s="37" t="n"/>
      <c r="DB24" s="37" t="n"/>
      <c r="DC24" s="37" t="n"/>
      <c r="DD24" s="37" t="n"/>
      <c r="DE24" s="37" t="n"/>
      <c r="DF24" s="37" t="n"/>
      <c r="DG24" s="37" t="n"/>
      <c r="DH24" s="41" t="n"/>
      <c r="DI24" s="37" t="n"/>
      <c r="DJ24" s="37" t="n"/>
      <c r="DK24" s="37" t="n"/>
      <c r="DL24" s="41" t="n"/>
      <c r="DM24" s="37" t="n"/>
      <c r="DN24" s="45" t="n"/>
      <c r="DO24" s="41" t="n"/>
      <c r="DP24" s="48" t="n"/>
      <c r="DQ24" s="37" t="n"/>
      <c r="DR24" s="37" t="n"/>
      <c r="DS24" s="41" t="n"/>
      <c r="DT24" s="37" t="n"/>
      <c r="DU24" s="37" t="n"/>
      <c r="DV24" s="37" t="n"/>
      <c r="DW24" s="37" t="n"/>
      <c r="DX24" s="37" t="n"/>
      <c r="DY24" s="37" t="n"/>
      <c r="DZ24" s="39" t="n"/>
      <c r="EA24" s="37" t="n"/>
      <c r="EB24" s="37" t="n"/>
      <c r="EC24" s="37" t="n"/>
      <c r="ED24" s="41" t="n"/>
      <c r="EE24" s="37" t="n"/>
      <c r="EF24" s="39" t="n"/>
      <c r="EG24" s="49" t="n"/>
      <c r="EH24" s="41" t="n"/>
      <c r="EI24" s="41" t="n"/>
      <c r="EJ24" s="37" t="n"/>
      <c r="EK24" s="41" t="n"/>
      <c r="EL24" s="41" t="n"/>
      <c r="EM24" s="37" t="n"/>
      <c r="EN24" s="41" t="n"/>
      <c r="EO24" s="41" t="n"/>
      <c r="EP24" s="37" t="n"/>
      <c r="EQ24" s="39" t="n"/>
      <c r="ER24" s="45" t="n"/>
      <c r="ES24" s="41" t="n"/>
      <c r="ET24" s="39" t="n"/>
      <c r="EU24" s="39" t="n"/>
      <c r="EV24" s="41" t="n"/>
      <c r="EW24" s="39" t="n"/>
      <c r="EX24" s="37" t="n"/>
      <c r="EY24" s="37" t="n"/>
      <c r="EZ24" s="39" t="n"/>
      <c r="FA24" s="41" t="n"/>
      <c r="FB24" s="41" t="n"/>
      <c r="FC24" s="50" t="n"/>
      <c r="FD24" s="36">
        <f>IF(B24="","",IF(NOT(ISNUMBER(EK24)),"Tarih girilmedi",IFERROR(EDATE(EK24,12),"Tarih hatalı")))</f>
        <v/>
      </c>
      <c r="FE24" s="36">
        <f>IF(B24="","",IF(NOT(ISNUMBER(EK24)),"Tarih girilmedi",IFERROR(EDATE(EK24,11),"Tarih hatalı")))</f>
        <v/>
      </c>
      <c r="FF24" s="36">
        <f>IF(B24="","",IF(NOT(ISNUMBER(EN24)),"Tarih girilmedi",IFERROR(EDATE(EN24,12),"Tarih hatalı")))</f>
        <v/>
      </c>
      <c r="FG24" s="36">
        <f>IF(B24="","",IF(NOT(ISNUMBER(EN24)),"Tarih girilmedi",IFERROR(EDATE(EN24,11),"Tarih hatalı")))</f>
        <v/>
      </c>
      <c r="FH24" s="36">
        <f>IF(B24="","",IF(NOT(ISNUMBER(CW24)),"Tarih girilmedi",IFERROR(EDATE(CW24,60),"Tarih hatalı")))</f>
        <v/>
      </c>
      <c r="FI24" s="36">
        <f>IF(B24="","",IF(NOT(ISNUMBER(CW24)),"Tarih girilmedi",IFERROR(EDATE(CW24,57),"Tarih hatalı")))</f>
        <v/>
      </c>
      <c r="FJ24" s="36">
        <f>IF(B24="","",IF(NOT(ISNUMBER(DH24)),"Tarih girilmedi",IFERROR(EDATE(DH24,36),"Tarih hatalı")))</f>
        <v/>
      </c>
      <c r="FK24" s="36">
        <f>IF(B24="","",IF(NOT(ISNUMBER(DH24)),"Tarih girilmedi",IFERROR(EDATE(DH24,33),"Tarih hatalı")))</f>
        <v/>
      </c>
      <c r="FL24" s="36">
        <f>IF(B24="","",IF(NOT(ISNUMBER(BW24)),"Tarih girilmedi",IFERROR(EDATE(BW24,24),"Tarih hatalı")))</f>
        <v/>
      </c>
      <c r="FM24" s="36">
        <f>IF(B24="","",IF(NOT(ISNUMBER(BW24)),"Tarih girilmedi",IFERROR(EDATE(BW24,24)-45,"Tarih hatalı")))</f>
        <v/>
      </c>
      <c r="FN24" s="36">
        <f>IF(B24="","",IF(NOT(ISNUMBER(BM24)),"Tarih girilmedi",IFERROR(BM24-180,"Tarih hatalı")))</f>
        <v/>
      </c>
      <c r="FO24" s="51">
        <f>IF(OR(B24="",NOT(ISNUMBER(BM24))),"",BM24)</f>
        <v/>
      </c>
      <c r="FP24" s="51">
        <f>IF(OR(B24="",NOT(ISNUMBER(BM24))),"",BM24-180)</f>
        <v/>
      </c>
      <c r="FQ24" s="51">
        <f>IF(OR(B24="",NOT(ISNUMBER(BR24))),"",BR24)</f>
        <v/>
      </c>
      <c r="FR24" s="51">
        <f>IF(OR(B24="",NOT(ISNUMBER(AL24))),"",AL24)</f>
        <v/>
      </c>
      <c r="FS24" s="51">
        <f>IF(OR(B24="",NOT(ISNUMBER(CW24))),"",EDATE(CW24,60))</f>
        <v/>
      </c>
      <c r="FT24" s="51">
        <f>IF(OR(B24="",NOT(ISNUMBER(DH24))),"",EDATE(DH24,36))</f>
        <v/>
      </c>
      <c r="FU24" s="51">
        <f>IF(OR(B24="",NOT(ISNUMBER(BW24))),"",EDATE(BW24,24))</f>
        <v/>
      </c>
      <c r="FV24" s="51">
        <f>IF(OR(B24="",NOT(ISNUMBER(BX24))),"",BX24)</f>
        <v/>
      </c>
      <c r="FW24" s="51">
        <f>IF(OR(B24="",NOT(ISNUMBER(EK24))),"",EDATE(EK24,12))</f>
        <v/>
      </c>
      <c r="FX24" s="51">
        <f>IF(OR(B24="",NOT(ISNUMBER(EL24))),"",EL24)</f>
        <v/>
      </c>
      <c r="FY24" s="51">
        <f>IF(OR(B24="",NOT(ISNUMBER(EN24))),"",EDATE(EN24,12))</f>
        <v/>
      </c>
      <c r="FZ24" s="51">
        <f>IF(OR(B24="",NOT(ISNUMBER(EO24))),"",EO24)</f>
        <v/>
      </c>
      <c r="GA24" s="51">
        <f>IF(OR(B24="",NOT(ISNUMBER(CK24))),"",CK24)</f>
        <v/>
      </c>
      <c r="GB24" s="51">
        <f>IF(OR(B24="",NOT(ISNUMBER(CM24))),"",CM24)</f>
        <v/>
      </c>
      <c r="GC24" s="51">
        <f>IF(OR(B24="",NOT(ISNUMBER(CQ24))),"",CQ24)</f>
        <v/>
      </c>
      <c r="GD24" s="51">
        <f>IF(OR(B24="",NOT(ISNUMBER(EI24))),"",EI24)</f>
        <v/>
      </c>
      <c r="GE24" s="51">
        <f>IF(OR(B24="",NOT(ISNUMBER(FA24))),"",FA24)</f>
        <v/>
      </c>
      <c r="GF24" s="51">
        <f>IF(OR(B24="",NOT(ISNUMBER(ES24))),"",ES24)</f>
        <v/>
      </c>
      <c r="GG24" s="51">
        <f>IF(OR(B24="",NOT(ISNUMBER(FB24))),"",FB24)</f>
        <v/>
      </c>
    </row>
    <row r="25" ht="22" customHeight="1">
      <c r="A25" s="32" t="n">
        <v>21</v>
      </c>
      <c r="B25" s="33" t="n"/>
      <c r="C25" s="34">
        <f>IF(B25="","",((P25="Süresi geçti")+(P25="Yaklaşıyor")+(P25="Tarih hatalı"))+((Q25="Süresi geçti")+(Q25="Yaklaşıyor")+(Q25="Tarih hatalı"))+((R25="Süresi geçti")+(R25="Yaklaşıyor")+(R25="Tarih hatalı"))+((S25="Süresi geçti")+(S25="Yaklaşıyor")+(S25="Tarih hatalı"))+((T25="Süresi geçti")+(T25="Yaklaşıyor")+(T25="Tarih hatalı"))+((U25="Süresi geçti")+(U25="Yaklaşıyor")+(U25="Tarih hatalı"))+((V25="Süresi geçti")+(V25="Yaklaşıyor")+(V25="Tarih hatalı")))</f>
        <v/>
      </c>
      <c r="D25" s="35">
        <f>IF(OR(B25="",E25=""),"",INDEX($FO$4:$GG$4,1,MATCH(E25,FO25:GG25,0)))</f>
        <v/>
      </c>
      <c r="E25" s="36">
        <f>IF(B25="","",IF(COUNT(FO25:GG25)=0,"",SMALL(FO25:GG25,1)))</f>
        <v/>
      </c>
      <c r="F25" s="34">
        <f>IF(E25="","",E25-TODAY())</f>
        <v/>
      </c>
      <c r="G25" s="37" t="n"/>
      <c r="H25" s="37" t="n"/>
      <c r="I25" s="37" t="n"/>
      <c r="J25" s="37" t="n"/>
      <c r="K25" s="37" t="n"/>
      <c r="L25" s="38" t="n"/>
      <c r="M25" s="37" t="n"/>
      <c r="N25" s="37" t="n"/>
      <c r="O25" s="39" t="n"/>
      <c r="P25" s="35">
        <f>IF(B25="","",IF(NOT(ISNUMBER(AL25)),"Tarih girilmedi",IFERROR(IF(TODAY()&gt;AL25,"Süresi geçti",IF(TODAY()&gt;=(AL25-60),"Yaklaşıyor","Takipte")),"Tarih hatalı")))</f>
        <v/>
      </c>
      <c r="Q25" s="35">
        <f>IF(B25="","",IF(NOT(ISNUMBER(EK25)),"Tarih girilmedi",IFERROR(IF(TODAY()&gt;EDATE(EK25,12),"Süresi geçti",IF(TODAY()&gt;=EDATE(EK25,11),"Yaklaşıyor","Takipte")),"Tarih hatalı")))</f>
        <v/>
      </c>
      <c r="R25" s="35">
        <f>IF(B25="","",IF(NOT(ISNUMBER(EN25)),"Tarih girilmedi",IFERROR(IF(TODAY()&gt;EDATE(EN25,12),"Süresi geçti",IF(TODAY()&gt;=EDATE(EN25,11),"Yaklaşıyor","Takipte")),"Tarih hatalı")))</f>
        <v/>
      </c>
      <c r="S25" s="35">
        <f>IF(B25="","",IF(NOT(ISNUMBER(CW25)),"Tarih girilmedi",IFERROR(IF(TODAY()&gt;EDATE(CW25,60),"Süresi geçti",IF(TODAY()&gt;=EDATE(CW25,57),"Yaklaşıyor","Takipte")),"Tarih hatalı")))</f>
        <v/>
      </c>
      <c r="T25" s="35">
        <f>IF(B25="","",IF(NOT(ISNUMBER(DH25)),"Tarih girilmedi",IFERROR(IF(TODAY()&gt;EDATE(DH25,36),"Süresi geçti",IF(TODAY()&gt;=EDATE(DH25,33),"Yaklaşıyor","Takipte")),"Tarih hatalı")))</f>
        <v/>
      </c>
      <c r="U25" s="35">
        <f>IF(B25="","",IF(NOT(ISNUMBER(BW25)),"Tarih girilmedi",IFERROR(IF(TODAY()&gt;EDATE(BW25,24),"Süresi geçti",IF(TODAY()&gt;=(EDATE(BW25,24)-45),"Yaklaşıyor","Takipte")),"Tarih hatalı")))</f>
        <v/>
      </c>
      <c r="V25" s="35">
        <f>IF(B25="","",IF(NOT(ISNUMBER(BM25)),"Tarih girilmedi",IFERROR(IF(TODAY()&gt;BM25,"Süresi geçti",IF(TODAY()&gt;=(BM25-180),"Yaklaşıyor","Takipte")),"Tarih hatalı")))</f>
        <v/>
      </c>
      <c r="W25" s="40" t="n"/>
      <c r="X25" s="37" t="n"/>
      <c r="Y25" s="39" t="n"/>
      <c r="Z25" s="37" t="n"/>
      <c r="AA25" s="37" t="n"/>
      <c r="AB25" s="37" t="n"/>
      <c r="AC25" s="38" t="n"/>
      <c r="AD25" s="38" t="n"/>
      <c r="AE25" s="38" t="n"/>
      <c r="AF25" s="37" t="n"/>
      <c r="AG25" s="37" t="n"/>
      <c r="AH25" s="37" t="n"/>
      <c r="AI25" s="38" t="n"/>
      <c r="AJ25" s="37" t="n"/>
      <c r="AK25" s="41" t="n"/>
      <c r="AL25" s="41" t="n"/>
      <c r="AM25" s="37" t="n"/>
      <c r="AN25" s="39" t="n"/>
      <c r="AO25" s="42" t="n"/>
      <c r="AP25" s="37" t="n"/>
      <c r="AQ25" s="37" t="n"/>
      <c r="AR25" s="37" t="n"/>
      <c r="AS25" s="37" t="n"/>
      <c r="AT25" s="37" t="n"/>
      <c r="AU25" s="37" t="n"/>
      <c r="AV25" s="37" t="n"/>
      <c r="AW25" s="37" t="n"/>
      <c r="AX25" s="43" t="n"/>
      <c r="AY25" s="37" t="n"/>
      <c r="AZ25" s="37" t="n"/>
      <c r="BA25" s="41" t="n"/>
      <c r="BB25" s="37" t="n"/>
      <c r="BC25" s="37" t="n"/>
      <c r="BD25" s="37" t="n"/>
      <c r="BE25" s="37" t="n"/>
      <c r="BF25" s="37" t="n"/>
      <c r="BG25" s="37" t="n"/>
      <c r="BH25" s="41" t="n"/>
      <c r="BI25" s="37" t="n"/>
      <c r="BJ25" s="37" t="n"/>
      <c r="BK25" s="38" t="n"/>
      <c r="BL25" s="37" t="n"/>
      <c r="BM25" s="41" t="n"/>
      <c r="BN25" s="37" t="n"/>
      <c r="BO25" s="41" t="n"/>
      <c r="BP25" s="37" t="n"/>
      <c r="BQ25" s="37" t="n"/>
      <c r="BR25" s="41" t="n"/>
      <c r="BS25" s="39" t="n"/>
      <c r="BT25" s="44" t="n"/>
      <c r="BU25" s="37" t="n"/>
      <c r="BV25" s="45" t="n"/>
      <c r="BW25" s="41" t="n"/>
      <c r="BX25" s="41" t="n"/>
      <c r="BY25" s="37" t="n"/>
      <c r="BZ25" s="37" t="n"/>
      <c r="CA25" s="37" t="n"/>
      <c r="CB25" s="37" t="n"/>
      <c r="CC25" s="39" t="n"/>
      <c r="CD25" s="39" t="n"/>
      <c r="CE25" s="46" t="n"/>
      <c r="CF25" s="37" t="n"/>
      <c r="CG25" s="37" t="n"/>
      <c r="CH25" s="45" t="n"/>
      <c r="CI25" s="37" t="n"/>
      <c r="CJ25" s="38" t="n"/>
      <c r="CK25" s="41" t="n"/>
      <c r="CL25" s="37" t="n"/>
      <c r="CM25" s="41" t="n"/>
      <c r="CN25" s="37" t="n"/>
      <c r="CO25" s="37" t="n"/>
      <c r="CP25" s="41" t="n"/>
      <c r="CQ25" s="41" t="n"/>
      <c r="CR25" s="37" t="n"/>
      <c r="CS25" s="37" t="n"/>
      <c r="CT25" s="47" t="n"/>
      <c r="CU25" s="37" t="n"/>
      <c r="CV25" s="38" t="n"/>
      <c r="CW25" s="41" t="n"/>
      <c r="CX25" s="37" t="n"/>
      <c r="CY25" s="37" t="n"/>
      <c r="CZ25" s="37" t="n"/>
      <c r="DA25" s="37" t="n"/>
      <c r="DB25" s="37" t="n"/>
      <c r="DC25" s="37" t="n"/>
      <c r="DD25" s="37" t="n"/>
      <c r="DE25" s="37" t="n"/>
      <c r="DF25" s="37" t="n"/>
      <c r="DG25" s="37" t="n"/>
      <c r="DH25" s="41" t="n"/>
      <c r="DI25" s="37" t="n"/>
      <c r="DJ25" s="37" t="n"/>
      <c r="DK25" s="37" t="n"/>
      <c r="DL25" s="41" t="n"/>
      <c r="DM25" s="37" t="n"/>
      <c r="DN25" s="45" t="n"/>
      <c r="DO25" s="41" t="n"/>
      <c r="DP25" s="48" t="n"/>
      <c r="DQ25" s="37" t="n"/>
      <c r="DR25" s="37" t="n"/>
      <c r="DS25" s="41" t="n"/>
      <c r="DT25" s="37" t="n"/>
      <c r="DU25" s="37" t="n"/>
      <c r="DV25" s="37" t="n"/>
      <c r="DW25" s="37" t="n"/>
      <c r="DX25" s="37" t="n"/>
      <c r="DY25" s="37" t="n"/>
      <c r="DZ25" s="39" t="n"/>
      <c r="EA25" s="37" t="n"/>
      <c r="EB25" s="37" t="n"/>
      <c r="EC25" s="37" t="n"/>
      <c r="ED25" s="41" t="n"/>
      <c r="EE25" s="37" t="n"/>
      <c r="EF25" s="39" t="n"/>
      <c r="EG25" s="49" t="n"/>
      <c r="EH25" s="41" t="n"/>
      <c r="EI25" s="41" t="n"/>
      <c r="EJ25" s="37" t="n"/>
      <c r="EK25" s="41" t="n"/>
      <c r="EL25" s="41" t="n"/>
      <c r="EM25" s="37" t="n"/>
      <c r="EN25" s="41" t="n"/>
      <c r="EO25" s="41" t="n"/>
      <c r="EP25" s="37" t="n"/>
      <c r="EQ25" s="39" t="n"/>
      <c r="ER25" s="45" t="n"/>
      <c r="ES25" s="41" t="n"/>
      <c r="ET25" s="39" t="n"/>
      <c r="EU25" s="39" t="n"/>
      <c r="EV25" s="41" t="n"/>
      <c r="EW25" s="39" t="n"/>
      <c r="EX25" s="37" t="n"/>
      <c r="EY25" s="37" t="n"/>
      <c r="EZ25" s="39" t="n"/>
      <c r="FA25" s="41" t="n"/>
      <c r="FB25" s="41" t="n"/>
      <c r="FC25" s="50" t="n"/>
      <c r="FD25" s="36">
        <f>IF(B25="","",IF(NOT(ISNUMBER(EK25)),"Tarih girilmedi",IFERROR(EDATE(EK25,12),"Tarih hatalı")))</f>
        <v/>
      </c>
      <c r="FE25" s="36">
        <f>IF(B25="","",IF(NOT(ISNUMBER(EK25)),"Tarih girilmedi",IFERROR(EDATE(EK25,11),"Tarih hatalı")))</f>
        <v/>
      </c>
      <c r="FF25" s="36">
        <f>IF(B25="","",IF(NOT(ISNUMBER(EN25)),"Tarih girilmedi",IFERROR(EDATE(EN25,12),"Tarih hatalı")))</f>
        <v/>
      </c>
      <c r="FG25" s="36">
        <f>IF(B25="","",IF(NOT(ISNUMBER(EN25)),"Tarih girilmedi",IFERROR(EDATE(EN25,11),"Tarih hatalı")))</f>
        <v/>
      </c>
      <c r="FH25" s="36">
        <f>IF(B25="","",IF(NOT(ISNUMBER(CW25)),"Tarih girilmedi",IFERROR(EDATE(CW25,60),"Tarih hatalı")))</f>
        <v/>
      </c>
      <c r="FI25" s="36">
        <f>IF(B25="","",IF(NOT(ISNUMBER(CW25)),"Tarih girilmedi",IFERROR(EDATE(CW25,57),"Tarih hatalı")))</f>
        <v/>
      </c>
      <c r="FJ25" s="36">
        <f>IF(B25="","",IF(NOT(ISNUMBER(DH25)),"Tarih girilmedi",IFERROR(EDATE(DH25,36),"Tarih hatalı")))</f>
        <v/>
      </c>
      <c r="FK25" s="36">
        <f>IF(B25="","",IF(NOT(ISNUMBER(DH25)),"Tarih girilmedi",IFERROR(EDATE(DH25,33),"Tarih hatalı")))</f>
        <v/>
      </c>
      <c r="FL25" s="36">
        <f>IF(B25="","",IF(NOT(ISNUMBER(BW25)),"Tarih girilmedi",IFERROR(EDATE(BW25,24),"Tarih hatalı")))</f>
        <v/>
      </c>
      <c r="FM25" s="36">
        <f>IF(B25="","",IF(NOT(ISNUMBER(BW25)),"Tarih girilmedi",IFERROR(EDATE(BW25,24)-45,"Tarih hatalı")))</f>
        <v/>
      </c>
      <c r="FN25" s="36">
        <f>IF(B25="","",IF(NOT(ISNUMBER(BM25)),"Tarih girilmedi",IFERROR(BM25-180,"Tarih hatalı")))</f>
        <v/>
      </c>
      <c r="FO25" s="51">
        <f>IF(OR(B25="",NOT(ISNUMBER(BM25))),"",BM25)</f>
        <v/>
      </c>
      <c r="FP25" s="51">
        <f>IF(OR(B25="",NOT(ISNUMBER(BM25))),"",BM25-180)</f>
        <v/>
      </c>
      <c r="FQ25" s="51">
        <f>IF(OR(B25="",NOT(ISNUMBER(BR25))),"",BR25)</f>
        <v/>
      </c>
      <c r="FR25" s="51">
        <f>IF(OR(B25="",NOT(ISNUMBER(AL25))),"",AL25)</f>
        <v/>
      </c>
      <c r="FS25" s="51">
        <f>IF(OR(B25="",NOT(ISNUMBER(CW25))),"",EDATE(CW25,60))</f>
        <v/>
      </c>
      <c r="FT25" s="51">
        <f>IF(OR(B25="",NOT(ISNUMBER(DH25))),"",EDATE(DH25,36))</f>
        <v/>
      </c>
      <c r="FU25" s="51">
        <f>IF(OR(B25="",NOT(ISNUMBER(BW25))),"",EDATE(BW25,24))</f>
        <v/>
      </c>
      <c r="FV25" s="51">
        <f>IF(OR(B25="",NOT(ISNUMBER(BX25))),"",BX25)</f>
        <v/>
      </c>
      <c r="FW25" s="51">
        <f>IF(OR(B25="",NOT(ISNUMBER(EK25))),"",EDATE(EK25,12))</f>
        <v/>
      </c>
      <c r="FX25" s="51">
        <f>IF(OR(B25="",NOT(ISNUMBER(EL25))),"",EL25)</f>
        <v/>
      </c>
      <c r="FY25" s="51">
        <f>IF(OR(B25="",NOT(ISNUMBER(EN25))),"",EDATE(EN25,12))</f>
        <v/>
      </c>
      <c r="FZ25" s="51">
        <f>IF(OR(B25="",NOT(ISNUMBER(EO25))),"",EO25)</f>
        <v/>
      </c>
      <c r="GA25" s="51">
        <f>IF(OR(B25="",NOT(ISNUMBER(CK25))),"",CK25)</f>
        <v/>
      </c>
      <c r="GB25" s="51">
        <f>IF(OR(B25="",NOT(ISNUMBER(CM25))),"",CM25)</f>
        <v/>
      </c>
      <c r="GC25" s="51">
        <f>IF(OR(B25="",NOT(ISNUMBER(CQ25))),"",CQ25)</f>
        <v/>
      </c>
      <c r="GD25" s="51">
        <f>IF(OR(B25="",NOT(ISNUMBER(EI25))),"",EI25)</f>
        <v/>
      </c>
      <c r="GE25" s="51">
        <f>IF(OR(B25="",NOT(ISNUMBER(FA25))),"",FA25)</f>
        <v/>
      </c>
      <c r="GF25" s="51">
        <f>IF(OR(B25="",NOT(ISNUMBER(ES25))),"",ES25)</f>
        <v/>
      </c>
      <c r="GG25" s="51">
        <f>IF(OR(B25="",NOT(ISNUMBER(FB25))),"",FB25)</f>
        <v/>
      </c>
    </row>
    <row r="26" ht="22" customHeight="1">
      <c r="A26" s="32" t="n">
        <v>22</v>
      </c>
      <c r="B26" s="33" t="n"/>
      <c r="C26" s="34">
        <f>IF(B26="","",((P26="Süresi geçti")+(P26="Yaklaşıyor")+(P26="Tarih hatalı"))+((Q26="Süresi geçti")+(Q26="Yaklaşıyor")+(Q26="Tarih hatalı"))+((R26="Süresi geçti")+(R26="Yaklaşıyor")+(R26="Tarih hatalı"))+((S26="Süresi geçti")+(S26="Yaklaşıyor")+(S26="Tarih hatalı"))+((T26="Süresi geçti")+(T26="Yaklaşıyor")+(T26="Tarih hatalı"))+((U26="Süresi geçti")+(U26="Yaklaşıyor")+(U26="Tarih hatalı"))+((V26="Süresi geçti")+(V26="Yaklaşıyor")+(V26="Tarih hatalı")))</f>
        <v/>
      </c>
      <c r="D26" s="35">
        <f>IF(OR(B26="",E26=""),"",INDEX($FO$4:$GG$4,1,MATCH(E26,FO26:GG26,0)))</f>
        <v/>
      </c>
      <c r="E26" s="36">
        <f>IF(B26="","",IF(COUNT(FO26:GG26)=0,"",SMALL(FO26:GG26,1)))</f>
        <v/>
      </c>
      <c r="F26" s="34">
        <f>IF(E26="","",E26-TODAY())</f>
        <v/>
      </c>
      <c r="G26" s="37" t="n"/>
      <c r="H26" s="37" t="n"/>
      <c r="I26" s="37" t="n"/>
      <c r="J26" s="37" t="n"/>
      <c r="K26" s="37" t="n"/>
      <c r="L26" s="38" t="n"/>
      <c r="M26" s="37" t="n"/>
      <c r="N26" s="37" t="n"/>
      <c r="O26" s="39" t="n"/>
      <c r="P26" s="35">
        <f>IF(B26="","",IF(NOT(ISNUMBER(AL26)),"Tarih girilmedi",IFERROR(IF(TODAY()&gt;AL26,"Süresi geçti",IF(TODAY()&gt;=(AL26-60),"Yaklaşıyor","Takipte")),"Tarih hatalı")))</f>
        <v/>
      </c>
      <c r="Q26" s="35">
        <f>IF(B26="","",IF(NOT(ISNUMBER(EK26)),"Tarih girilmedi",IFERROR(IF(TODAY()&gt;EDATE(EK26,12),"Süresi geçti",IF(TODAY()&gt;=EDATE(EK26,11),"Yaklaşıyor","Takipte")),"Tarih hatalı")))</f>
        <v/>
      </c>
      <c r="R26" s="35">
        <f>IF(B26="","",IF(NOT(ISNUMBER(EN26)),"Tarih girilmedi",IFERROR(IF(TODAY()&gt;EDATE(EN26,12),"Süresi geçti",IF(TODAY()&gt;=EDATE(EN26,11),"Yaklaşıyor","Takipte")),"Tarih hatalı")))</f>
        <v/>
      </c>
      <c r="S26" s="35">
        <f>IF(B26="","",IF(NOT(ISNUMBER(CW26)),"Tarih girilmedi",IFERROR(IF(TODAY()&gt;EDATE(CW26,60),"Süresi geçti",IF(TODAY()&gt;=EDATE(CW26,57),"Yaklaşıyor","Takipte")),"Tarih hatalı")))</f>
        <v/>
      </c>
      <c r="T26" s="35">
        <f>IF(B26="","",IF(NOT(ISNUMBER(DH26)),"Tarih girilmedi",IFERROR(IF(TODAY()&gt;EDATE(DH26,36),"Süresi geçti",IF(TODAY()&gt;=EDATE(DH26,33),"Yaklaşıyor","Takipte")),"Tarih hatalı")))</f>
        <v/>
      </c>
      <c r="U26" s="35">
        <f>IF(B26="","",IF(NOT(ISNUMBER(BW26)),"Tarih girilmedi",IFERROR(IF(TODAY()&gt;EDATE(BW26,24),"Süresi geçti",IF(TODAY()&gt;=(EDATE(BW26,24)-45),"Yaklaşıyor","Takipte")),"Tarih hatalı")))</f>
        <v/>
      </c>
      <c r="V26" s="35">
        <f>IF(B26="","",IF(NOT(ISNUMBER(BM26)),"Tarih girilmedi",IFERROR(IF(TODAY()&gt;BM26,"Süresi geçti",IF(TODAY()&gt;=(BM26-180),"Yaklaşıyor","Takipte")),"Tarih hatalı")))</f>
        <v/>
      </c>
      <c r="W26" s="40" t="n"/>
      <c r="X26" s="37" t="n"/>
      <c r="Y26" s="39" t="n"/>
      <c r="Z26" s="37" t="n"/>
      <c r="AA26" s="37" t="n"/>
      <c r="AB26" s="37" t="n"/>
      <c r="AC26" s="38" t="n"/>
      <c r="AD26" s="38" t="n"/>
      <c r="AE26" s="38" t="n"/>
      <c r="AF26" s="37" t="n"/>
      <c r="AG26" s="37" t="n"/>
      <c r="AH26" s="37" t="n"/>
      <c r="AI26" s="38" t="n"/>
      <c r="AJ26" s="37" t="n"/>
      <c r="AK26" s="41" t="n"/>
      <c r="AL26" s="41" t="n"/>
      <c r="AM26" s="37" t="n"/>
      <c r="AN26" s="39" t="n"/>
      <c r="AO26" s="42" t="n"/>
      <c r="AP26" s="37" t="n"/>
      <c r="AQ26" s="37" t="n"/>
      <c r="AR26" s="37" t="n"/>
      <c r="AS26" s="37" t="n"/>
      <c r="AT26" s="37" t="n"/>
      <c r="AU26" s="37" t="n"/>
      <c r="AV26" s="37" t="n"/>
      <c r="AW26" s="37" t="n"/>
      <c r="AX26" s="43" t="n"/>
      <c r="AY26" s="37" t="n"/>
      <c r="AZ26" s="37" t="n"/>
      <c r="BA26" s="41" t="n"/>
      <c r="BB26" s="37" t="n"/>
      <c r="BC26" s="37" t="n"/>
      <c r="BD26" s="37" t="n"/>
      <c r="BE26" s="37" t="n"/>
      <c r="BF26" s="37" t="n"/>
      <c r="BG26" s="37" t="n"/>
      <c r="BH26" s="41" t="n"/>
      <c r="BI26" s="37" t="n"/>
      <c r="BJ26" s="37" t="n"/>
      <c r="BK26" s="38" t="n"/>
      <c r="BL26" s="37" t="n"/>
      <c r="BM26" s="41" t="n"/>
      <c r="BN26" s="37" t="n"/>
      <c r="BO26" s="41" t="n"/>
      <c r="BP26" s="37" t="n"/>
      <c r="BQ26" s="37" t="n"/>
      <c r="BR26" s="41" t="n"/>
      <c r="BS26" s="39" t="n"/>
      <c r="BT26" s="44" t="n"/>
      <c r="BU26" s="37" t="n"/>
      <c r="BV26" s="45" t="n"/>
      <c r="BW26" s="41" t="n"/>
      <c r="BX26" s="41" t="n"/>
      <c r="BY26" s="37" t="n"/>
      <c r="BZ26" s="37" t="n"/>
      <c r="CA26" s="37" t="n"/>
      <c r="CB26" s="37" t="n"/>
      <c r="CC26" s="39" t="n"/>
      <c r="CD26" s="39" t="n"/>
      <c r="CE26" s="46" t="n"/>
      <c r="CF26" s="37" t="n"/>
      <c r="CG26" s="37" t="n"/>
      <c r="CH26" s="45" t="n"/>
      <c r="CI26" s="37" t="n"/>
      <c r="CJ26" s="38" t="n"/>
      <c r="CK26" s="41" t="n"/>
      <c r="CL26" s="37" t="n"/>
      <c r="CM26" s="41" t="n"/>
      <c r="CN26" s="37" t="n"/>
      <c r="CO26" s="37" t="n"/>
      <c r="CP26" s="41" t="n"/>
      <c r="CQ26" s="41" t="n"/>
      <c r="CR26" s="37" t="n"/>
      <c r="CS26" s="37" t="n"/>
      <c r="CT26" s="47" t="n"/>
      <c r="CU26" s="37" t="n"/>
      <c r="CV26" s="38" t="n"/>
      <c r="CW26" s="41" t="n"/>
      <c r="CX26" s="37" t="n"/>
      <c r="CY26" s="37" t="n"/>
      <c r="CZ26" s="37" t="n"/>
      <c r="DA26" s="37" t="n"/>
      <c r="DB26" s="37" t="n"/>
      <c r="DC26" s="37" t="n"/>
      <c r="DD26" s="37" t="n"/>
      <c r="DE26" s="37" t="n"/>
      <c r="DF26" s="37" t="n"/>
      <c r="DG26" s="37" t="n"/>
      <c r="DH26" s="41" t="n"/>
      <c r="DI26" s="37" t="n"/>
      <c r="DJ26" s="37" t="n"/>
      <c r="DK26" s="37" t="n"/>
      <c r="DL26" s="41" t="n"/>
      <c r="DM26" s="37" t="n"/>
      <c r="DN26" s="45" t="n"/>
      <c r="DO26" s="41" t="n"/>
      <c r="DP26" s="48" t="n"/>
      <c r="DQ26" s="37" t="n"/>
      <c r="DR26" s="37" t="n"/>
      <c r="DS26" s="41" t="n"/>
      <c r="DT26" s="37" t="n"/>
      <c r="DU26" s="37" t="n"/>
      <c r="DV26" s="37" t="n"/>
      <c r="DW26" s="37" t="n"/>
      <c r="DX26" s="37" t="n"/>
      <c r="DY26" s="37" t="n"/>
      <c r="DZ26" s="39" t="n"/>
      <c r="EA26" s="37" t="n"/>
      <c r="EB26" s="37" t="n"/>
      <c r="EC26" s="37" t="n"/>
      <c r="ED26" s="41" t="n"/>
      <c r="EE26" s="37" t="n"/>
      <c r="EF26" s="39" t="n"/>
      <c r="EG26" s="49" t="n"/>
      <c r="EH26" s="41" t="n"/>
      <c r="EI26" s="41" t="n"/>
      <c r="EJ26" s="37" t="n"/>
      <c r="EK26" s="41" t="n"/>
      <c r="EL26" s="41" t="n"/>
      <c r="EM26" s="37" t="n"/>
      <c r="EN26" s="41" t="n"/>
      <c r="EO26" s="41" t="n"/>
      <c r="EP26" s="37" t="n"/>
      <c r="EQ26" s="39" t="n"/>
      <c r="ER26" s="45" t="n"/>
      <c r="ES26" s="41" t="n"/>
      <c r="ET26" s="39" t="n"/>
      <c r="EU26" s="39" t="n"/>
      <c r="EV26" s="41" t="n"/>
      <c r="EW26" s="39" t="n"/>
      <c r="EX26" s="37" t="n"/>
      <c r="EY26" s="37" t="n"/>
      <c r="EZ26" s="39" t="n"/>
      <c r="FA26" s="41" t="n"/>
      <c r="FB26" s="41" t="n"/>
      <c r="FC26" s="50" t="n"/>
      <c r="FD26" s="36">
        <f>IF(B26="","",IF(NOT(ISNUMBER(EK26)),"Tarih girilmedi",IFERROR(EDATE(EK26,12),"Tarih hatalı")))</f>
        <v/>
      </c>
      <c r="FE26" s="36">
        <f>IF(B26="","",IF(NOT(ISNUMBER(EK26)),"Tarih girilmedi",IFERROR(EDATE(EK26,11),"Tarih hatalı")))</f>
        <v/>
      </c>
      <c r="FF26" s="36">
        <f>IF(B26="","",IF(NOT(ISNUMBER(EN26)),"Tarih girilmedi",IFERROR(EDATE(EN26,12),"Tarih hatalı")))</f>
        <v/>
      </c>
      <c r="FG26" s="36">
        <f>IF(B26="","",IF(NOT(ISNUMBER(EN26)),"Tarih girilmedi",IFERROR(EDATE(EN26,11),"Tarih hatalı")))</f>
        <v/>
      </c>
      <c r="FH26" s="36">
        <f>IF(B26="","",IF(NOT(ISNUMBER(CW26)),"Tarih girilmedi",IFERROR(EDATE(CW26,60),"Tarih hatalı")))</f>
        <v/>
      </c>
      <c r="FI26" s="36">
        <f>IF(B26="","",IF(NOT(ISNUMBER(CW26)),"Tarih girilmedi",IFERROR(EDATE(CW26,57),"Tarih hatalı")))</f>
        <v/>
      </c>
      <c r="FJ26" s="36">
        <f>IF(B26="","",IF(NOT(ISNUMBER(DH26)),"Tarih girilmedi",IFERROR(EDATE(DH26,36),"Tarih hatalı")))</f>
        <v/>
      </c>
      <c r="FK26" s="36">
        <f>IF(B26="","",IF(NOT(ISNUMBER(DH26)),"Tarih girilmedi",IFERROR(EDATE(DH26,33),"Tarih hatalı")))</f>
        <v/>
      </c>
      <c r="FL26" s="36">
        <f>IF(B26="","",IF(NOT(ISNUMBER(BW26)),"Tarih girilmedi",IFERROR(EDATE(BW26,24),"Tarih hatalı")))</f>
        <v/>
      </c>
      <c r="FM26" s="36">
        <f>IF(B26="","",IF(NOT(ISNUMBER(BW26)),"Tarih girilmedi",IFERROR(EDATE(BW26,24)-45,"Tarih hatalı")))</f>
        <v/>
      </c>
      <c r="FN26" s="36">
        <f>IF(B26="","",IF(NOT(ISNUMBER(BM26)),"Tarih girilmedi",IFERROR(BM26-180,"Tarih hatalı")))</f>
        <v/>
      </c>
      <c r="FO26" s="51">
        <f>IF(OR(B26="",NOT(ISNUMBER(BM26))),"",BM26)</f>
        <v/>
      </c>
      <c r="FP26" s="51">
        <f>IF(OR(B26="",NOT(ISNUMBER(BM26))),"",BM26-180)</f>
        <v/>
      </c>
      <c r="FQ26" s="51">
        <f>IF(OR(B26="",NOT(ISNUMBER(BR26))),"",BR26)</f>
        <v/>
      </c>
      <c r="FR26" s="51">
        <f>IF(OR(B26="",NOT(ISNUMBER(AL26))),"",AL26)</f>
        <v/>
      </c>
      <c r="FS26" s="51">
        <f>IF(OR(B26="",NOT(ISNUMBER(CW26))),"",EDATE(CW26,60))</f>
        <v/>
      </c>
      <c r="FT26" s="51">
        <f>IF(OR(B26="",NOT(ISNUMBER(DH26))),"",EDATE(DH26,36))</f>
        <v/>
      </c>
      <c r="FU26" s="51">
        <f>IF(OR(B26="",NOT(ISNUMBER(BW26))),"",EDATE(BW26,24))</f>
        <v/>
      </c>
      <c r="FV26" s="51">
        <f>IF(OR(B26="",NOT(ISNUMBER(BX26))),"",BX26)</f>
        <v/>
      </c>
      <c r="FW26" s="51">
        <f>IF(OR(B26="",NOT(ISNUMBER(EK26))),"",EDATE(EK26,12))</f>
        <v/>
      </c>
      <c r="FX26" s="51">
        <f>IF(OR(B26="",NOT(ISNUMBER(EL26))),"",EL26)</f>
        <v/>
      </c>
      <c r="FY26" s="51">
        <f>IF(OR(B26="",NOT(ISNUMBER(EN26))),"",EDATE(EN26,12))</f>
        <v/>
      </c>
      <c r="FZ26" s="51">
        <f>IF(OR(B26="",NOT(ISNUMBER(EO26))),"",EO26)</f>
        <v/>
      </c>
      <c r="GA26" s="51">
        <f>IF(OR(B26="",NOT(ISNUMBER(CK26))),"",CK26)</f>
        <v/>
      </c>
      <c r="GB26" s="51">
        <f>IF(OR(B26="",NOT(ISNUMBER(CM26))),"",CM26)</f>
        <v/>
      </c>
      <c r="GC26" s="51">
        <f>IF(OR(B26="",NOT(ISNUMBER(CQ26))),"",CQ26)</f>
        <v/>
      </c>
      <c r="GD26" s="51">
        <f>IF(OR(B26="",NOT(ISNUMBER(EI26))),"",EI26)</f>
        <v/>
      </c>
      <c r="GE26" s="51">
        <f>IF(OR(B26="",NOT(ISNUMBER(FA26))),"",FA26)</f>
        <v/>
      </c>
      <c r="GF26" s="51">
        <f>IF(OR(B26="",NOT(ISNUMBER(ES26))),"",ES26)</f>
        <v/>
      </c>
      <c r="GG26" s="51">
        <f>IF(OR(B26="",NOT(ISNUMBER(FB26))),"",FB26)</f>
        <v/>
      </c>
    </row>
    <row r="27" ht="22" customHeight="1">
      <c r="A27" s="32" t="n">
        <v>23</v>
      </c>
      <c r="B27" s="33" t="n"/>
      <c r="C27" s="34">
        <f>IF(B27="","",((P27="Süresi geçti")+(P27="Yaklaşıyor")+(P27="Tarih hatalı"))+((Q27="Süresi geçti")+(Q27="Yaklaşıyor")+(Q27="Tarih hatalı"))+((R27="Süresi geçti")+(R27="Yaklaşıyor")+(R27="Tarih hatalı"))+((S27="Süresi geçti")+(S27="Yaklaşıyor")+(S27="Tarih hatalı"))+((T27="Süresi geçti")+(T27="Yaklaşıyor")+(T27="Tarih hatalı"))+((U27="Süresi geçti")+(U27="Yaklaşıyor")+(U27="Tarih hatalı"))+((V27="Süresi geçti")+(V27="Yaklaşıyor")+(V27="Tarih hatalı")))</f>
        <v/>
      </c>
      <c r="D27" s="35">
        <f>IF(OR(B27="",E27=""),"",INDEX($FO$4:$GG$4,1,MATCH(E27,FO27:GG27,0)))</f>
        <v/>
      </c>
      <c r="E27" s="36">
        <f>IF(B27="","",IF(COUNT(FO27:GG27)=0,"",SMALL(FO27:GG27,1)))</f>
        <v/>
      </c>
      <c r="F27" s="34">
        <f>IF(E27="","",E27-TODAY())</f>
        <v/>
      </c>
      <c r="G27" s="37" t="n"/>
      <c r="H27" s="37" t="n"/>
      <c r="I27" s="37" t="n"/>
      <c r="J27" s="37" t="n"/>
      <c r="K27" s="37" t="n"/>
      <c r="L27" s="38" t="n"/>
      <c r="M27" s="37" t="n"/>
      <c r="N27" s="37" t="n"/>
      <c r="O27" s="39" t="n"/>
      <c r="P27" s="35">
        <f>IF(B27="","",IF(NOT(ISNUMBER(AL27)),"Tarih girilmedi",IFERROR(IF(TODAY()&gt;AL27,"Süresi geçti",IF(TODAY()&gt;=(AL27-60),"Yaklaşıyor","Takipte")),"Tarih hatalı")))</f>
        <v/>
      </c>
      <c r="Q27" s="35">
        <f>IF(B27="","",IF(NOT(ISNUMBER(EK27)),"Tarih girilmedi",IFERROR(IF(TODAY()&gt;EDATE(EK27,12),"Süresi geçti",IF(TODAY()&gt;=EDATE(EK27,11),"Yaklaşıyor","Takipte")),"Tarih hatalı")))</f>
        <v/>
      </c>
      <c r="R27" s="35">
        <f>IF(B27="","",IF(NOT(ISNUMBER(EN27)),"Tarih girilmedi",IFERROR(IF(TODAY()&gt;EDATE(EN27,12),"Süresi geçti",IF(TODAY()&gt;=EDATE(EN27,11),"Yaklaşıyor","Takipte")),"Tarih hatalı")))</f>
        <v/>
      </c>
      <c r="S27" s="35">
        <f>IF(B27="","",IF(NOT(ISNUMBER(CW27)),"Tarih girilmedi",IFERROR(IF(TODAY()&gt;EDATE(CW27,60),"Süresi geçti",IF(TODAY()&gt;=EDATE(CW27,57),"Yaklaşıyor","Takipte")),"Tarih hatalı")))</f>
        <v/>
      </c>
      <c r="T27" s="35">
        <f>IF(B27="","",IF(NOT(ISNUMBER(DH27)),"Tarih girilmedi",IFERROR(IF(TODAY()&gt;EDATE(DH27,36),"Süresi geçti",IF(TODAY()&gt;=EDATE(DH27,33),"Yaklaşıyor","Takipte")),"Tarih hatalı")))</f>
        <v/>
      </c>
      <c r="U27" s="35">
        <f>IF(B27="","",IF(NOT(ISNUMBER(BW27)),"Tarih girilmedi",IFERROR(IF(TODAY()&gt;EDATE(BW27,24),"Süresi geçti",IF(TODAY()&gt;=(EDATE(BW27,24)-45),"Yaklaşıyor","Takipte")),"Tarih hatalı")))</f>
        <v/>
      </c>
      <c r="V27" s="35">
        <f>IF(B27="","",IF(NOT(ISNUMBER(BM27)),"Tarih girilmedi",IFERROR(IF(TODAY()&gt;BM27,"Süresi geçti",IF(TODAY()&gt;=(BM27-180),"Yaklaşıyor","Takipte")),"Tarih hatalı")))</f>
        <v/>
      </c>
      <c r="W27" s="40" t="n"/>
      <c r="X27" s="37" t="n"/>
      <c r="Y27" s="39" t="n"/>
      <c r="Z27" s="37" t="n"/>
      <c r="AA27" s="37" t="n"/>
      <c r="AB27" s="37" t="n"/>
      <c r="AC27" s="38" t="n"/>
      <c r="AD27" s="38" t="n"/>
      <c r="AE27" s="38" t="n"/>
      <c r="AF27" s="37" t="n"/>
      <c r="AG27" s="37" t="n"/>
      <c r="AH27" s="37" t="n"/>
      <c r="AI27" s="38" t="n"/>
      <c r="AJ27" s="37" t="n"/>
      <c r="AK27" s="41" t="n"/>
      <c r="AL27" s="41" t="n"/>
      <c r="AM27" s="37" t="n"/>
      <c r="AN27" s="39" t="n"/>
      <c r="AO27" s="42" t="n"/>
      <c r="AP27" s="37" t="n"/>
      <c r="AQ27" s="37" t="n"/>
      <c r="AR27" s="37" t="n"/>
      <c r="AS27" s="37" t="n"/>
      <c r="AT27" s="37" t="n"/>
      <c r="AU27" s="37" t="n"/>
      <c r="AV27" s="37" t="n"/>
      <c r="AW27" s="37" t="n"/>
      <c r="AX27" s="43" t="n"/>
      <c r="AY27" s="37" t="n"/>
      <c r="AZ27" s="37" t="n"/>
      <c r="BA27" s="41" t="n"/>
      <c r="BB27" s="37" t="n"/>
      <c r="BC27" s="37" t="n"/>
      <c r="BD27" s="37" t="n"/>
      <c r="BE27" s="37" t="n"/>
      <c r="BF27" s="37" t="n"/>
      <c r="BG27" s="37" t="n"/>
      <c r="BH27" s="41" t="n"/>
      <c r="BI27" s="37" t="n"/>
      <c r="BJ27" s="37" t="n"/>
      <c r="BK27" s="38" t="n"/>
      <c r="BL27" s="37" t="n"/>
      <c r="BM27" s="41" t="n"/>
      <c r="BN27" s="37" t="n"/>
      <c r="BO27" s="41" t="n"/>
      <c r="BP27" s="37" t="n"/>
      <c r="BQ27" s="37" t="n"/>
      <c r="BR27" s="41" t="n"/>
      <c r="BS27" s="39" t="n"/>
      <c r="BT27" s="44" t="n"/>
      <c r="BU27" s="37" t="n"/>
      <c r="BV27" s="45" t="n"/>
      <c r="BW27" s="41" t="n"/>
      <c r="BX27" s="41" t="n"/>
      <c r="BY27" s="37" t="n"/>
      <c r="BZ27" s="37" t="n"/>
      <c r="CA27" s="37" t="n"/>
      <c r="CB27" s="37" t="n"/>
      <c r="CC27" s="39" t="n"/>
      <c r="CD27" s="39" t="n"/>
      <c r="CE27" s="46" t="n"/>
      <c r="CF27" s="37" t="n"/>
      <c r="CG27" s="37" t="n"/>
      <c r="CH27" s="45" t="n"/>
      <c r="CI27" s="37" t="n"/>
      <c r="CJ27" s="38" t="n"/>
      <c r="CK27" s="41" t="n"/>
      <c r="CL27" s="37" t="n"/>
      <c r="CM27" s="41" t="n"/>
      <c r="CN27" s="37" t="n"/>
      <c r="CO27" s="37" t="n"/>
      <c r="CP27" s="41" t="n"/>
      <c r="CQ27" s="41" t="n"/>
      <c r="CR27" s="37" t="n"/>
      <c r="CS27" s="37" t="n"/>
      <c r="CT27" s="47" t="n"/>
      <c r="CU27" s="37" t="n"/>
      <c r="CV27" s="38" t="n"/>
      <c r="CW27" s="41" t="n"/>
      <c r="CX27" s="37" t="n"/>
      <c r="CY27" s="37" t="n"/>
      <c r="CZ27" s="37" t="n"/>
      <c r="DA27" s="37" t="n"/>
      <c r="DB27" s="37" t="n"/>
      <c r="DC27" s="37" t="n"/>
      <c r="DD27" s="37" t="n"/>
      <c r="DE27" s="37" t="n"/>
      <c r="DF27" s="37" t="n"/>
      <c r="DG27" s="37" t="n"/>
      <c r="DH27" s="41" t="n"/>
      <c r="DI27" s="37" t="n"/>
      <c r="DJ27" s="37" t="n"/>
      <c r="DK27" s="37" t="n"/>
      <c r="DL27" s="41" t="n"/>
      <c r="DM27" s="37" t="n"/>
      <c r="DN27" s="45" t="n"/>
      <c r="DO27" s="41" t="n"/>
      <c r="DP27" s="48" t="n"/>
      <c r="DQ27" s="37" t="n"/>
      <c r="DR27" s="37" t="n"/>
      <c r="DS27" s="41" t="n"/>
      <c r="DT27" s="37" t="n"/>
      <c r="DU27" s="37" t="n"/>
      <c r="DV27" s="37" t="n"/>
      <c r="DW27" s="37" t="n"/>
      <c r="DX27" s="37" t="n"/>
      <c r="DY27" s="37" t="n"/>
      <c r="DZ27" s="39" t="n"/>
      <c r="EA27" s="37" t="n"/>
      <c r="EB27" s="37" t="n"/>
      <c r="EC27" s="37" t="n"/>
      <c r="ED27" s="41" t="n"/>
      <c r="EE27" s="37" t="n"/>
      <c r="EF27" s="39" t="n"/>
      <c r="EG27" s="49" t="n"/>
      <c r="EH27" s="41" t="n"/>
      <c r="EI27" s="41" t="n"/>
      <c r="EJ27" s="37" t="n"/>
      <c r="EK27" s="41" t="n"/>
      <c r="EL27" s="41" t="n"/>
      <c r="EM27" s="37" t="n"/>
      <c r="EN27" s="41" t="n"/>
      <c r="EO27" s="41" t="n"/>
      <c r="EP27" s="37" t="n"/>
      <c r="EQ27" s="39" t="n"/>
      <c r="ER27" s="45" t="n"/>
      <c r="ES27" s="41" t="n"/>
      <c r="ET27" s="39" t="n"/>
      <c r="EU27" s="39" t="n"/>
      <c r="EV27" s="41" t="n"/>
      <c r="EW27" s="39" t="n"/>
      <c r="EX27" s="37" t="n"/>
      <c r="EY27" s="37" t="n"/>
      <c r="EZ27" s="39" t="n"/>
      <c r="FA27" s="41" t="n"/>
      <c r="FB27" s="41" t="n"/>
      <c r="FC27" s="50" t="n"/>
      <c r="FD27" s="36">
        <f>IF(B27="","",IF(NOT(ISNUMBER(EK27)),"Tarih girilmedi",IFERROR(EDATE(EK27,12),"Tarih hatalı")))</f>
        <v/>
      </c>
      <c r="FE27" s="36">
        <f>IF(B27="","",IF(NOT(ISNUMBER(EK27)),"Tarih girilmedi",IFERROR(EDATE(EK27,11),"Tarih hatalı")))</f>
        <v/>
      </c>
      <c r="FF27" s="36">
        <f>IF(B27="","",IF(NOT(ISNUMBER(EN27)),"Tarih girilmedi",IFERROR(EDATE(EN27,12),"Tarih hatalı")))</f>
        <v/>
      </c>
      <c r="FG27" s="36">
        <f>IF(B27="","",IF(NOT(ISNUMBER(EN27)),"Tarih girilmedi",IFERROR(EDATE(EN27,11),"Tarih hatalı")))</f>
        <v/>
      </c>
      <c r="FH27" s="36">
        <f>IF(B27="","",IF(NOT(ISNUMBER(CW27)),"Tarih girilmedi",IFERROR(EDATE(CW27,60),"Tarih hatalı")))</f>
        <v/>
      </c>
      <c r="FI27" s="36">
        <f>IF(B27="","",IF(NOT(ISNUMBER(CW27)),"Tarih girilmedi",IFERROR(EDATE(CW27,57),"Tarih hatalı")))</f>
        <v/>
      </c>
      <c r="FJ27" s="36">
        <f>IF(B27="","",IF(NOT(ISNUMBER(DH27)),"Tarih girilmedi",IFERROR(EDATE(DH27,36),"Tarih hatalı")))</f>
        <v/>
      </c>
      <c r="FK27" s="36">
        <f>IF(B27="","",IF(NOT(ISNUMBER(DH27)),"Tarih girilmedi",IFERROR(EDATE(DH27,33),"Tarih hatalı")))</f>
        <v/>
      </c>
      <c r="FL27" s="36">
        <f>IF(B27="","",IF(NOT(ISNUMBER(BW27)),"Tarih girilmedi",IFERROR(EDATE(BW27,24),"Tarih hatalı")))</f>
        <v/>
      </c>
      <c r="FM27" s="36">
        <f>IF(B27="","",IF(NOT(ISNUMBER(BW27)),"Tarih girilmedi",IFERROR(EDATE(BW27,24)-45,"Tarih hatalı")))</f>
        <v/>
      </c>
      <c r="FN27" s="36">
        <f>IF(B27="","",IF(NOT(ISNUMBER(BM27)),"Tarih girilmedi",IFERROR(BM27-180,"Tarih hatalı")))</f>
        <v/>
      </c>
      <c r="FO27" s="51">
        <f>IF(OR(B27="",NOT(ISNUMBER(BM27))),"",BM27)</f>
        <v/>
      </c>
      <c r="FP27" s="51">
        <f>IF(OR(B27="",NOT(ISNUMBER(BM27))),"",BM27-180)</f>
        <v/>
      </c>
      <c r="FQ27" s="51">
        <f>IF(OR(B27="",NOT(ISNUMBER(BR27))),"",BR27)</f>
        <v/>
      </c>
      <c r="FR27" s="51">
        <f>IF(OR(B27="",NOT(ISNUMBER(AL27))),"",AL27)</f>
        <v/>
      </c>
      <c r="FS27" s="51">
        <f>IF(OR(B27="",NOT(ISNUMBER(CW27))),"",EDATE(CW27,60))</f>
        <v/>
      </c>
      <c r="FT27" s="51">
        <f>IF(OR(B27="",NOT(ISNUMBER(DH27))),"",EDATE(DH27,36))</f>
        <v/>
      </c>
      <c r="FU27" s="51">
        <f>IF(OR(B27="",NOT(ISNUMBER(BW27))),"",EDATE(BW27,24))</f>
        <v/>
      </c>
      <c r="FV27" s="51">
        <f>IF(OR(B27="",NOT(ISNUMBER(BX27))),"",BX27)</f>
        <v/>
      </c>
      <c r="FW27" s="51">
        <f>IF(OR(B27="",NOT(ISNUMBER(EK27))),"",EDATE(EK27,12))</f>
        <v/>
      </c>
      <c r="FX27" s="51">
        <f>IF(OR(B27="",NOT(ISNUMBER(EL27))),"",EL27)</f>
        <v/>
      </c>
      <c r="FY27" s="51">
        <f>IF(OR(B27="",NOT(ISNUMBER(EN27))),"",EDATE(EN27,12))</f>
        <v/>
      </c>
      <c r="FZ27" s="51">
        <f>IF(OR(B27="",NOT(ISNUMBER(EO27))),"",EO27)</f>
        <v/>
      </c>
      <c r="GA27" s="51">
        <f>IF(OR(B27="",NOT(ISNUMBER(CK27))),"",CK27)</f>
        <v/>
      </c>
      <c r="GB27" s="51">
        <f>IF(OR(B27="",NOT(ISNUMBER(CM27))),"",CM27)</f>
        <v/>
      </c>
      <c r="GC27" s="51">
        <f>IF(OR(B27="",NOT(ISNUMBER(CQ27))),"",CQ27)</f>
        <v/>
      </c>
      <c r="GD27" s="51">
        <f>IF(OR(B27="",NOT(ISNUMBER(EI27))),"",EI27)</f>
        <v/>
      </c>
      <c r="GE27" s="51">
        <f>IF(OR(B27="",NOT(ISNUMBER(FA27))),"",FA27)</f>
        <v/>
      </c>
      <c r="GF27" s="51">
        <f>IF(OR(B27="",NOT(ISNUMBER(ES27))),"",ES27)</f>
        <v/>
      </c>
      <c r="GG27" s="51">
        <f>IF(OR(B27="",NOT(ISNUMBER(FB27))),"",FB27)</f>
        <v/>
      </c>
    </row>
    <row r="28" ht="22" customHeight="1">
      <c r="A28" s="32" t="n">
        <v>24</v>
      </c>
      <c r="B28" s="33" t="n"/>
      <c r="C28" s="34">
        <f>IF(B28="","",((P28="Süresi geçti")+(P28="Yaklaşıyor")+(P28="Tarih hatalı"))+((Q28="Süresi geçti")+(Q28="Yaklaşıyor")+(Q28="Tarih hatalı"))+((R28="Süresi geçti")+(R28="Yaklaşıyor")+(R28="Tarih hatalı"))+((S28="Süresi geçti")+(S28="Yaklaşıyor")+(S28="Tarih hatalı"))+((T28="Süresi geçti")+(T28="Yaklaşıyor")+(T28="Tarih hatalı"))+((U28="Süresi geçti")+(U28="Yaklaşıyor")+(U28="Tarih hatalı"))+((V28="Süresi geçti")+(V28="Yaklaşıyor")+(V28="Tarih hatalı")))</f>
        <v/>
      </c>
      <c r="D28" s="35">
        <f>IF(OR(B28="",E28=""),"",INDEX($FO$4:$GG$4,1,MATCH(E28,FO28:GG28,0)))</f>
        <v/>
      </c>
      <c r="E28" s="36">
        <f>IF(B28="","",IF(COUNT(FO28:GG28)=0,"",SMALL(FO28:GG28,1)))</f>
        <v/>
      </c>
      <c r="F28" s="34">
        <f>IF(E28="","",E28-TODAY())</f>
        <v/>
      </c>
      <c r="G28" s="37" t="n"/>
      <c r="H28" s="37" t="n"/>
      <c r="I28" s="37" t="n"/>
      <c r="J28" s="37" t="n"/>
      <c r="K28" s="37" t="n"/>
      <c r="L28" s="38" t="n"/>
      <c r="M28" s="37" t="n"/>
      <c r="N28" s="37" t="n"/>
      <c r="O28" s="39" t="n"/>
      <c r="P28" s="35">
        <f>IF(B28="","",IF(NOT(ISNUMBER(AL28)),"Tarih girilmedi",IFERROR(IF(TODAY()&gt;AL28,"Süresi geçti",IF(TODAY()&gt;=(AL28-60),"Yaklaşıyor","Takipte")),"Tarih hatalı")))</f>
        <v/>
      </c>
      <c r="Q28" s="35">
        <f>IF(B28="","",IF(NOT(ISNUMBER(EK28)),"Tarih girilmedi",IFERROR(IF(TODAY()&gt;EDATE(EK28,12),"Süresi geçti",IF(TODAY()&gt;=EDATE(EK28,11),"Yaklaşıyor","Takipte")),"Tarih hatalı")))</f>
        <v/>
      </c>
      <c r="R28" s="35">
        <f>IF(B28="","",IF(NOT(ISNUMBER(EN28)),"Tarih girilmedi",IFERROR(IF(TODAY()&gt;EDATE(EN28,12),"Süresi geçti",IF(TODAY()&gt;=EDATE(EN28,11),"Yaklaşıyor","Takipte")),"Tarih hatalı")))</f>
        <v/>
      </c>
      <c r="S28" s="35">
        <f>IF(B28="","",IF(NOT(ISNUMBER(CW28)),"Tarih girilmedi",IFERROR(IF(TODAY()&gt;EDATE(CW28,60),"Süresi geçti",IF(TODAY()&gt;=EDATE(CW28,57),"Yaklaşıyor","Takipte")),"Tarih hatalı")))</f>
        <v/>
      </c>
      <c r="T28" s="35">
        <f>IF(B28="","",IF(NOT(ISNUMBER(DH28)),"Tarih girilmedi",IFERROR(IF(TODAY()&gt;EDATE(DH28,36),"Süresi geçti",IF(TODAY()&gt;=EDATE(DH28,33),"Yaklaşıyor","Takipte")),"Tarih hatalı")))</f>
        <v/>
      </c>
      <c r="U28" s="35">
        <f>IF(B28="","",IF(NOT(ISNUMBER(BW28)),"Tarih girilmedi",IFERROR(IF(TODAY()&gt;EDATE(BW28,24),"Süresi geçti",IF(TODAY()&gt;=(EDATE(BW28,24)-45),"Yaklaşıyor","Takipte")),"Tarih hatalı")))</f>
        <v/>
      </c>
      <c r="V28" s="35">
        <f>IF(B28="","",IF(NOT(ISNUMBER(BM28)),"Tarih girilmedi",IFERROR(IF(TODAY()&gt;BM28,"Süresi geçti",IF(TODAY()&gt;=(BM28-180),"Yaklaşıyor","Takipte")),"Tarih hatalı")))</f>
        <v/>
      </c>
      <c r="W28" s="40" t="n"/>
      <c r="X28" s="37" t="n"/>
      <c r="Y28" s="39" t="n"/>
      <c r="Z28" s="37" t="n"/>
      <c r="AA28" s="37" t="n"/>
      <c r="AB28" s="37" t="n"/>
      <c r="AC28" s="38" t="n"/>
      <c r="AD28" s="38" t="n"/>
      <c r="AE28" s="38" t="n"/>
      <c r="AF28" s="37" t="n"/>
      <c r="AG28" s="37" t="n"/>
      <c r="AH28" s="37" t="n"/>
      <c r="AI28" s="38" t="n"/>
      <c r="AJ28" s="37" t="n"/>
      <c r="AK28" s="41" t="n"/>
      <c r="AL28" s="41" t="n"/>
      <c r="AM28" s="37" t="n"/>
      <c r="AN28" s="39" t="n"/>
      <c r="AO28" s="42" t="n"/>
      <c r="AP28" s="37" t="n"/>
      <c r="AQ28" s="37" t="n"/>
      <c r="AR28" s="37" t="n"/>
      <c r="AS28" s="37" t="n"/>
      <c r="AT28" s="37" t="n"/>
      <c r="AU28" s="37" t="n"/>
      <c r="AV28" s="37" t="n"/>
      <c r="AW28" s="37" t="n"/>
      <c r="AX28" s="43" t="n"/>
      <c r="AY28" s="37" t="n"/>
      <c r="AZ28" s="37" t="n"/>
      <c r="BA28" s="41" t="n"/>
      <c r="BB28" s="37" t="n"/>
      <c r="BC28" s="37" t="n"/>
      <c r="BD28" s="37" t="n"/>
      <c r="BE28" s="37" t="n"/>
      <c r="BF28" s="37" t="n"/>
      <c r="BG28" s="37" t="n"/>
      <c r="BH28" s="41" t="n"/>
      <c r="BI28" s="37" t="n"/>
      <c r="BJ28" s="37" t="n"/>
      <c r="BK28" s="38" t="n"/>
      <c r="BL28" s="37" t="n"/>
      <c r="BM28" s="41" t="n"/>
      <c r="BN28" s="37" t="n"/>
      <c r="BO28" s="41" t="n"/>
      <c r="BP28" s="37" t="n"/>
      <c r="BQ28" s="37" t="n"/>
      <c r="BR28" s="41" t="n"/>
      <c r="BS28" s="39" t="n"/>
      <c r="BT28" s="44" t="n"/>
      <c r="BU28" s="37" t="n"/>
      <c r="BV28" s="45" t="n"/>
      <c r="BW28" s="41" t="n"/>
      <c r="BX28" s="41" t="n"/>
      <c r="BY28" s="37" t="n"/>
      <c r="BZ28" s="37" t="n"/>
      <c r="CA28" s="37" t="n"/>
      <c r="CB28" s="37" t="n"/>
      <c r="CC28" s="39" t="n"/>
      <c r="CD28" s="39" t="n"/>
      <c r="CE28" s="46" t="n"/>
      <c r="CF28" s="37" t="n"/>
      <c r="CG28" s="37" t="n"/>
      <c r="CH28" s="45" t="n"/>
      <c r="CI28" s="37" t="n"/>
      <c r="CJ28" s="38" t="n"/>
      <c r="CK28" s="41" t="n"/>
      <c r="CL28" s="37" t="n"/>
      <c r="CM28" s="41" t="n"/>
      <c r="CN28" s="37" t="n"/>
      <c r="CO28" s="37" t="n"/>
      <c r="CP28" s="41" t="n"/>
      <c r="CQ28" s="41" t="n"/>
      <c r="CR28" s="37" t="n"/>
      <c r="CS28" s="37" t="n"/>
      <c r="CT28" s="47" t="n"/>
      <c r="CU28" s="37" t="n"/>
      <c r="CV28" s="38" t="n"/>
      <c r="CW28" s="41" t="n"/>
      <c r="CX28" s="37" t="n"/>
      <c r="CY28" s="37" t="n"/>
      <c r="CZ28" s="37" t="n"/>
      <c r="DA28" s="37" t="n"/>
      <c r="DB28" s="37" t="n"/>
      <c r="DC28" s="37" t="n"/>
      <c r="DD28" s="37" t="n"/>
      <c r="DE28" s="37" t="n"/>
      <c r="DF28" s="37" t="n"/>
      <c r="DG28" s="37" t="n"/>
      <c r="DH28" s="41" t="n"/>
      <c r="DI28" s="37" t="n"/>
      <c r="DJ28" s="37" t="n"/>
      <c r="DK28" s="37" t="n"/>
      <c r="DL28" s="41" t="n"/>
      <c r="DM28" s="37" t="n"/>
      <c r="DN28" s="45" t="n"/>
      <c r="DO28" s="41" t="n"/>
      <c r="DP28" s="48" t="n"/>
      <c r="DQ28" s="37" t="n"/>
      <c r="DR28" s="37" t="n"/>
      <c r="DS28" s="41" t="n"/>
      <c r="DT28" s="37" t="n"/>
      <c r="DU28" s="37" t="n"/>
      <c r="DV28" s="37" t="n"/>
      <c r="DW28" s="37" t="n"/>
      <c r="DX28" s="37" t="n"/>
      <c r="DY28" s="37" t="n"/>
      <c r="DZ28" s="39" t="n"/>
      <c r="EA28" s="37" t="n"/>
      <c r="EB28" s="37" t="n"/>
      <c r="EC28" s="37" t="n"/>
      <c r="ED28" s="41" t="n"/>
      <c r="EE28" s="37" t="n"/>
      <c r="EF28" s="39" t="n"/>
      <c r="EG28" s="49" t="n"/>
      <c r="EH28" s="41" t="n"/>
      <c r="EI28" s="41" t="n"/>
      <c r="EJ28" s="37" t="n"/>
      <c r="EK28" s="41" t="n"/>
      <c r="EL28" s="41" t="n"/>
      <c r="EM28" s="37" t="n"/>
      <c r="EN28" s="41" t="n"/>
      <c r="EO28" s="41" t="n"/>
      <c r="EP28" s="37" t="n"/>
      <c r="EQ28" s="39" t="n"/>
      <c r="ER28" s="45" t="n"/>
      <c r="ES28" s="41" t="n"/>
      <c r="ET28" s="39" t="n"/>
      <c r="EU28" s="39" t="n"/>
      <c r="EV28" s="41" t="n"/>
      <c r="EW28" s="39" t="n"/>
      <c r="EX28" s="37" t="n"/>
      <c r="EY28" s="37" t="n"/>
      <c r="EZ28" s="39" t="n"/>
      <c r="FA28" s="41" t="n"/>
      <c r="FB28" s="41" t="n"/>
      <c r="FC28" s="50" t="n"/>
      <c r="FD28" s="36">
        <f>IF(B28="","",IF(NOT(ISNUMBER(EK28)),"Tarih girilmedi",IFERROR(EDATE(EK28,12),"Tarih hatalı")))</f>
        <v/>
      </c>
      <c r="FE28" s="36">
        <f>IF(B28="","",IF(NOT(ISNUMBER(EK28)),"Tarih girilmedi",IFERROR(EDATE(EK28,11),"Tarih hatalı")))</f>
        <v/>
      </c>
      <c r="FF28" s="36">
        <f>IF(B28="","",IF(NOT(ISNUMBER(EN28)),"Tarih girilmedi",IFERROR(EDATE(EN28,12),"Tarih hatalı")))</f>
        <v/>
      </c>
      <c r="FG28" s="36">
        <f>IF(B28="","",IF(NOT(ISNUMBER(EN28)),"Tarih girilmedi",IFERROR(EDATE(EN28,11),"Tarih hatalı")))</f>
        <v/>
      </c>
      <c r="FH28" s="36">
        <f>IF(B28="","",IF(NOT(ISNUMBER(CW28)),"Tarih girilmedi",IFERROR(EDATE(CW28,60),"Tarih hatalı")))</f>
        <v/>
      </c>
      <c r="FI28" s="36">
        <f>IF(B28="","",IF(NOT(ISNUMBER(CW28)),"Tarih girilmedi",IFERROR(EDATE(CW28,57),"Tarih hatalı")))</f>
        <v/>
      </c>
      <c r="FJ28" s="36">
        <f>IF(B28="","",IF(NOT(ISNUMBER(DH28)),"Tarih girilmedi",IFERROR(EDATE(DH28,36),"Tarih hatalı")))</f>
        <v/>
      </c>
      <c r="FK28" s="36">
        <f>IF(B28="","",IF(NOT(ISNUMBER(DH28)),"Tarih girilmedi",IFERROR(EDATE(DH28,33),"Tarih hatalı")))</f>
        <v/>
      </c>
      <c r="FL28" s="36">
        <f>IF(B28="","",IF(NOT(ISNUMBER(BW28)),"Tarih girilmedi",IFERROR(EDATE(BW28,24),"Tarih hatalı")))</f>
        <v/>
      </c>
      <c r="FM28" s="36">
        <f>IF(B28="","",IF(NOT(ISNUMBER(BW28)),"Tarih girilmedi",IFERROR(EDATE(BW28,24)-45,"Tarih hatalı")))</f>
        <v/>
      </c>
      <c r="FN28" s="36">
        <f>IF(B28="","",IF(NOT(ISNUMBER(BM28)),"Tarih girilmedi",IFERROR(BM28-180,"Tarih hatalı")))</f>
        <v/>
      </c>
      <c r="FO28" s="51">
        <f>IF(OR(B28="",NOT(ISNUMBER(BM28))),"",BM28)</f>
        <v/>
      </c>
      <c r="FP28" s="51">
        <f>IF(OR(B28="",NOT(ISNUMBER(BM28))),"",BM28-180)</f>
        <v/>
      </c>
      <c r="FQ28" s="51">
        <f>IF(OR(B28="",NOT(ISNUMBER(BR28))),"",BR28)</f>
        <v/>
      </c>
      <c r="FR28" s="51">
        <f>IF(OR(B28="",NOT(ISNUMBER(AL28))),"",AL28)</f>
        <v/>
      </c>
      <c r="FS28" s="51">
        <f>IF(OR(B28="",NOT(ISNUMBER(CW28))),"",EDATE(CW28,60))</f>
        <v/>
      </c>
      <c r="FT28" s="51">
        <f>IF(OR(B28="",NOT(ISNUMBER(DH28))),"",EDATE(DH28,36))</f>
        <v/>
      </c>
      <c r="FU28" s="51">
        <f>IF(OR(B28="",NOT(ISNUMBER(BW28))),"",EDATE(BW28,24))</f>
        <v/>
      </c>
      <c r="FV28" s="51">
        <f>IF(OR(B28="",NOT(ISNUMBER(BX28))),"",BX28)</f>
        <v/>
      </c>
      <c r="FW28" s="51">
        <f>IF(OR(B28="",NOT(ISNUMBER(EK28))),"",EDATE(EK28,12))</f>
        <v/>
      </c>
      <c r="FX28" s="51">
        <f>IF(OR(B28="",NOT(ISNUMBER(EL28))),"",EL28)</f>
        <v/>
      </c>
      <c r="FY28" s="51">
        <f>IF(OR(B28="",NOT(ISNUMBER(EN28))),"",EDATE(EN28,12))</f>
        <v/>
      </c>
      <c r="FZ28" s="51">
        <f>IF(OR(B28="",NOT(ISNUMBER(EO28))),"",EO28)</f>
        <v/>
      </c>
      <c r="GA28" s="51">
        <f>IF(OR(B28="",NOT(ISNUMBER(CK28))),"",CK28)</f>
        <v/>
      </c>
      <c r="GB28" s="51">
        <f>IF(OR(B28="",NOT(ISNUMBER(CM28))),"",CM28)</f>
        <v/>
      </c>
      <c r="GC28" s="51">
        <f>IF(OR(B28="",NOT(ISNUMBER(CQ28))),"",CQ28)</f>
        <v/>
      </c>
      <c r="GD28" s="51">
        <f>IF(OR(B28="",NOT(ISNUMBER(EI28))),"",EI28)</f>
        <v/>
      </c>
      <c r="GE28" s="51">
        <f>IF(OR(B28="",NOT(ISNUMBER(FA28))),"",FA28)</f>
        <v/>
      </c>
      <c r="GF28" s="51">
        <f>IF(OR(B28="",NOT(ISNUMBER(ES28))),"",ES28)</f>
        <v/>
      </c>
      <c r="GG28" s="51">
        <f>IF(OR(B28="",NOT(ISNUMBER(FB28))),"",FB28)</f>
        <v/>
      </c>
    </row>
    <row r="29" ht="22" customHeight="1">
      <c r="A29" s="32" t="n">
        <v>25</v>
      </c>
      <c r="B29" s="33" t="n"/>
      <c r="C29" s="34">
        <f>IF(B29="","",((P29="Süresi geçti")+(P29="Yaklaşıyor")+(P29="Tarih hatalı"))+((Q29="Süresi geçti")+(Q29="Yaklaşıyor")+(Q29="Tarih hatalı"))+((R29="Süresi geçti")+(R29="Yaklaşıyor")+(R29="Tarih hatalı"))+((S29="Süresi geçti")+(S29="Yaklaşıyor")+(S29="Tarih hatalı"))+((T29="Süresi geçti")+(T29="Yaklaşıyor")+(T29="Tarih hatalı"))+((U29="Süresi geçti")+(U29="Yaklaşıyor")+(U29="Tarih hatalı"))+((V29="Süresi geçti")+(V29="Yaklaşıyor")+(V29="Tarih hatalı")))</f>
        <v/>
      </c>
      <c r="D29" s="35">
        <f>IF(OR(B29="",E29=""),"",INDEX($FO$4:$GG$4,1,MATCH(E29,FO29:GG29,0)))</f>
        <v/>
      </c>
      <c r="E29" s="36">
        <f>IF(B29="","",IF(COUNT(FO29:GG29)=0,"",SMALL(FO29:GG29,1)))</f>
        <v/>
      </c>
      <c r="F29" s="34">
        <f>IF(E29="","",E29-TODAY())</f>
        <v/>
      </c>
      <c r="G29" s="37" t="n"/>
      <c r="H29" s="37" t="n"/>
      <c r="I29" s="37" t="n"/>
      <c r="J29" s="37" t="n"/>
      <c r="K29" s="37" t="n"/>
      <c r="L29" s="38" t="n"/>
      <c r="M29" s="37" t="n"/>
      <c r="N29" s="37" t="n"/>
      <c r="O29" s="39" t="n"/>
      <c r="P29" s="35">
        <f>IF(B29="","",IF(NOT(ISNUMBER(AL29)),"Tarih girilmedi",IFERROR(IF(TODAY()&gt;AL29,"Süresi geçti",IF(TODAY()&gt;=(AL29-60),"Yaklaşıyor","Takipte")),"Tarih hatalı")))</f>
        <v/>
      </c>
      <c r="Q29" s="35">
        <f>IF(B29="","",IF(NOT(ISNUMBER(EK29)),"Tarih girilmedi",IFERROR(IF(TODAY()&gt;EDATE(EK29,12),"Süresi geçti",IF(TODAY()&gt;=EDATE(EK29,11),"Yaklaşıyor","Takipte")),"Tarih hatalı")))</f>
        <v/>
      </c>
      <c r="R29" s="35">
        <f>IF(B29="","",IF(NOT(ISNUMBER(EN29)),"Tarih girilmedi",IFERROR(IF(TODAY()&gt;EDATE(EN29,12),"Süresi geçti",IF(TODAY()&gt;=EDATE(EN29,11),"Yaklaşıyor","Takipte")),"Tarih hatalı")))</f>
        <v/>
      </c>
      <c r="S29" s="35">
        <f>IF(B29="","",IF(NOT(ISNUMBER(CW29)),"Tarih girilmedi",IFERROR(IF(TODAY()&gt;EDATE(CW29,60),"Süresi geçti",IF(TODAY()&gt;=EDATE(CW29,57),"Yaklaşıyor","Takipte")),"Tarih hatalı")))</f>
        <v/>
      </c>
      <c r="T29" s="35">
        <f>IF(B29="","",IF(NOT(ISNUMBER(DH29)),"Tarih girilmedi",IFERROR(IF(TODAY()&gt;EDATE(DH29,36),"Süresi geçti",IF(TODAY()&gt;=EDATE(DH29,33),"Yaklaşıyor","Takipte")),"Tarih hatalı")))</f>
        <v/>
      </c>
      <c r="U29" s="35">
        <f>IF(B29="","",IF(NOT(ISNUMBER(BW29)),"Tarih girilmedi",IFERROR(IF(TODAY()&gt;EDATE(BW29,24),"Süresi geçti",IF(TODAY()&gt;=(EDATE(BW29,24)-45),"Yaklaşıyor","Takipte")),"Tarih hatalı")))</f>
        <v/>
      </c>
      <c r="V29" s="35">
        <f>IF(B29="","",IF(NOT(ISNUMBER(BM29)),"Tarih girilmedi",IFERROR(IF(TODAY()&gt;BM29,"Süresi geçti",IF(TODAY()&gt;=(BM29-180),"Yaklaşıyor","Takipte")),"Tarih hatalı")))</f>
        <v/>
      </c>
      <c r="W29" s="40" t="n"/>
      <c r="X29" s="37" t="n"/>
      <c r="Y29" s="39" t="n"/>
      <c r="Z29" s="37" t="n"/>
      <c r="AA29" s="37" t="n"/>
      <c r="AB29" s="37" t="n"/>
      <c r="AC29" s="38" t="n"/>
      <c r="AD29" s="38" t="n"/>
      <c r="AE29" s="38" t="n"/>
      <c r="AF29" s="37" t="n"/>
      <c r="AG29" s="37" t="n"/>
      <c r="AH29" s="37" t="n"/>
      <c r="AI29" s="38" t="n"/>
      <c r="AJ29" s="37" t="n"/>
      <c r="AK29" s="41" t="n"/>
      <c r="AL29" s="41" t="n"/>
      <c r="AM29" s="37" t="n"/>
      <c r="AN29" s="39" t="n"/>
      <c r="AO29" s="42" t="n"/>
      <c r="AP29" s="37" t="n"/>
      <c r="AQ29" s="37" t="n"/>
      <c r="AR29" s="37" t="n"/>
      <c r="AS29" s="37" t="n"/>
      <c r="AT29" s="37" t="n"/>
      <c r="AU29" s="37" t="n"/>
      <c r="AV29" s="37" t="n"/>
      <c r="AW29" s="37" t="n"/>
      <c r="AX29" s="43" t="n"/>
      <c r="AY29" s="37" t="n"/>
      <c r="AZ29" s="37" t="n"/>
      <c r="BA29" s="41" t="n"/>
      <c r="BB29" s="37" t="n"/>
      <c r="BC29" s="37" t="n"/>
      <c r="BD29" s="37" t="n"/>
      <c r="BE29" s="37" t="n"/>
      <c r="BF29" s="37" t="n"/>
      <c r="BG29" s="37" t="n"/>
      <c r="BH29" s="41" t="n"/>
      <c r="BI29" s="37" t="n"/>
      <c r="BJ29" s="37" t="n"/>
      <c r="BK29" s="38" t="n"/>
      <c r="BL29" s="37" t="n"/>
      <c r="BM29" s="41" t="n"/>
      <c r="BN29" s="37" t="n"/>
      <c r="BO29" s="41" t="n"/>
      <c r="BP29" s="37" t="n"/>
      <c r="BQ29" s="37" t="n"/>
      <c r="BR29" s="41" t="n"/>
      <c r="BS29" s="39" t="n"/>
      <c r="BT29" s="44" t="n"/>
      <c r="BU29" s="37" t="n"/>
      <c r="BV29" s="45" t="n"/>
      <c r="BW29" s="41" t="n"/>
      <c r="BX29" s="41" t="n"/>
      <c r="BY29" s="37" t="n"/>
      <c r="BZ29" s="37" t="n"/>
      <c r="CA29" s="37" t="n"/>
      <c r="CB29" s="37" t="n"/>
      <c r="CC29" s="39" t="n"/>
      <c r="CD29" s="39" t="n"/>
      <c r="CE29" s="46" t="n"/>
      <c r="CF29" s="37" t="n"/>
      <c r="CG29" s="37" t="n"/>
      <c r="CH29" s="45" t="n"/>
      <c r="CI29" s="37" t="n"/>
      <c r="CJ29" s="38" t="n"/>
      <c r="CK29" s="41" t="n"/>
      <c r="CL29" s="37" t="n"/>
      <c r="CM29" s="41" t="n"/>
      <c r="CN29" s="37" t="n"/>
      <c r="CO29" s="37" t="n"/>
      <c r="CP29" s="41" t="n"/>
      <c r="CQ29" s="41" t="n"/>
      <c r="CR29" s="37" t="n"/>
      <c r="CS29" s="37" t="n"/>
      <c r="CT29" s="47" t="n"/>
      <c r="CU29" s="37" t="n"/>
      <c r="CV29" s="38" t="n"/>
      <c r="CW29" s="41" t="n"/>
      <c r="CX29" s="37" t="n"/>
      <c r="CY29" s="37" t="n"/>
      <c r="CZ29" s="37" t="n"/>
      <c r="DA29" s="37" t="n"/>
      <c r="DB29" s="37" t="n"/>
      <c r="DC29" s="37" t="n"/>
      <c r="DD29" s="37" t="n"/>
      <c r="DE29" s="37" t="n"/>
      <c r="DF29" s="37" t="n"/>
      <c r="DG29" s="37" t="n"/>
      <c r="DH29" s="41" t="n"/>
      <c r="DI29" s="37" t="n"/>
      <c r="DJ29" s="37" t="n"/>
      <c r="DK29" s="37" t="n"/>
      <c r="DL29" s="41" t="n"/>
      <c r="DM29" s="37" t="n"/>
      <c r="DN29" s="45" t="n"/>
      <c r="DO29" s="41" t="n"/>
      <c r="DP29" s="48" t="n"/>
      <c r="DQ29" s="37" t="n"/>
      <c r="DR29" s="37" t="n"/>
      <c r="DS29" s="41" t="n"/>
      <c r="DT29" s="37" t="n"/>
      <c r="DU29" s="37" t="n"/>
      <c r="DV29" s="37" t="n"/>
      <c r="DW29" s="37" t="n"/>
      <c r="DX29" s="37" t="n"/>
      <c r="DY29" s="37" t="n"/>
      <c r="DZ29" s="39" t="n"/>
      <c r="EA29" s="37" t="n"/>
      <c r="EB29" s="37" t="n"/>
      <c r="EC29" s="37" t="n"/>
      <c r="ED29" s="41" t="n"/>
      <c r="EE29" s="37" t="n"/>
      <c r="EF29" s="39" t="n"/>
      <c r="EG29" s="49" t="n"/>
      <c r="EH29" s="41" t="n"/>
      <c r="EI29" s="41" t="n"/>
      <c r="EJ29" s="37" t="n"/>
      <c r="EK29" s="41" t="n"/>
      <c r="EL29" s="41" t="n"/>
      <c r="EM29" s="37" t="n"/>
      <c r="EN29" s="41" t="n"/>
      <c r="EO29" s="41" t="n"/>
      <c r="EP29" s="37" t="n"/>
      <c r="EQ29" s="39" t="n"/>
      <c r="ER29" s="45" t="n"/>
      <c r="ES29" s="41" t="n"/>
      <c r="ET29" s="39" t="n"/>
      <c r="EU29" s="39" t="n"/>
      <c r="EV29" s="41" t="n"/>
      <c r="EW29" s="39" t="n"/>
      <c r="EX29" s="37" t="n"/>
      <c r="EY29" s="37" t="n"/>
      <c r="EZ29" s="39" t="n"/>
      <c r="FA29" s="41" t="n"/>
      <c r="FB29" s="41" t="n"/>
      <c r="FC29" s="50" t="n"/>
      <c r="FD29" s="36">
        <f>IF(B29="","",IF(NOT(ISNUMBER(EK29)),"Tarih girilmedi",IFERROR(EDATE(EK29,12),"Tarih hatalı")))</f>
        <v/>
      </c>
      <c r="FE29" s="36">
        <f>IF(B29="","",IF(NOT(ISNUMBER(EK29)),"Tarih girilmedi",IFERROR(EDATE(EK29,11),"Tarih hatalı")))</f>
        <v/>
      </c>
      <c r="FF29" s="36">
        <f>IF(B29="","",IF(NOT(ISNUMBER(EN29)),"Tarih girilmedi",IFERROR(EDATE(EN29,12),"Tarih hatalı")))</f>
        <v/>
      </c>
      <c r="FG29" s="36">
        <f>IF(B29="","",IF(NOT(ISNUMBER(EN29)),"Tarih girilmedi",IFERROR(EDATE(EN29,11),"Tarih hatalı")))</f>
        <v/>
      </c>
      <c r="FH29" s="36">
        <f>IF(B29="","",IF(NOT(ISNUMBER(CW29)),"Tarih girilmedi",IFERROR(EDATE(CW29,60),"Tarih hatalı")))</f>
        <v/>
      </c>
      <c r="FI29" s="36">
        <f>IF(B29="","",IF(NOT(ISNUMBER(CW29)),"Tarih girilmedi",IFERROR(EDATE(CW29,57),"Tarih hatalı")))</f>
        <v/>
      </c>
      <c r="FJ29" s="36">
        <f>IF(B29="","",IF(NOT(ISNUMBER(DH29)),"Tarih girilmedi",IFERROR(EDATE(DH29,36),"Tarih hatalı")))</f>
        <v/>
      </c>
      <c r="FK29" s="36">
        <f>IF(B29="","",IF(NOT(ISNUMBER(DH29)),"Tarih girilmedi",IFERROR(EDATE(DH29,33),"Tarih hatalı")))</f>
        <v/>
      </c>
      <c r="FL29" s="36">
        <f>IF(B29="","",IF(NOT(ISNUMBER(BW29)),"Tarih girilmedi",IFERROR(EDATE(BW29,24),"Tarih hatalı")))</f>
        <v/>
      </c>
      <c r="FM29" s="36">
        <f>IF(B29="","",IF(NOT(ISNUMBER(BW29)),"Tarih girilmedi",IFERROR(EDATE(BW29,24)-45,"Tarih hatalı")))</f>
        <v/>
      </c>
      <c r="FN29" s="36">
        <f>IF(B29="","",IF(NOT(ISNUMBER(BM29)),"Tarih girilmedi",IFERROR(BM29-180,"Tarih hatalı")))</f>
        <v/>
      </c>
      <c r="FO29" s="51">
        <f>IF(OR(B29="",NOT(ISNUMBER(BM29))),"",BM29)</f>
        <v/>
      </c>
      <c r="FP29" s="51">
        <f>IF(OR(B29="",NOT(ISNUMBER(BM29))),"",BM29-180)</f>
        <v/>
      </c>
      <c r="FQ29" s="51">
        <f>IF(OR(B29="",NOT(ISNUMBER(BR29))),"",BR29)</f>
        <v/>
      </c>
      <c r="FR29" s="51">
        <f>IF(OR(B29="",NOT(ISNUMBER(AL29))),"",AL29)</f>
        <v/>
      </c>
      <c r="FS29" s="51">
        <f>IF(OR(B29="",NOT(ISNUMBER(CW29))),"",EDATE(CW29,60))</f>
        <v/>
      </c>
      <c r="FT29" s="51">
        <f>IF(OR(B29="",NOT(ISNUMBER(DH29))),"",EDATE(DH29,36))</f>
        <v/>
      </c>
      <c r="FU29" s="51">
        <f>IF(OR(B29="",NOT(ISNUMBER(BW29))),"",EDATE(BW29,24))</f>
        <v/>
      </c>
      <c r="FV29" s="51">
        <f>IF(OR(B29="",NOT(ISNUMBER(BX29))),"",BX29)</f>
        <v/>
      </c>
      <c r="FW29" s="51">
        <f>IF(OR(B29="",NOT(ISNUMBER(EK29))),"",EDATE(EK29,12))</f>
        <v/>
      </c>
      <c r="FX29" s="51">
        <f>IF(OR(B29="",NOT(ISNUMBER(EL29))),"",EL29)</f>
        <v/>
      </c>
      <c r="FY29" s="51">
        <f>IF(OR(B29="",NOT(ISNUMBER(EN29))),"",EDATE(EN29,12))</f>
        <v/>
      </c>
      <c r="FZ29" s="51">
        <f>IF(OR(B29="",NOT(ISNUMBER(EO29))),"",EO29)</f>
        <v/>
      </c>
      <c r="GA29" s="51">
        <f>IF(OR(B29="",NOT(ISNUMBER(CK29))),"",CK29)</f>
        <v/>
      </c>
      <c r="GB29" s="51">
        <f>IF(OR(B29="",NOT(ISNUMBER(CM29))),"",CM29)</f>
        <v/>
      </c>
      <c r="GC29" s="51">
        <f>IF(OR(B29="",NOT(ISNUMBER(CQ29))),"",CQ29)</f>
        <v/>
      </c>
      <c r="GD29" s="51">
        <f>IF(OR(B29="",NOT(ISNUMBER(EI29))),"",EI29)</f>
        <v/>
      </c>
      <c r="GE29" s="51">
        <f>IF(OR(B29="",NOT(ISNUMBER(FA29))),"",FA29)</f>
        <v/>
      </c>
      <c r="GF29" s="51">
        <f>IF(OR(B29="",NOT(ISNUMBER(ES29))),"",ES29)</f>
        <v/>
      </c>
      <c r="GG29" s="51">
        <f>IF(OR(B29="",NOT(ISNUMBER(FB29))),"",FB29)</f>
        <v/>
      </c>
    </row>
    <row r="30" ht="22" customHeight="1">
      <c r="A30" s="32" t="n">
        <v>26</v>
      </c>
      <c r="B30" s="33" t="n"/>
      <c r="C30" s="34">
        <f>IF(B30="","",((P30="Süresi geçti")+(P30="Yaklaşıyor")+(P30="Tarih hatalı"))+((Q30="Süresi geçti")+(Q30="Yaklaşıyor")+(Q30="Tarih hatalı"))+((R30="Süresi geçti")+(R30="Yaklaşıyor")+(R30="Tarih hatalı"))+((S30="Süresi geçti")+(S30="Yaklaşıyor")+(S30="Tarih hatalı"))+((T30="Süresi geçti")+(T30="Yaklaşıyor")+(T30="Tarih hatalı"))+((U30="Süresi geçti")+(U30="Yaklaşıyor")+(U30="Tarih hatalı"))+((V30="Süresi geçti")+(V30="Yaklaşıyor")+(V30="Tarih hatalı")))</f>
        <v/>
      </c>
      <c r="D30" s="35">
        <f>IF(OR(B30="",E30=""),"",INDEX($FO$4:$GG$4,1,MATCH(E30,FO30:GG30,0)))</f>
        <v/>
      </c>
      <c r="E30" s="36">
        <f>IF(B30="","",IF(COUNT(FO30:GG30)=0,"",SMALL(FO30:GG30,1)))</f>
        <v/>
      </c>
      <c r="F30" s="34">
        <f>IF(E30="","",E30-TODAY())</f>
        <v/>
      </c>
      <c r="G30" s="37" t="n"/>
      <c r="H30" s="37" t="n"/>
      <c r="I30" s="37" t="n"/>
      <c r="J30" s="37" t="n"/>
      <c r="K30" s="37" t="n"/>
      <c r="L30" s="38" t="n"/>
      <c r="M30" s="37" t="n"/>
      <c r="N30" s="37" t="n"/>
      <c r="O30" s="39" t="n"/>
      <c r="P30" s="35">
        <f>IF(B30="","",IF(NOT(ISNUMBER(AL30)),"Tarih girilmedi",IFERROR(IF(TODAY()&gt;AL30,"Süresi geçti",IF(TODAY()&gt;=(AL30-60),"Yaklaşıyor","Takipte")),"Tarih hatalı")))</f>
        <v/>
      </c>
      <c r="Q30" s="35">
        <f>IF(B30="","",IF(NOT(ISNUMBER(EK30)),"Tarih girilmedi",IFERROR(IF(TODAY()&gt;EDATE(EK30,12),"Süresi geçti",IF(TODAY()&gt;=EDATE(EK30,11),"Yaklaşıyor","Takipte")),"Tarih hatalı")))</f>
        <v/>
      </c>
      <c r="R30" s="35">
        <f>IF(B30="","",IF(NOT(ISNUMBER(EN30)),"Tarih girilmedi",IFERROR(IF(TODAY()&gt;EDATE(EN30,12),"Süresi geçti",IF(TODAY()&gt;=EDATE(EN30,11),"Yaklaşıyor","Takipte")),"Tarih hatalı")))</f>
        <v/>
      </c>
      <c r="S30" s="35">
        <f>IF(B30="","",IF(NOT(ISNUMBER(CW30)),"Tarih girilmedi",IFERROR(IF(TODAY()&gt;EDATE(CW30,60),"Süresi geçti",IF(TODAY()&gt;=EDATE(CW30,57),"Yaklaşıyor","Takipte")),"Tarih hatalı")))</f>
        <v/>
      </c>
      <c r="T30" s="35">
        <f>IF(B30="","",IF(NOT(ISNUMBER(DH30)),"Tarih girilmedi",IFERROR(IF(TODAY()&gt;EDATE(DH30,36),"Süresi geçti",IF(TODAY()&gt;=EDATE(DH30,33),"Yaklaşıyor","Takipte")),"Tarih hatalı")))</f>
        <v/>
      </c>
      <c r="U30" s="35">
        <f>IF(B30="","",IF(NOT(ISNUMBER(BW30)),"Tarih girilmedi",IFERROR(IF(TODAY()&gt;EDATE(BW30,24),"Süresi geçti",IF(TODAY()&gt;=(EDATE(BW30,24)-45),"Yaklaşıyor","Takipte")),"Tarih hatalı")))</f>
        <v/>
      </c>
      <c r="V30" s="35">
        <f>IF(B30="","",IF(NOT(ISNUMBER(BM30)),"Tarih girilmedi",IFERROR(IF(TODAY()&gt;BM30,"Süresi geçti",IF(TODAY()&gt;=(BM30-180),"Yaklaşıyor","Takipte")),"Tarih hatalı")))</f>
        <v/>
      </c>
      <c r="W30" s="40" t="n"/>
      <c r="X30" s="37" t="n"/>
      <c r="Y30" s="39" t="n"/>
      <c r="Z30" s="37" t="n"/>
      <c r="AA30" s="37" t="n"/>
      <c r="AB30" s="37" t="n"/>
      <c r="AC30" s="38" t="n"/>
      <c r="AD30" s="38" t="n"/>
      <c r="AE30" s="38" t="n"/>
      <c r="AF30" s="37" t="n"/>
      <c r="AG30" s="37" t="n"/>
      <c r="AH30" s="37" t="n"/>
      <c r="AI30" s="38" t="n"/>
      <c r="AJ30" s="37" t="n"/>
      <c r="AK30" s="41" t="n"/>
      <c r="AL30" s="41" t="n"/>
      <c r="AM30" s="37" t="n"/>
      <c r="AN30" s="39" t="n"/>
      <c r="AO30" s="42" t="n"/>
      <c r="AP30" s="37" t="n"/>
      <c r="AQ30" s="37" t="n"/>
      <c r="AR30" s="37" t="n"/>
      <c r="AS30" s="37" t="n"/>
      <c r="AT30" s="37" t="n"/>
      <c r="AU30" s="37" t="n"/>
      <c r="AV30" s="37" t="n"/>
      <c r="AW30" s="37" t="n"/>
      <c r="AX30" s="43" t="n"/>
      <c r="AY30" s="37" t="n"/>
      <c r="AZ30" s="37" t="n"/>
      <c r="BA30" s="41" t="n"/>
      <c r="BB30" s="37" t="n"/>
      <c r="BC30" s="37" t="n"/>
      <c r="BD30" s="37" t="n"/>
      <c r="BE30" s="37" t="n"/>
      <c r="BF30" s="37" t="n"/>
      <c r="BG30" s="37" t="n"/>
      <c r="BH30" s="41" t="n"/>
      <c r="BI30" s="37" t="n"/>
      <c r="BJ30" s="37" t="n"/>
      <c r="BK30" s="38" t="n"/>
      <c r="BL30" s="37" t="n"/>
      <c r="BM30" s="41" t="n"/>
      <c r="BN30" s="37" t="n"/>
      <c r="BO30" s="41" t="n"/>
      <c r="BP30" s="37" t="n"/>
      <c r="BQ30" s="37" t="n"/>
      <c r="BR30" s="41" t="n"/>
      <c r="BS30" s="39" t="n"/>
      <c r="BT30" s="44" t="n"/>
      <c r="BU30" s="37" t="n"/>
      <c r="BV30" s="45" t="n"/>
      <c r="BW30" s="41" t="n"/>
      <c r="BX30" s="41" t="n"/>
      <c r="BY30" s="37" t="n"/>
      <c r="BZ30" s="37" t="n"/>
      <c r="CA30" s="37" t="n"/>
      <c r="CB30" s="37" t="n"/>
      <c r="CC30" s="39" t="n"/>
      <c r="CD30" s="39" t="n"/>
      <c r="CE30" s="46" t="n"/>
      <c r="CF30" s="37" t="n"/>
      <c r="CG30" s="37" t="n"/>
      <c r="CH30" s="45" t="n"/>
      <c r="CI30" s="37" t="n"/>
      <c r="CJ30" s="38" t="n"/>
      <c r="CK30" s="41" t="n"/>
      <c r="CL30" s="37" t="n"/>
      <c r="CM30" s="41" t="n"/>
      <c r="CN30" s="37" t="n"/>
      <c r="CO30" s="37" t="n"/>
      <c r="CP30" s="41" t="n"/>
      <c r="CQ30" s="41" t="n"/>
      <c r="CR30" s="37" t="n"/>
      <c r="CS30" s="37" t="n"/>
      <c r="CT30" s="47" t="n"/>
      <c r="CU30" s="37" t="n"/>
      <c r="CV30" s="38" t="n"/>
      <c r="CW30" s="41" t="n"/>
      <c r="CX30" s="37" t="n"/>
      <c r="CY30" s="37" t="n"/>
      <c r="CZ30" s="37" t="n"/>
      <c r="DA30" s="37" t="n"/>
      <c r="DB30" s="37" t="n"/>
      <c r="DC30" s="37" t="n"/>
      <c r="DD30" s="37" t="n"/>
      <c r="DE30" s="37" t="n"/>
      <c r="DF30" s="37" t="n"/>
      <c r="DG30" s="37" t="n"/>
      <c r="DH30" s="41" t="n"/>
      <c r="DI30" s="37" t="n"/>
      <c r="DJ30" s="37" t="n"/>
      <c r="DK30" s="37" t="n"/>
      <c r="DL30" s="41" t="n"/>
      <c r="DM30" s="37" t="n"/>
      <c r="DN30" s="45" t="n"/>
      <c r="DO30" s="41" t="n"/>
      <c r="DP30" s="48" t="n"/>
      <c r="DQ30" s="37" t="n"/>
      <c r="DR30" s="37" t="n"/>
      <c r="DS30" s="41" t="n"/>
      <c r="DT30" s="37" t="n"/>
      <c r="DU30" s="37" t="n"/>
      <c r="DV30" s="37" t="n"/>
      <c r="DW30" s="37" t="n"/>
      <c r="DX30" s="37" t="n"/>
      <c r="DY30" s="37" t="n"/>
      <c r="DZ30" s="39" t="n"/>
      <c r="EA30" s="37" t="n"/>
      <c r="EB30" s="37" t="n"/>
      <c r="EC30" s="37" t="n"/>
      <c r="ED30" s="41" t="n"/>
      <c r="EE30" s="37" t="n"/>
      <c r="EF30" s="39" t="n"/>
      <c r="EG30" s="49" t="n"/>
      <c r="EH30" s="41" t="n"/>
      <c r="EI30" s="41" t="n"/>
      <c r="EJ30" s="37" t="n"/>
      <c r="EK30" s="41" t="n"/>
      <c r="EL30" s="41" t="n"/>
      <c r="EM30" s="37" t="n"/>
      <c r="EN30" s="41" t="n"/>
      <c r="EO30" s="41" t="n"/>
      <c r="EP30" s="37" t="n"/>
      <c r="EQ30" s="39" t="n"/>
      <c r="ER30" s="45" t="n"/>
      <c r="ES30" s="41" t="n"/>
      <c r="ET30" s="39" t="n"/>
      <c r="EU30" s="39" t="n"/>
      <c r="EV30" s="41" t="n"/>
      <c r="EW30" s="39" t="n"/>
      <c r="EX30" s="37" t="n"/>
      <c r="EY30" s="37" t="n"/>
      <c r="EZ30" s="39" t="n"/>
      <c r="FA30" s="41" t="n"/>
      <c r="FB30" s="41" t="n"/>
      <c r="FC30" s="50" t="n"/>
      <c r="FD30" s="36">
        <f>IF(B30="","",IF(NOT(ISNUMBER(EK30)),"Tarih girilmedi",IFERROR(EDATE(EK30,12),"Tarih hatalı")))</f>
        <v/>
      </c>
      <c r="FE30" s="36">
        <f>IF(B30="","",IF(NOT(ISNUMBER(EK30)),"Tarih girilmedi",IFERROR(EDATE(EK30,11),"Tarih hatalı")))</f>
        <v/>
      </c>
      <c r="FF30" s="36">
        <f>IF(B30="","",IF(NOT(ISNUMBER(EN30)),"Tarih girilmedi",IFERROR(EDATE(EN30,12),"Tarih hatalı")))</f>
        <v/>
      </c>
      <c r="FG30" s="36">
        <f>IF(B30="","",IF(NOT(ISNUMBER(EN30)),"Tarih girilmedi",IFERROR(EDATE(EN30,11),"Tarih hatalı")))</f>
        <v/>
      </c>
      <c r="FH30" s="36">
        <f>IF(B30="","",IF(NOT(ISNUMBER(CW30)),"Tarih girilmedi",IFERROR(EDATE(CW30,60),"Tarih hatalı")))</f>
        <v/>
      </c>
      <c r="FI30" s="36">
        <f>IF(B30="","",IF(NOT(ISNUMBER(CW30)),"Tarih girilmedi",IFERROR(EDATE(CW30,57),"Tarih hatalı")))</f>
        <v/>
      </c>
      <c r="FJ30" s="36">
        <f>IF(B30="","",IF(NOT(ISNUMBER(DH30)),"Tarih girilmedi",IFERROR(EDATE(DH30,36),"Tarih hatalı")))</f>
        <v/>
      </c>
      <c r="FK30" s="36">
        <f>IF(B30="","",IF(NOT(ISNUMBER(DH30)),"Tarih girilmedi",IFERROR(EDATE(DH30,33),"Tarih hatalı")))</f>
        <v/>
      </c>
      <c r="FL30" s="36">
        <f>IF(B30="","",IF(NOT(ISNUMBER(BW30)),"Tarih girilmedi",IFERROR(EDATE(BW30,24),"Tarih hatalı")))</f>
        <v/>
      </c>
      <c r="FM30" s="36">
        <f>IF(B30="","",IF(NOT(ISNUMBER(BW30)),"Tarih girilmedi",IFERROR(EDATE(BW30,24)-45,"Tarih hatalı")))</f>
        <v/>
      </c>
      <c r="FN30" s="36">
        <f>IF(B30="","",IF(NOT(ISNUMBER(BM30)),"Tarih girilmedi",IFERROR(BM30-180,"Tarih hatalı")))</f>
        <v/>
      </c>
      <c r="FO30" s="51">
        <f>IF(OR(B30="",NOT(ISNUMBER(BM30))),"",BM30)</f>
        <v/>
      </c>
      <c r="FP30" s="51">
        <f>IF(OR(B30="",NOT(ISNUMBER(BM30))),"",BM30-180)</f>
        <v/>
      </c>
      <c r="FQ30" s="51">
        <f>IF(OR(B30="",NOT(ISNUMBER(BR30))),"",BR30)</f>
        <v/>
      </c>
      <c r="FR30" s="51">
        <f>IF(OR(B30="",NOT(ISNUMBER(AL30))),"",AL30)</f>
        <v/>
      </c>
      <c r="FS30" s="51">
        <f>IF(OR(B30="",NOT(ISNUMBER(CW30))),"",EDATE(CW30,60))</f>
        <v/>
      </c>
      <c r="FT30" s="51">
        <f>IF(OR(B30="",NOT(ISNUMBER(DH30))),"",EDATE(DH30,36))</f>
        <v/>
      </c>
      <c r="FU30" s="51">
        <f>IF(OR(B30="",NOT(ISNUMBER(BW30))),"",EDATE(BW30,24))</f>
        <v/>
      </c>
      <c r="FV30" s="51">
        <f>IF(OR(B30="",NOT(ISNUMBER(BX30))),"",BX30)</f>
        <v/>
      </c>
      <c r="FW30" s="51">
        <f>IF(OR(B30="",NOT(ISNUMBER(EK30))),"",EDATE(EK30,12))</f>
        <v/>
      </c>
      <c r="FX30" s="51">
        <f>IF(OR(B30="",NOT(ISNUMBER(EL30))),"",EL30)</f>
        <v/>
      </c>
      <c r="FY30" s="51">
        <f>IF(OR(B30="",NOT(ISNUMBER(EN30))),"",EDATE(EN30,12))</f>
        <v/>
      </c>
      <c r="FZ30" s="51">
        <f>IF(OR(B30="",NOT(ISNUMBER(EO30))),"",EO30)</f>
        <v/>
      </c>
      <c r="GA30" s="51">
        <f>IF(OR(B30="",NOT(ISNUMBER(CK30))),"",CK30)</f>
        <v/>
      </c>
      <c r="GB30" s="51">
        <f>IF(OR(B30="",NOT(ISNUMBER(CM30))),"",CM30)</f>
        <v/>
      </c>
      <c r="GC30" s="51">
        <f>IF(OR(B30="",NOT(ISNUMBER(CQ30))),"",CQ30)</f>
        <v/>
      </c>
      <c r="GD30" s="51">
        <f>IF(OR(B30="",NOT(ISNUMBER(EI30))),"",EI30)</f>
        <v/>
      </c>
      <c r="GE30" s="51">
        <f>IF(OR(B30="",NOT(ISNUMBER(FA30))),"",FA30)</f>
        <v/>
      </c>
      <c r="GF30" s="51">
        <f>IF(OR(B30="",NOT(ISNUMBER(ES30))),"",ES30)</f>
        <v/>
      </c>
      <c r="GG30" s="51">
        <f>IF(OR(B30="",NOT(ISNUMBER(FB30))),"",FB30)</f>
        <v/>
      </c>
    </row>
    <row r="31" ht="22" customHeight="1">
      <c r="A31" s="32" t="n">
        <v>27</v>
      </c>
      <c r="B31" s="33" t="n"/>
      <c r="C31" s="34">
        <f>IF(B31="","",((P31="Süresi geçti")+(P31="Yaklaşıyor")+(P31="Tarih hatalı"))+((Q31="Süresi geçti")+(Q31="Yaklaşıyor")+(Q31="Tarih hatalı"))+((R31="Süresi geçti")+(R31="Yaklaşıyor")+(R31="Tarih hatalı"))+((S31="Süresi geçti")+(S31="Yaklaşıyor")+(S31="Tarih hatalı"))+((T31="Süresi geçti")+(T31="Yaklaşıyor")+(T31="Tarih hatalı"))+((U31="Süresi geçti")+(U31="Yaklaşıyor")+(U31="Tarih hatalı"))+((V31="Süresi geçti")+(V31="Yaklaşıyor")+(V31="Tarih hatalı")))</f>
        <v/>
      </c>
      <c r="D31" s="35">
        <f>IF(OR(B31="",E31=""),"",INDEX($FO$4:$GG$4,1,MATCH(E31,FO31:GG31,0)))</f>
        <v/>
      </c>
      <c r="E31" s="36">
        <f>IF(B31="","",IF(COUNT(FO31:GG31)=0,"",SMALL(FO31:GG31,1)))</f>
        <v/>
      </c>
      <c r="F31" s="34">
        <f>IF(E31="","",E31-TODAY())</f>
        <v/>
      </c>
      <c r="G31" s="37" t="n"/>
      <c r="H31" s="37" t="n"/>
      <c r="I31" s="37" t="n"/>
      <c r="J31" s="37" t="n"/>
      <c r="K31" s="37" t="n"/>
      <c r="L31" s="38" t="n"/>
      <c r="M31" s="37" t="n"/>
      <c r="N31" s="37" t="n"/>
      <c r="O31" s="39" t="n"/>
      <c r="P31" s="35">
        <f>IF(B31="","",IF(NOT(ISNUMBER(AL31)),"Tarih girilmedi",IFERROR(IF(TODAY()&gt;AL31,"Süresi geçti",IF(TODAY()&gt;=(AL31-60),"Yaklaşıyor","Takipte")),"Tarih hatalı")))</f>
        <v/>
      </c>
      <c r="Q31" s="35">
        <f>IF(B31="","",IF(NOT(ISNUMBER(EK31)),"Tarih girilmedi",IFERROR(IF(TODAY()&gt;EDATE(EK31,12),"Süresi geçti",IF(TODAY()&gt;=EDATE(EK31,11),"Yaklaşıyor","Takipte")),"Tarih hatalı")))</f>
        <v/>
      </c>
      <c r="R31" s="35">
        <f>IF(B31="","",IF(NOT(ISNUMBER(EN31)),"Tarih girilmedi",IFERROR(IF(TODAY()&gt;EDATE(EN31,12),"Süresi geçti",IF(TODAY()&gt;=EDATE(EN31,11),"Yaklaşıyor","Takipte")),"Tarih hatalı")))</f>
        <v/>
      </c>
      <c r="S31" s="35">
        <f>IF(B31="","",IF(NOT(ISNUMBER(CW31)),"Tarih girilmedi",IFERROR(IF(TODAY()&gt;EDATE(CW31,60),"Süresi geçti",IF(TODAY()&gt;=EDATE(CW31,57),"Yaklaşıyor","Takipte")),"Tarih hatalı")))</f>
        <v/>
      </c>
      <c r="T31" s="35">
        <f>IF(B31="","",IF(NOT(ISNUMBER(DH31)),"Tarih girilmedi",IFERROR(IF(TODAY()&gt;EDATE(DH31,36),"Süresi geçti",IF(TODAY()&gt;=EDATE(DH31,33),"Yaklaşıyor","Takipte")),"Tarih hatalı")))</f>
        <v/>
      </c>
      <c r="U31" s="35">
        <f>IF(B31="","",IF(NOT(ISNUMBER(BW31)),"Tarih girilmedi",IFERROR(IF(TODAY()&gt;EDATE(BW31,24),"Süresi geçti",IF(TODAY()&gt;=(EDATE(BW31,24)-45),"Yaklaşıyor","Takipte")),"Tarih hatalı")))</f>
        <v/>
      </c>
      <c r="V31" s="35">
        <f>IF(B31="","",IF(NOT(ISNUMBER(BM31)),"Tarih girilmedi",IFERROR(IF(TODAY()&gt;BM31,"Süresi geçti",IF(TODAY()&gt;=(BM31-180),"Yaklaşıyor","Takipte")),"Tarih hatalı")))</f>
        <v/>
      </c>
      <c r="W31" s="40" t="n"/>
      <c r="X31" s="37" t="n"/>
      <c r="Y31" s="39" t="n"/>
      <c r="Z31" s="37" t="n"/>
      <c r="AA31" s="37" t="n"/>
      <c r="AB31" s="37" t="n"/>
      <c r="AC31" s="38" t="n"/>
      <c r="AD31" s="38" t="n"/>
      <c r="AE31" s="38" t="n"/>
      <c r="AF31" s="37" t="n"/>
      <c r="AG31" s="37" t="n"/>
      <c r="AH31" s="37" t="n"/>
      <c r="AI31" s="38" t="n"/>
      <c r="AJ31" s="37" t="n"/>
      <c r="AK31" s="41" t="n"/>
      <c r="AL31" s="41" t="n"/>
      <c r="AM31" s="37" t="n"/>
      <c r="AN31" s="39" t="n"/>
      <c r="AO31" s="42" t="n"/>
      <c r="AP31" s="37" t="n"/>
      <c r="AQ31" s="37" t="n"/>
      <c r="AR31" s="37" t="n"/>
      <c r="AS31" s="37" t="n"/>
      <c r="AT31" s="37" t="n"/>
      <c r="AU31" s="37" t="n"/>
      <c r="AV31" s="37" t="n"/>
      <c r="AW31" s="37" t="n"/>
      <c r="AX31" s="43" t="n"/>
      <c r="AY31" s="37" t="n"/>
      <c r="AZ31" s="37" t="n"/>
      <c r="BA31" s="41" t="n"/>
      <c r="BB31" s="37" t="n"/>
      <c r="BC31" s="37" t="n"/>
      <c r="BD31" s="37" t="n"/>
      <c r="BE31" s="37" t="n"/>
      <c r="BF31" s="37" t="n"/>
      <c r="BG31" s="37" t="n"/>
      <c r="BH31" s="41" t="n"/>
      <c r="BI31" s="37" t="n"/>
      <c r="BJ31" s="37" t="n"/>
      <c r="BK31" s="38" t="n"/>
      <c r="BL31" s="37" t="n"/>
      <c r="BM31" s="41" t="n"/>
      <c r="BN31" s="37" t="n"/>
      <c r="BO31" s="41" t="n"/>
      <c r="BP31" s="37" t="n"/>
      <c r="BQ31" s="37" t="n"/>
      <c r="BR31" s="41" t="n"/>
      <c r="BS31" s="39" t="n"/>
      <c r="BT31" s="44" t="n"/>
      <c r="BU31" s="37" t="n"/>
      <c r="BV31" s="45" t="n"/>
      <c r="BW31" s="41" t="n"/>
      <c r="BX31" s="41" t="n"/>
      <c r="BY31" s="37" t="n"/>
      <c r="BZ31" s="37" t="n"/>
      <c r="CA31" s="37" t="n"/>
      <c r="CB31" s="37" t="n"/>
      <c r="CC31" s="39" t="n"/>
      <c r="CD31" s="39" t="n"/>
      <c r="CE31" s="46" t="n"/>
      <c r="CF31" s="37" t="n"/>
      <c r="CG31" s="37" t="n"/>
      <c r="CH31" s="45" t="n"/>
      <c r="CI31" s="37" t="n"/>
      <c r="CJ31" s="38" t="n"/>
      <c r="CK31" s="41" t="n"/>
      <c r="CL31" s="37" t="n"/>
      <c r="CM31" s="41" t="n"/>
      <c r="CN31" s="37" t="n"/>
      <c r="CO31" s="37" t="n"/>
      <c r="CP31" s="41" t="n"/>
      <c r="CQ31" s="41" t="n"/>
      <c r="CR31" s="37" t="n"/>
      <c r="CS31" s="37" t="n"/>
      <c r="CT31" s="47" t="n"/>
      <c r="CU31" s="37" t="n"/>
      <c r="CV31" s="38" t="n"/>
      <c r="CW31" s="41" t="n"/>
      <c r="CX31" s="37" t="n"/>
      <c r="CY31" s="37" t="n"/>
      <c r="CZ31" s="37" t="n"/>
      <c r="DA31" s="37" t="n"/>
      <c r="DB31" s="37" t="n"/>
      <c r="DC31" s="37" t="n"/>
      <c r="DD31" s="37" t="n"/>
      <c r="DE31" s="37" t="n"/>
      <c r="DF31" s="37" t="n"/>
      <c r="DG31" s="37" t="n"/>
      <c r="DH31" s="41" t="n"/>
      <c r="DI31" s="37" t="n"/>
      <c r="DJ31" s="37" t="n"/>
      <c r="DK31" s="37" t="n"/>
      <c r="DL31" s="41" t="n"/>
      <c r="DM31" s="37" t="n"/>
      <c r="DN31" s="45" t="n"/>
      <c r="DO31" s="41" t="n"/>
      <c r="DP31" s="48" t="n"/>
      <c r="DQ31" s="37" t="n"/>
      <c r="DR31" s="37" t="n"/>
      <c r="DS31" s="41" t="n"/>
      <c r="DT31" s="37" t="n"/>
      <c r="DU31" s="37" t="n"/>
      <c r="DV31" s="37" t="n"/>
      <c r="DW31" s="37" t="n"/>
      <c r="DX31" s="37" t="n"/>
      <c r="DY31" s="37" t="n"/>
      <c r="DZ31" s="39" t="n"/>
      <c r="EA31" s="37" t="n"/>
      <c r="EB31" s="37" t="n"/>
      <c r="EC31" s="37" t="n"/>
      <c r="ED31" s="41" t="n"/>
      <c r="EE31" s="37" t="n"/>
      <c r="EF31" s="39" t="n"/>
      <c r="EG31" s="49" t="n"/>
      <c r="EH31" s="41" t="n"/>
      <c r="EI31" s="41" t="n"/>
      <c r="EJ31" s="37" t="n"/>
      <c r="EK31" s="41" t="n"/>
      <c r="EL31" s="41" t="n"/>
      <c r="EM31" s="37" t="n"/>
      <c r="EN31" s="41" t="n"/>
      <c r="EO31" s="41" t="n"/>
      <c r="EP31" s="37" t="n"/>
      <c r="EQ31" s="39" t="n"/>
      <c r="ER31" s="45" t="n"/>
      <c r="ES31" s="41" t="n"/>
      <c r="ET31" s="39" t="n"/>
      <c r="EU31" s="39" t="n"/>
      <c r="EV31" s="41" t="n"/>
      <c r="EW31" s="39" t="n"/>
      <c r="EX31" s="37" t="n"/>
      <c r="EY31" s="37" t="n"/>
      <c r="EZ31" s="39" t="n"/>
      <c r="FA31" s="41" t="n"/>
      <c r="FB31" s="41" t="n"/>
      <c r="FC31" s="50" t="n"/>
      <c r="FD31" s="36">
        <f>IF(B31="","",IF(NOT(ISNUMBER(EK31)),"Tarih girilmedi",IFERROR(EDATE(EK31,12),"Tarih hatalı")))</f>
        <v/>
      </c>
      <c r="FE31" s="36">
        <f>IF(B31="","",IF(NOT(ISNUMBER(EK31)),"Tarih girilmedi",IFERROR(EDATE(EK31,11),"Tarih hatalı")))</f>
        <v/>
      </c>
      <c r="FF31" s="36">
        <f>IF(B31="","",IF(NOT(ISNUMBER(EN31)),"Tarih girilmedi",IFERROR(EDATE(EN31,12),"Tarih hatalı")))</f>
        <v/>
      </c>
      <c r="FG31" s="36">
        <f>IF(B31="","",IF(NOT(ISNUMBER(EN31)),"Tarih girilmedi",IFERROR(EDATE(EN31,11),"Tarih hatalı")))</f>
        <v/>
      </c>
      <c r="FH31" s="36">
        <f>IF(B31="","",IF(NOT(ISNUMBER(CW31)),"Tarih girilmedi",IFERROR(EDATE(CW31,60),"Tarih hatalı")))</f>
        <v/>
      </c>
      <c r="FI31" s="36">
        <f>IF(B31="","",IF(NOT(ISNUMBER(CW31)),"Tarih girilmedi",IFERROR(EDATE(CW31,57),"Tarih hatalı")))</f>
        <v/>
      </c>
      <c r="FJ31" s="36">
        <f>IF(B31="","",IF(NOT(ISNUMBER(DH31)),"Tarih girilmedi",IFERROR(EDATE(DH31,36),"Tarih hatalı")))</f>
        <v/>
      </c>
      <c r="FK31" s="36">
        <f>IF(B31="","",IF(NOT(ISNUMBER(DH31)),"Tarih girilmedi",IFERROR(EDATE(DH31,33),"Tarih hatalı")))</f>
        <v/>
      </c>
      <c r="FL31" s="36">
        <f>IF(B31="","",IF(NOT(ISNUMBER(BW31)),"Tarih girilmedi",IFERROR(EDATE(BW31,24),"Tarih hatalı")))</f>
        <v/>
      </c>
      <c r="FM31" s="36">
        <f>IF(B31="","",IF(NOT(ISNUMBER(BW31)),"Tarih girilmedi",IFERROR(EDATE(BW31,24)-45,"Tarih hatalı")))</f>
        <v/>
      </c>
      <c r="FN31" s="36">
        <f>IF(B31="","",IF(NOT(ISNUMBER(BM31)),"Tarih girilmedi",IFERROR(BM31-180,"Tarih hatalı")))</f>
        <v/>
      </c>
      <c r="FO31" s="51">
        <f>IF(OR(B31="",NOT(ISNUMBER(BM31))),"",BM31)</f>
        <v/>
      </c>
      <c r="FP31" s="51">
        <f>IF(OR(B31="",NOT(ISNUMBER(BM31))),"",BM31-180)</f>
        <v/>
      </c>
      <c r="FQ31" s="51">
        <f>IF(OR(B31="",NOT(ISNUMBER(BR31))),"",BR31)</f>
        <v/>
      </c>
      <c r="FR31" s="51">
        <f>IF(OR(B31="",NOT(ISNUMBER(AL31))),"",AL31)</f>
        <v/>
      </c>
      <c r="FS31" s="51">
        <f>IF(OR(B31="",NOT(ISNUMBER(CW31))),"",EDATE(CW31,60))</f>
        <v/>
      </c>
      <c r="FT31" s="51">
        <f>IF(OR(B31="",NOT(ISNUMBER(DH31))),"",EDATE(DH31,36))</f>
        <v/>
      </c>
      <c r="FU31" s="51">
        <f>IF(OR(B31="",NOT(ISNUMBER(BW31))),"",EDATE(BW31,24))</f>
        <v/>
      </c>
      <c r="FV31" s="51">
        <f>IF(OR(B31="",NOT(ISNUMBER(BX31))),"",BX31)</f>
        <v/>
      </c>
      <c r="FW31" s="51">
        <f>IF(OR(B31="",NOT(ISNUMBER(EK31))),"",EDATE(EK31,12))</f>
        <v/>
      </c>
      <c r="FX31" s="51">
        <f>IF(OR(B31="",NOT(ISNUMBER(EL31))),"",EL31)</f>
        <v/>
      </c>
      <c r="FY31" s="51">
        <f>IF(OR(B31="",NOT(ISNUMBER(EN31))),"",EDATE(EN31,12))</f>
        <v/>
      </c>
      <c r="FZ31" s="51">
        <f>IF(OR(B31="",NOT(ISNUMBER(EO31))),"",EO31)</f>
        <v/>
      </c>
      <c r="GA31" s="51">
        <f>IF(OR(B31="",NOT(ISNUMBER(CK31))),"",CK31)</f>
        <v/>
      </c>
      <c r="GB31" s="51">
        <f>IF(OR(B31="",NOT(ISNUMBER(CM31))),"",CM31)</f>
        <v/>
      </c>
      <c r="GC31" s="51">
        <f>IF(OR(B31="",NOT(ISNUMBER(CQ31))),"",CQ31)</f>
        <v/>
      </c>
      <c r="GD31" s="51">
        <f>IF(OR(B31="",NOT(ISNUMBER(EI31))),"",EI31)</f>
        <v/>
      </c>
      <c r="GE31" s="51">
        <f>IF(OR(B31="",NOT(ISNUMBER(FA31))),"",FA31)</f>
        <v/>
      </c>
      <c r="GF31" s="51">
        <f>IF(OR(B31="",NOT(ISNUMBER(ES31))),"",ES31)</f>
        <v/>
      </c>
      <c r="GG31" s="51">
        <f>IF(OR(B31="",NOT(ISNUMBER(FB31))),"",FB31)</f>
        <v/>
      </c>
    </row>
    <row r="32" ht="22" customHeight="1">
      <c r="A32" s="32" t="n">
        <v>28</v>
      </c>
      <c r="B32" s="33" t="n"/>
      <c r="C32" s="34">
        <f>IF(B32="","",((P32="Süresi geçti")+(P32="Yaklaşıyor")+(P32="Tarih hatalı"))+((Q32="Süresi geçti")+(Q32="Yaklaşıyor")+(Q32="Tarih hatalı"))+((R32="Süresi geçti")+(R32="Yaklaşıyor")+(R32="Tarih hatalı"))+((S32="Süresi geçti")+(S32="Yaklaşıyor")+(S32="Tarih hatalı"))+((T32="Süresi geçti")+(T32="Yaklaşıyor")+(T32="Tarih hatalı"))+((U32="Süresi geçti")+(U32="Yaklaşıyor")+(U32="Tarih hatalı"))+((V32="Süresi geçti")+(V32="Yaklaşıyor")+(V32="Tarih hatalı")))</f>
        <v/>
      </c>
      <c r="D32" s="35">
        <f>IF(OR(B32="",E32=""),"",INDEX($FO$4:$GG$4,1,MATCH(E32,FO32:GG32,0)))</f>
        <v/>
      </c>
      <c r="E32" s="36">
        <f>IF(B32="","",IF(COUNT(FO32:GG32)=0,"",SMALL(FO32:GG32,1)))</f>
        <v/>
      </c>
      <c r="F32" s="34">
        <f>IF(E32="","",E32-TODAY())</f>
        <v/>
      </c>
      <c r="G32" s="37" t="n"/>
      <c r="H32" s="37" t="n"/>
      <c r="I32" s="37" t="n"/>
      <c r="J32" s="37" t="n"/>
      <c r="K32" s="37" t="n"/>
      <c r="L32" s="38" t="n"/>
      <c r="M32" s="37" t="n"/>
      <c r="N32" s="37" t="n"/>
      <c r="O32" s="39" t="n"/>
      <c r="P32" s="35">
        <f>IF(B32="","",IF(NOT(ISNUMBER(AL32)),"Tarih girilmedi",IFERROR(IF(TODAY()&gt;AL32,"Süresi geçti",IF(TODAY()&gt;=(AL32-60),"Yaklaşıyor","Takipte")),"Tarih hatalı")))</f>
        <v/>
      </c>
      <c r="Q32" s="35">
        <f>IF(B32="","",IF(NOT(ISNUMBER(EK32)),"Tarih girilmedi",IFERROR(IF(TODAY()&gt;EDATE(EK32,12),"Süresi geçti",IF(TODAY()&gt;=EDATE(EK32,11),"Yaklaşıyor","Takipte")),"Tarih hatalı")))</f>
        <v/>
      </c>
      <c r="R32" s="35">
        <f>IF(B32="","",IF(NOT(ISNUMBER(EN32)),"Tarih girilmedi",IFERROR(IF(TODAY()&gt;EDATE(EN32,12),"Süresi geçti",IF(TODAY()&gt;=EDATE(EN32,11),"Yaklaşıyor","Takipte")),"Tarih hatalı")))</f>
        <v/>
      </c>
      <c r="S32" s="35">
        <f>IF(B32="","",IF(NOT(ISNUMBER(CW32)),"Tarih girilmedi",IFERROR(IF(TODAY()&gt;EDATE(CW32,60),"Süresi geçti",IF(TODAY()&gt;=EDATE(CW32,57),"Yaklaşıyor","Takipte")),"Tarih hatalı")))</f>
        <v/>
      </c>
      <c r="T32" s="35">
        <f>IF(B32="","",IF(NOT(ISNUMBER(DH32)),"Tarih girilmedi",IFERROR(IF(TODAY()&gt;EDATE(DH32,36),"Süresi geçti",IF(TODAY()&gt;=EDATE(DH32,33),"Yaklaşıyor","Takipte")),"Tarih hatalı")))</f>
        <v/>
      </c>
      <c r="U32" s="35">
        <f>IF(B32="","",IF(NOT(ISNUMBER(BW32)),"Tarih girilmedi",IFERROR(IF(TODAY()&gt;EDATE(BW32,24),"Süresi geçti",IF(TODAY()&gt;=(EDATE(BW32,24)-45),"Yaklaşıyor","Takipte")),"Tarih hatalı")))</f>
        <v/>
      </c>
      <c r="V32" s="35">
        <f>IF(B32="","",IF(NOT(ISNUMBER(BM32)),"Tarih girilmedi",IFERROR(IF(TODAY()&gt;BM32,"Süresi geçti",IF(TODAY()&gt;=(BM32-180),"Yaklaşıyor","Takipte")),"Tarih hatalı")))</f>
        <v/>
      </c>
      <c r="W32" s="40" t="n"/>
      <c r="X32" s="37" t="n"/>
      <c r="Y32" s="39" t="n"/>
      <c r="Z32" s="37" t="n"/>
      <c r="AA32" s="37" t="n"/>
      <c r="AB32" s="37" t="n"/>
      <c r="AC32" s="38" t="n"/>
      <c r="AD32" s="38" t="n"/>
      <c r="AE32" s="38" t="n"/>
      <c r="AF32" s="37" t="n"/>
      <c r="AG32" s="37" t="n"/>
      <c r="AH32" s="37" t="n"/>
      <c r="AI32" s="38" t="n"/>
      <c r="AJ32" s="37" t="n"/>
      <c r="AK32" s="41" t="n"/>
      <c r="AL32" s="41" t="n"/>
      <c r="AM32" s="37" t="n"/>
      <c r="AN32" s="39" t="n"/>
      <c r="AO32" s="42" t="n"/>
      <c r="AP32" s="37" t="n"/>
      <c r="AQ32" s="37" t="n"/>
      <c r="AR32" s="37" t="n"/>
      <c r="AS32" s="37" t="n"/>
      <c r="AT32" s="37" t="n"/>
      <c r="AU32" s="37" t="n"/>
      <c r="AV32" s="37" t="n"/>
      <c r="AW32" s="37" t="n"/>
      <c r="AX32" s="43" t="n"/>
      <c r="AY32" s="37" t="n"/>
      <c r="AZ32" s="37" t="n"/>
      <c r="BA32" s="41" t="n"/>
      <c r="BB32" s="37" t="n"/>
      <c r="BC32" s="37" t="n"/>
      <c r="BD32" s="37" t="n"/>
      <c r="BE32" s="37" t="n"/>
      <c r="BF32" s="37" t="n"/>
      <c r="BG32" s="37" t="n"/>
      <c r="BH32" s="41" t="n"/>
      <c r="BI32" s="37" t="n"/>
      <c r="BJ32" s="37" t="n"/>
      <c r="BK32" s="38" t="n"/>
      <c r="BL32" s="37" t="n"/>
      <c r="BM32" s="41" t="n"/>
      <c r="BN32" s="37" t="n"/>
      <c r="BO32" s="41" t="n"/>
      <c r="BP32" s="37" t="n"/>
      <c r="BQ32" s="37" t="n"/>
      <c r="BR32" s="41" t="n"/>
      <c r="BS32" s="39" t="n"/>
      <c r="BT32" s="44" t="n"/>
      <c r="BU32" s="37" t="n"/>
      <c r="BV32" s="45" t="n"/>
      <c r="BW32" s="41" t="n"/>
      <c r="BX32" s="41" t="n"/>
      <c r="BY32" s="37" t="n"/>
      <c r="BZ32" s="37" t="n"/>
      <c r="CA32" s="37" t="n"/>
      <c r="CB32" s="37" t="n"/>
      <c r="CC32" s="39" t="n"/>
      <c r="CD32" s="39" t="n"/>
      <c r="CE32" s="46" t="n"/>
      <c r="CF32" s="37" t="n"/>
      <c r="CG32" s="37" t="n"/>
      <c r="CH32" s="45" t="n"/>
      <c r="CI32" s="37" t="n"/>
      <c r="CJ32" s="38" t="n"/>
      <c r="CK32" s="41" t="n"/>
      <c r="CL32" s="37" t="n"/>
      <c r="CM32" s="41" t="n"/>
      <c r="CN32" s="37" t="n"/>
      <c r="CO32" s="37" t="n"/>
      <c r="CP32" s="41" t="n"/>
      <c r="CQ32" s="41" t="n"/>
      <c r="CR32" s="37" t="n"/>
      <c r="CS32" s="37" t="n"/>
      <c r="CT32" s="47" t="n"/>
      <c r="CU32" s="37" t="n"/>
      <c r="CV32" s="38" t="n"/>
      <c r="CW32" s="41" t="n"/>
      <c r="CX32" s="37" t="n"/>
      <c r="CY32" s="37" t="n"/>
      <c r="CZ32" s="37" t="n"/>
      <c r="DA32" s="37" t="n"/>
      <c r="DB32" s="37" t="n"/>
      <c r="DC32" s="37" t="n"/>
      <c r="DD32" s="37" t="n"/>
      <c r="DE32" s="37" t="n"/>
      <c r="DF32" s="37" t="n"/>
      <c r="DG32" s="37" t="n"/>
      <c r="DH32" s="41" t="n"/>
      <c r="DI32" s="37" t="n"/>
      <c r="DJ32" s="37" t="n"/>
      <c r="DK32" s="37" t="n"/>
      <c r="DL32" s="41" t="n"/>
      <c r="DM32" s="37" t="n"/>
      <c r="DN32" s="45" t="n"/>
      <c r="DO32" s="41" t="n"/>
      <c r="DP32" s="48" t="n"/>
      <c r="DQ32" s="37" t="n"/>
      <c r="DR32" s="37" t="n"/>
      <c r="DS32" s="41" t="n"/>
      <c r="DT32" s="37" t="n"/>
      <c r="DU32" s="37" t="n"/>
      <c r="DV32" s="37" t="n"/>
      <c r="DW32" s="37" t="n"/>
      <c r="DX32" s="37" t="n"/>
      <c r="DY32" s="37" t="n"/>
      <c r="DZ32" s="39" t="n"/>
      <c r="EA32" s="37" t="n"/>
      <c r="EB32" s="37" t="n"/>
      <c r="EC32" s="37" t="n"/>
      <c r="ED32" s="41" t="n"/>
      <c r="EE32" s="37" t="n"/>
      <c r="EF32" s="39" t="n"/>
      <c r="EG32" s="49" t="n"/>
      <c r="EH32" s="41" t="n"/>
      <c r="EI32" s="41" t="n"/>
      <c r="EJ32" s="37" t="n"/>
      <c r="EK32" s="41" t="n"/>
      <c r="EL32" s="41" t="n"/>
      <c r="EM32" s="37" t="n"/>
      <c r="EN32" s="41" t="n"/>
      <c r="EO32" s="41" t="n"/>
      <c r="EP32" s="37" t="n"/>
      <c r="EQ32" s="39" t="n"/>
      <c r="ER32" s="45" t="n"/>
      <c r="ES32" s="41" t="n"/>
      <c r="ET32" s="39" t="n"/>
      <c r="EU32" s="39" t="n"/>
      <c r="EV32" s="41" t="n"/>
      <c r="EW32" s="39" t="n"/>
      <c r="EX32" s="37" t="n"/>
      <c r="EY32" s="37" t="n"/>
      <c r="EZ32" s="39" t="n"/>
      <c r="FA32" s="41" t="n"/>
      <c r="FB32" s="41" t="n"/>
      <c r="FC32" s="50" t="n"/>
      <c r="FD32" s="36">
        <f>IF(B32="","",IF(NOT(ISNUMBER(EK32)),"Tarih girilmedi",IFERROR(EDATE(EK32,12),"Tarih hatalı")))</f>
        <v/>
      </c>
      <c r="FE32" s="36">
        <f>IF(B32="","",IF(NOT(ISNUMBER(EK32)),"Tarih girilmedi",IFERROR(EDATE(EK32,11),"Tarih hatalı")))</f>
        <v/>
      </c>
      <c r="FF32" s="36">
        <f>IF(B32="","",IF(NOT(ISNUMBER(EN32)),"Tarih girilmedi",IFERROR(EDATE(EN32,12),"Tarih hatalı")))</f>
        <v/>
      </c>
      <c r="FG32" s="36">
        <f>IF(B32="","",IF(NOT(ISNUMBER(EN32)),"Tarih girilmedi",IFERROR(EDATE(EN32,11),"Tarih hatalı")))</f>
        <v/>
      </c>
      <c r="FH32" s="36">
        <f>IF(B32="","",IF(NOT(ISNUMBER(CW32)),"Tarih girilmedi",IFERROR(EDATE(CW32,60),"Tarih hatalı")))</f>
        <v/>
      </c>
      <c r="FI32" s="36">
        <f>IF(B32="","",IF(NOT(ISNUMBER(CW32)),"Tarih girilmedi",IFERROR(EDATE(CW32,57),"Tarih hatalı")))</f>
        <v/>
      </c>
      <c r="FJ32" s="36">
        <f>IF(B32="","",IF(NOT(ISNUMBER(DH32)),"Tarih girilmedi",IFERROR(EDATE(DH32,36),"Tarih hatalı")))</f>
        <v/>
      </c>
      <c r="FK32" s="36">
        <f>IF(B32="","",IF(NOT(ISNUMBER(DH32)),"Tarih girilmedi",IFERROR(EDATE(DH32,33),"Tarih hatalı")))</f>
        <v/>
      </c>
      <c r="FL32" s="36">
        <f>IF(B32="","",IF(NOT(ISNUMBER(BW32)),"Tarih girilmedi",IFERROR(EDATE(BW32,24),"Tarih hatalı")))</f>
        <v/>
      </c>
      <c r="FM32" s="36">
        <f>IF(B32="","",IF(NOT(ISNUMBER(BW32)),"Tarih girilmedi",IFERROR(EDATE(BW32,24)-45,"Tarih hatalı")))</f>
        <v/>
      </c>
      <c r="FN32" s="36">
        <f>IF(B32="","",IF(NOT(ISNUMBER(BM32)),"Tarih girilmedi",IFERROR(BM32-180,"Tarih hatalı")))</f>
        <v/>
      </c>
      <c r="FO32" s="51">
        <f>IF(OR(B32="",NOT(ISNUMBER(BM32))),"",BM32)</f>
        <v/>
      </c>
      <c r="FP32" s="51">
        <f>IF(OR(B32="",NOT(ISNUMBER(BM32))),"",BM32-180)</f>
        <v/>
      </c>
      <c r="FQ32" s="51">
        <f>IF(OR(B32="",NOT(ISNUMBER(BR32))),"",BR32)</f>
        <v/>
      </c>
      <c r="FR32" s="51">
        <f>IF(OR(B32="",NOT(ISNUMBER(AL32))),"",AL32)</f>
        <v/>
      </c>
      <c r="FS32" s="51">
        <f>IF(OR(B32="",NOT(ISNUMBER(CW32))),"",EDATE(CW32,60))</f>
        <v/>
      </c>
      <c r="FT32" s="51">
        <f>IF(OR(B32="",NOT(ISNUMBER(DH32))),"",EDATE(DH32,36))</f>
        <v/>
      </c>
      <c r="FU32" s="51">
        <f>IF(OR(B32="",NOT(ISNUMBER(BW32))),"",EDATE(BW32,24))</f>
        <v/>
      </c>
      <c r="FV32" s="51">
        <f>IF(OR(B32="",NOT(ISNUMBER(BX32))),"",BX32)</f>
        <v/>
      </c>
      <c r="FW32" s="51">
        <f>IF(OR(B32="",NOT(ISNUMBER(EK32))),"",EDATE(EK32,12))</f>
        <v/>
      </c>
      <c r="FX32" s="51">
        <f>IF(OR(B32="",NOT(ISNUMBER(EL32))),"",EL32)</f>
        <v/>
      </c>
      <c r="FY32" s="51">
        <f>IF(OR(B32="",NOT(ISNUMBER(EN32))),"",EDATE(EN32,12))</f>
        <v/>
      </c>
      <c r="FZ32" s="51">
        <f>IF(OR(B32="",NOT(ISNUMBER(EO32))),"",EO32)</f>
        <v/>
      </c>
      <c r="GA32" s="51">
        <f>IF(OR(B32="",NOT(ISNUMBER(CK32))),"",CK32)</f>
        <v/>
      </c>
      <c r="GB32" s="51">
        <f>IF(OR(B32="",NOT(ISNUMBER(CM32))),"",CM32)</f>
        <v/>
      </c>
      <c r="GC32" s="51">
        <f>IF(OR(B32="",NOT(ISNUMBER(CQ32))),"",CQ32)</f>
        <v/>
      </c>
      <c r="GD32" s="51">
        <f>IF(OR(B32="",NOT(ISNUMBER(EI32))),"",EI32)</f>
        <v/>
      </c>
      <c r="GE32" s="51">
        <f>IF(OR(B32="",NOT(ISNUMBER(FA32))),"",FA32)</f>
        <v/>
      </c>
      <c r="GF32" s="51">
        <f>IF(OR(B32="",NOT(ISNUMBER(ES32))),"",ES32)</f>
        <v/>
      </c>
      <c r="GG32" s="51">
        <f>IF(OR(B32="",NOT(ISNUMBER(FB32))),"",FB32)</f>
        <v/>
      </c>
    </row>
    <row r="33" ht="22" customHeight="1">
      <c r="A33" s="32" t="n">
        <v>29</v>
      </c>
      <c r="B33" s="33" t="n"/>
      <c r="C33" s="34">
        <f>IF(B33="","",((P33="Süresi geçti")+(P33="Yaklaşıyor")+(P33="Tarih hatalı"))+((Q33="Süresi geçti")+(Q33="Yaklaşıyor")+(Q33="Tarih hatalı"))+((R33="Süresi geçti")+(R33="Yaklaşıyor")+(R33="Tarih hatalı"))+((S33="Süresi geçti")+(S33="Yaklaşıyor")+(S33="Tarih hatalı"))+((T33="Süresi geçti")+(T33="Yaklaşıyor")+(T33="Tarih hatalı"))+((U33="Süresi geçti")+(U33="Yaklaşıyor")+(U33="Tarih hatalı"))+((V33="Süresi geçti")+(V33="Yaklaşıyor")+(V33="Tarih hatalı")))</f>
        <v/>
      </c>
      <c r="D33" s="35">
        <f>IF(OR(B33="",E33=""),"",INDEX($FO$4:$GG$4,1,MATCH(E33,FO33:GG33,0)))</f>
        <v/>
      </c>
      <c r="E33" s="36">
        <f>IF(B33="","",IF(COUNT(FO33:GG33)=0,"",SMALL(FO33:GG33,1)))</f>
        <v/>
      </c>
      <c r="F33" s="34">
        <f>IF(E33="","",E33-TODAY())</f>
        <v/>
      </c>
      <c r="G33" s="37" t="n"/>
      <c r="H33" s="37" t="n"/>
      <c r="I33" s="37" t="n"/>
      <c r="J33" s="37" t="n"/>
      <c r="K33" s="37" t="n"/>
      <c r="L33" s="38" t="n"/>
      <c r="M33" s="37" t="n"/>
      <c r="N33" s="37" t="n"/>
      <c r="O33" s="39" t="n"/>
      <c r="P33" s="35">
        <f>IF(B33="","",IF(NOT(ISNUMBER(AL33)),"Tarih girilmedi",IFERROR(IF(TODAY()&gt;AL33,"Süresi geçti",IF(TODAY()&gt;=(AL33-60),"Yaklaşıyor","Takipte")),"Tarih hatalı")))</f>
        <v/>
      </c>
      <c r="Q33" s="35">
        <f>IF(B33="","",IF(NOT(ISNUMBER(EK33)),"Tarih girilmedi",IFERROR(IF(TODAY()&gt;EDATE(EK33,12),"Süresi geçti",IF(TODAY()&gt;=EDATE(EK33,11),"Yaklaşıyor","Takipte")),"Tarih hatalı")))</f>
        <v/>
      </c>
      <c r="R33" s="35">
        <f>IF(B33="","",IF(NOT(ISNUMBER(EN33)),"Tarih girilmedi",IFERROR(IF(TODAY()&gt;EDATE(EN33,12),"Süresi geçti",IF(TODAY()&gt;=EDATE(EN33,11),"Yaklaşıyor","Takipte")),"Tarih hatalı")))</f>
        <v/>
      </c>
      <c r="S33" s="35">
        <f>IF(B33="","",IF(NOT(ISNUMBER(CW33)),"Tarih girilmedi",IFERROR(IF(TODAY()&gt;EDATE(CW33,60),"Süresi geçti",IF(TODAY()&gt;=EDATE(CW33,57),"Yaklaşıyor","Takipte")),"Tarih hatalı")))</f>
        <v/>
      </c>
      <c r="T33" s="35">
        <f>IF(B33="","",IF(NOT(ISNUMBER(DH33)),"Tarih girilmedi",IFERROR(IF(TODAY()&gt;EDATE(DH33,36),"Süresi geçti",IF(TODAY()&gt;=EDATE(DH33,33),"Yaklaşıyor","Takipte")),"Tarih hatalı")))</f>
        <v/>
      </c>
      <c r="U33" s="35">
        <f>IF(B33="","",IF(NOT(ISNUMBER(BW33)),"Tarih girilmedi",IFERROR(IF(TODAY()&gt;EDATE(BW33,24),"Süresi geçti",IF(TODAY()&gt;=(EDATE(BW33,24)-45),"Yaklaşıyor","Takipte")),"Tarih hatalı")))</f>
        <v/>
      </c>
      <c r="V33" s="35">
        <f>IF(B33="","",IF(NOT(ISNUMBER(BM33)),"Tarih girilmedi",IFERROR(IF(TODAY()&gt;BM33,"Süresi geçti",IF(TODAY()&gt;=(BM33-180),"Yaklaşıyor","Takipte")),"Tarih hatalı")))</f>
        <v/>
      </c>
      <c r="W33" s="40" t="n"/>
      <c r="X33" s="37" t="n"/>
      <c r="Y33" s="39" t="n"/>
      <c r="Z33" s="37" t="n"/>
      <c r="AA33" s="37" t="n"/>
      <c r="AB33" s="37" t="n"/>
      <c r="AC33" s="38" t="n"/>
      <c r="AD33" s="38" t="n"/>
      <c r="AE33" s="38" t="n"/>
      <c r="AF33" s="37" t="n"/>
      <c r="AG33" s="37" t="n"/>
      <c r="AH33" s="37" t="n"/>
      <c r="AI33" s="38" t="n"/>
      <c r="AJ33" s="37" t="n"/>
      <c r="AK33" s="41" t="n"/>
      <c r="AL33" s="41" t="n"/>
      <c r="AM33" s="37" t="n"/>
      <c r="AN33" s="39" t="n"/>
      <c r="AO33" s="42" t="n"/>
      <c r="AP33" s="37" t="n"/>
      <c r="AQ33" s="37" t="n"/>
      <c r="AR33" s="37" t="n"/>
      <c r="AS33" s="37" t="n"/>
      <c r="AT33" s="37" t="n"/>
      <c r="AU33" s="37" t="n"/>
      <c r="AV33" s="37" t="n"/>
      <c r="AW33" s="37" t="n"/>
      <c r="AX33" s="43" t="n"/>
      <c r="AY33" s="37" t="n"/>
      <c r="AZ33" s="37" t="n"/>
      <c r="BA33" s="41" t="n"/>
      <c r="BB33" s="37" t="n"/>
      <c r="BC33" s="37" t="n"/>
      <c r="BD33" s="37" t="n"/>
      <c r="BE33" s="37" t="n"/>
      <c r="BF33" s="37" t="n"/>
      <c r="BG33" s="37" t="n"/>
      <c r="BH33" s="41" t="n"/>
      <c r="BI33" s="37" t="n"/>
      <c r="BJ33" s="37" t="n"/>
      <c r="BK33" s="38" t="n"/>
      <c r="BL33" s="37" t="n"/>
      <c r="BM33" s="41" t="n"/>
      <c r="BN33" s="37" t="n"/>
      <c r="BO33" s="41" t="n"/>
      <c r="BP33" s="37" t="n"/>
      <c r="BQ33" s="37" t="n"/>
      <c r="BR33" s="41" t="n"/>
      <c r="BS33" s="39" t="n"/>
      <c r="BT33" s="44" t="n"/>
      <c r="BU33" s="37" t="n"/>
      <c r="BV33" s="45" t="n"/>
      <c r="BW33" s="41" t="n"/>
      <c r="BX33" s="41" t="n"/>
      <c r="BY33" s="37" t="n"/>
      <c r="BZ33" s="37" t="n"/>
      <c r="CA33" s="37" t="n"/>
      <c r="CB33" s="37" t="n"/>
      <c r="CC33" s="39" t="n"/>
      <c r="CD33" s="39" t="n"/>
      <c r="CE33" s="46" t="n"/>
      <c r="CF33" s="37" t="n"/>
      <c r="CG33" s="37" t="n"/>
      <c r="CH33" s="45" t="n"/>
      <c r="CI33" s="37" t="n"/>
      <c r="CJ33" s="38" t="n"/>
      <c r="CK33" s="41" t="n"/>
      <c r="CL33" s="37" t="n"/>
      <c r="CM33" s="41" t="n"/>
      <c r="CN33" s="37" t="n"/>
      <c r="CO33" s="37" t="n"/>
      <c r="CP33" s="41" t="n"/>
      <c r="CQ33" s="41" t="n"/>
      <c r="CR33" s="37" t="n"/>
      <c r="CS33" s="37" t="n"/>
      <c r="CT33" s="47" t="n"/>
      <c r="CU33" s="37" t="n"/>
      <c r="CV33" s="38" t="n"/>
      <c r="CW33" s="41" t="n"/>
      <c r="CX33" s="37" t="n"/>
      <c r="CY33" s="37" t="n"/>
      <c r="CZ33" s="37" t="n"/>
      <c r="DA33" s="37" t="n"/>
      <c r="DB33" s="37" t="n"/>
      <c r="DC33" s="37" t="n"/>
      <c r="DD33" s="37" t="n"/>
      <c r="DE33" s="37" t="n"/>
      <c r="DF33" s="37" t="n"/>
      <c r="DG33" s="37" t="n"/>
      <c r="DH33" s="41" t="n"/>
      <c r="DI33" s="37" t="n"/>
      <c r="DJ33" s="37" t="n"/>
      <c r="DK33" s="37" t="n"/>
      <c r="DL33" s="41" t="n"/>
      <c r="DM33" s="37" t="n"/>
      <c r="DN33" s="45" t="n"/>
      <c r="DO33" s="41" t="n"/>
      <c r="DP33" s="48" t="n"/>
      <c r="DQ33" s="37" t="n"/>
      <c r="DR33" s="37" t="n"/>
      <c r="DS33" s="41" t="n"/>
      <c r="DT33" s="37" t="n"/>
      <c r="DU33" s="37" t="n"/>
      <c r="DV33" s="37" t="n"/>
      <c r="DW33" s="37" t="n"/>
      <c r="DX33" s="37" t="n"/>
      <c r="DY33" s="37" t="n"/>
      <c r="DZ33" s="39" t="n"/>
      <c r="EA33" s="37" t="n"/>
      <c r="EB33" s="37" t="n"/>
      <c r="EC33" s="37" t="n"/>
      <c r="ED33" s="41" t="n"/>
      <c r="EE33" s="37" t="n"/>
      <c r="EF33" s="39" t="n"/>
      <c r="EG33" s="49" t="n"/>
      <c r="EH33" s="41" t="n"/>
      <c r="EI33" s="41" t="n"/>
      <c r="EJ33" s="37" t="n"/>
      <c r="EK33" s="41" t="n"/>
      <c r="EL33" s="41" t="n"/>
      <c r="EM33" s="37" t="n"/>
      <c r="EN33" s="41" t="n"/>
      <c r="EO33" s="41" t="n"/>
      <c r="EP33" s="37" t="n"/>
      <c r="EQ33" s="39" t="n"/>
      <c r="ER33" s="45" t="n"/>
      <c r="ES33" s="41" t="n"/>
      <c r="ET33" s="39" t="n"/>
      <c r="EU33" s="39" t="n"/>
      <c r="EV33" s="41" t="n"/>
      <c r="EW33" s="39" t="n"/>
      <c r="EX33" s="37" t="n"/>
      <c r="EY33" s="37" t="n"/>
      <c r="EZ33" s="39" t="n"/>
      <c r="FA33" s="41" t="n"/>
      <c r="FB33" s="41" t="n"/>
      <c r="FC33" s="50" t="n"/>
      <c r="FD33" s="36">
        <f>IF(B33="","",IF(NOT(ISNUMBER(EK33)),"Tarih girilmedi",IFERROR(EDATE(EK33,12),"Tarih hatalı")))</f>
        <v/>
      </c>
      <c r="FE33" s="36">
        <f>IF(B33="","",IF(NOT(ISNUMBER(EK33)),"Tarih girilmedi",IFERROR(EDATE(EK33,11),"Tarih hatalı")))</f>
        <v/>
      </c>
      <c r="FF33" s="36">
        <f>IF(B33="","",IF(NOT(ISNUMBER(EN33)),"Tarih girilmedi",IFERROR(EDATE(EN33,12),"Tarih hatalı")))</f>
        <v/>
      </c>
      <c r="FG33" s="36">
        <f>IF(B33="","",IF(NOT(ISNUMBER(EN33)),"Tarih girilmedi",IFERROR(EDATE(EN33,11),"Tarih hatalı")))</f>
        <v/>
      </c>
      <c r="FH33" s="36">
        <f>IF(B33="","",IF(NOT(ISNUMBER(CW33)),"Tarih girilmedi",IFERROR(EDATE(CW33,60),"Tarih hatalı")))</f>
        <v/>
      </c>
      <c r="FI33" s="36">
        <f>IF(B33="","",IF(NOT(ISNUMBER(CW33)),"Tarih girilmedi",IFERROR(EDATE(CW33,57),"Tarih hatalı")))</f>
        <v/>
      </c>
      <c r="FJ33" s="36">
        <f>IF(B33="","",IF(NOT(ISNUMBER(DH33)),"Tarih girilmedi",IFERROR(EDATE(DH33,36),"Tarih hatalı")))</f>
        <v/>
      </c>
      <c r="FK33" s="36">
        <f>IF(B33="","",IF(NOT(ISNUMBER(DH33)),"Tarih girilmedi",IFERROR(EDATE(DH33,33),"Tarih hatalı")))</f>
        <v/>
      </c>
      <c r="FL33" s="36">
        <f>IF(B33="","",IF(NOT(ISNUMBER(BW33)),"Tarih girilmedi",IFERROR(EDATE(BW33,24),"Tarih hatalı")))</f>
        <v/>
      </c>
      <c r="FM33" s="36">
        <f>IF(B33="","",IF(NOT(ISNUMBER(BW33)),"Tarih girilmedi",IFERROR(EDATE(BW33,24)-45,"Tarih hatalı")))</f>
        <v/>
      </c>
      <c r="FN33" s="36">
        <f>IF(B33="","",IF(NOT(ISNUMBER(BM33)),"Tarih girilmedi",IFERROR(BM33-180,"Tarih hatalı")))</f>
        <v/>
      </c>
      <c r="FO33" s="51">
        <f>IF(OR(B33="",NOT(ISNUMBER(BM33))),"",BM33)</f>
        <v/>
      </c>
      <c r="FP33" s="51">
        <f>IF(OR(B33="",NOT(ISNUMBER(BM33))),"",BM33-180)</f>
        <v/>
      </c>
      <c r="FQ33" s="51">
        <f>IF(OR(B33="",NOT(ISNUMBER(BR33))),"",BR33)</f>
        <v/>
      </c>
      <c r="FR33" s="51">
        <f>IF(OR(B33="",NOT(ISNUMBER(AL33))),"",AL33)</f>
        <v/>
      </c>
      <c r="FS33" s="51">
        <f>IF(OR(B33="",NOT(ISNUMBER(CW33))),"",EDATE(CW33,60))</f>
        <v/>
      </c>
      <c r="FT33" s="51">
        <f>IF(OR(B33="",NOT(ISNUMBER(DH33))),"",EDATE(DH33,36))</f>
        <v/>
      </c>
      <c r="FU33" s="51">
        <f>IF(OR(B33="",NOT(ISNUMBER(BW33))),"",EDATE(BW33,24))</f>
        <v/>
      </c>
      <c r="FV33" s="51">
        <f>IF(OR(B33="",NOT(ISNUMBER(BX33))),"",BX33)</f>
        <v/>
      </c>
      <c r="FW33" s="51">
        <f>IF(OR(B33="",NOT(ISNUMBER(EK33))),"",EDATE(EK33,12))</f>
        <v/>
      </c>
      <c r="FX33" s="51">
        <f>IF(OR(B33="",NOT(ISNUMBER(EL33))),"",EL33)</f>
        <v/>
      </c>
      <c r="FY33" s="51">
        <f>IF(OR(B33="",NOT(ISNUMBER(EN33))),"",EDATE(EN33,12))</f>
        <v/>
      </c>
      <c r="FZ33" s="51">
        <f>IF(OR(B33="",NOT(ISNUMBER(EO33))),"",EO33)</f>
        <v/>
      </c>
      <c r="GA33" s="51">
        <f>IF(OR(B33="",NOT(ISNUMBER(CK33))),"",CK33)</f>
        <v/>
      </c>
      <c r="GB33" s="51">
        <f>IF(OR(B33="",NOT(ISNUMBER(CM33))),"",CM33)</f>
        <v/>
      </c>
      <c r="GC33" s="51">
        <f>IF(OR(B33="",NOT(ISNUMBER(CQ33))),"",CQ33)</f>
        <v/>
      </c>
      <c r="GD33" s="51">
        <f>IF(OR(B33="",NOT(ISNUMBER(EI33))),"",EI33)</f>
        <v/>
      </c>
      <c r="GE33" s="51">
        <f>IF(OR(B33="",NOT(ISNUMBER(FA33))),"",FA33)</f>
        <v/>
      </c>
      <c r="GF33" s="51">
        <f>IF(OR(B33="",NOT(ISNUMBER(ES33))),"",ES33)</f>
        <v/>
      </c>
      <c r="GG33" s="51">
        <f>IF(OR(B33="",NOT(ISNUMBER(FB33))),"",FB33)</f>
        <v/>
      </c>
    </row>
    <row r="34" ht="22" customHeight="1">
      <c r="A34" s="32" t="n">
        <v>30</v>
      </c>
      <c r="B34" s="33" t="n"/>
      <c r="C34" s="34">
        <f>IF(B34="","",((P34="Süresi geçti")+(P34="Yaklaşıyor")+(P34="Tarih hatalı"))+((Q34="Süresi geçti")+(Q34="Yaklaşıyor")+(Q34="Tarih hatalı"))+((R34="Süresi geçti")+(R34="Yaklaşıyor")+(R34="Tarih hatalı"))+((S34="Süresi geçti")+(S34="Yaklaşıyor")+(S34="Tarih hatalı"))+((T34="Süresi geçti")+(T34="Yaklaşıyor")+(T34="Tarih hatalı"))+((U34="Süresi geçti")+(U34="Yaklaşıyor")+(U34="Tarih hatalı"))+((V34="Süresi geçti")+(V34="Yaklaşıyor")+(V34="Tarih hatalı")))</f>
        <v/>
      </c>
      <c r="D34" s="35">
        <f>IF(OR(B34="",E34=""),"",INDEX($FO$4:$GG$4,1,MATCH(E34,FO34:GG34,0)))</f>
        <v/>
      </c>
      <c r="E34" s="36">
        <f>IF(B34="","",IF(COUNT(FO34:GG34)=0,"",SMALL(FO34:GG34,1)))</f>
        <v/>
      </c>
      <c r="F34" s="34">
        <f>IF(E34="","",E34-TODAY())</f>
        <v/>
      </c>
      <c r="G34" s="37" t="n"/>
      <c r="H34" s="37" t="n"/>
      <c r="I34" s="37" t="n"/>
      <c r="J34" s="37" t="n"/>
      <c r="K34" s="37" t="n"/>
      <c r="L34" s="38" t="n"/>
      <c r="M34" s="37" t="n"/>
      <c r="N34" s="37" t="n"/>
      <c r="O34" s="39" t="n"/>
      <c r="P34" s="35">
        <f>IF(B34="","",IF(NOT(ISNUMBER(AL34)),"Tarih girilmedi",IFERROR(IF(TODAY()&gt;AL34,"Süresi geçti",IF(TODAY()&gt;=(AL34-60),"Yaklaşıyor","Takipte")),"Tarih hatalı")))</f>
        <v/>
      </c>
      <c r="Q34" s="35">
        <f>IF(B34="","",IF(NOT(ISNUMBER(EK34)),"Tarih girilmedi",IFERROR(IF(TODAY()&gt;EDATE(EK34,12),"Süresi geçti",IF(TODAY()&gt;=EDATE(EK34,11),"Yaklaşıyor","Takipte")),"Tarih hatalı")))</f>
        <v/>
      </c>
      <c r="R34" s="35">
        <f>IF(B34="","",IF(NOT(ISNUMBER(EN34)),"Tarih girilmedi",IFERROR(IF(TODAY()&gt;EDATE(EN34,12),"Süresi geçti",IF(TODAY()&gt;=EDATE(EN34,11),"Yaklaşıyor","Takipte")),"Tarih hatalı")))</f>
        <v/>
      </c>
      <c r="S34" s="35">
        <f>IF(B34="","",IF(NOT(ISNUMBER(CW34)),"Tarih girilmedi",IFERROR(IF(TODAY()&gt;EDATE(CW34,60),"Süresi geçti",IF(TODAY()&gt;=EDATE(CW34,57),"Yaklaşıyor","Takipte")),"Tarih hatalı")))</f>
        <v/>
      </c>
      <c r="T34" s="35">
        <f>IF(B34="","",IF(NOT(ISNUMBER(DH34)),"Tarih girilmedi",IFERROR(IF(TODAY()&gt;EDATE(DH34,36),"Süresi geçti",IF(TODAY()&gt;=EDATE(DH34,33),"Yaklaşıyor","Takipte")),"Tarih hatalı")))</f>
        <v/>
      </c>
      <c r="U34" s="35">
        <f>IF(B34="","",IF(NOT(ISNUMBER(BW34)),"Tarih girilmedi",IFERROR(IF(TODAY()&gt;EDATE(BW34,24),"Süresi geçti",IF(TODAY()&gt;=(EDATE(BW34,24)-45),"Yaklaşıyor","Takipte")),"Tarih hatalı")))</f>
        <v/>
      </c>
      <c r="V34" s="35">
        <f>IF(B34="","",IF(NOT(ISNUMBER(BM34)),"Tarih girilmedi",IFERROR(IF(TODAY()&gt;BM34,"Süresi geçti",IF(TODAY()&gt;=(BM34-180),"Yaklaşıyor","Takipte")),"Tarih hatalı")))</f>
        <v/>
      </c>
      <c r="W34" s="40" t="n"/>
      <c r="X34" s="37" t="n"/>
      <c r="Y34" s="39" t="n"/>
      <c r="Z34" s="37" t="n"/>
      <c r="AA34" s="37" t="n"/>
      <c r="AB34" s="37" t="n"/>
      <c r="AC34" s="38" t="n"/>
      <c r="AD34" s="38" t="n"/>
      <c r="AE34" s="38" t="n"/>
      <c r="AF34" s="37" t="n"/>
      <c r="AG34" s="37" t="n"/>
      <c r="AH34" s="37" t="n"/>
      <c r="AI34" s="38" t="n"/>
      <c r="AJ34" s="37" t="n"/>
      <c r="AK34" s="41" t="n"/>
      <c r="AL34" s="41" t="n"/>
      <c r="AM34" s="37" t="n"/>
      <c r="AN34" s="39" t="n"/>
      <c r="AO34" s="42" t="n"/>
      <c r="AP34" s="37" t="n"/>
      <c r="AQ34" s="37" t="n"/>
      <c r="AR34" s="37" t="n"/>
      <c r="AS34" s="37" t="n"/>
      <c r="AT34" s="37" t="n"/>
      <c r="AU34" s="37" t="n"/>
      <c r="AV34" s="37" t="n"/>
      <c r="AW34" s="37" t="n"/>
      <c r="AX34" s="43" t="n"/>
      <c r="AY34" s="37" t="n"/>
      <c r="AZ34" s="37" t="n"/>
      <c r="BA34" s="41" t="n"/>
      <c r="BB34" s="37" t="n"/>
      <c r="BC34" s="37" t="n"/>
      <c r="BD34" s="37" t="n"/>
      <c r="BE34" s="37" t="n"/>
      <c r="BF34" s="37" t="n"/>
      <c r="BG34" s="37" t="n"/>
      <c r="BH34" s="41" t="n"/>
      <c r="BI34" s="37" t="n"/>
      <c r="BJ34" s="37" t="n"/>
      <c r="BK34" s="38" t="n"/>
      <c r="BL34" s="37" t="n"/>
      <c r="BM34" s="41" t="n"/>
      <c r="BN34" s="37" t="n"/>
      <c r="BO34" s="41" t="n"/>
      <c r="BP34" s="37" t="n"/>
      <c r="BQ34" s="37" t="n"/>
      <c r="BR34" s="41" t="n"/>
      <c r="BS34" s="39" t="n"/>
      <c r="BT34" s="44" t="n"/>
      <c r="BU34" s="37" t="n"/>
      <c r="BV34" s="45" t="n"/>
      <c r="BW34" s="41" t="n"/>
      <c r="BX34" s="41" t="n"/>
      <c r="BY34" s="37" t="n"/>
      <c r="BZ34" s="37" t="n"/>
      <c r="CA34" s="37" t="n"/>
      <c r="CB34" s="37" t="n"/>
      <c r="CC34" s="39" t="n"/>
      <c r="CD34" s="39" t="n"/>
      <c r="CE34" s="46" t="n"/>
      <c r="CF34" s="37" t="n"/>
      <c r="CG34" s="37" t="n"/>
      <c r="CH34" s="45" t="n"/>
      <c r="CI34" s="37" t="n"/>
      <c r="CJ34" s="38" t="n"/>
      <c r="CK34" s="41" t="n"/>
      <c r="CL34" s="37" t="n"/>
      <c r="CM34" s="41" t="n"/>
      <c r="CN34" s="37" t="n"/>
      <c r="CO34" s="37" t="n"/>
      <c r="CP34" s="41" t="n"/>
      <c r="CQ34" s="41" t="n"/>
      <c r="CR34" s="37" t="n"/>
      <c r="CS34" s="37" t="n"/>
      <c r="CT34" s="47" t="n"/>
      <c r="CU34" s="37" t="n"/>
      <c r="CV34" s="38" t="n"/>
      <c r="CW34" s="41" t="n"/>
      <c r="CX34" s="37" t="n"/>
      <c r="CY34" s="37" t="n"/>
      <c r="CZ34" s="37" t="n"/>
      <c r="DA34" s="37" t="n"/>
      <c r="DB34" s="37" t="n"/>
      <c r="DC34" s="37" t="n"/>
      <c r="DD34" s="37" t="n"/>
      <c r="DE34" s="37" t="n"/>
      <c r="DF34" s="37" t="n"/>
      <c r="DG34" s="37" t="n"/>
      <c r="DH34" s="41" t="n"/>
      <c r="DI34" s="37" t="n"/>
      <c r="DJ34" s="37" t="n"/>
      <c r="DK34" s="37" t="n"/>
      <c r="DL34" s="41" t="n"/>
      <c r="DM34" s="37" t="n"/>
      <c r="DN34" s="45" t="n"/>
      <c r="DO34" s="41" t="n"/>
      <c r="DP34" s="48" t="n"/>
      <c r="DQ34" s="37" t="n"/>
      <c r="DR34" s="37" t="n"/>
      <c r="DS34" s="41" t="n"/>
      <c r="DT34" s="37" t="n"/>
      <c r="DU34" s="37" t="n"/>
      <c r="DV34" s="37" t="n"/>
      <c r="DW34" s="37" t="n"/>
      <c r="DX34" s="37" t="n"/>
      <c r="DY34" s="37" t="n"/>
      <c r="DZ34" s="39" t="n"/>
      <c r="EA34" s="37" t="n"/>
      <c r="EB34" s="37" t="n"/>
      <c r="EC34" s="37" t="n"/>
      <c r="ED34" s="41" t="n"/>
      <c r="EE34" s="37" t="n"/>
      <c r="EF34" s="39" t="n"/>
      <c r="EG34" s="49" t="n"/>
      <c r="EH34" s="41" t="n"/>
      <c r="EI34" s="41" t="n"/>
      <c r="EJ34" s="37" t="n"/>
      <c r="EK34" s="41" t="n"/>
      <c r="EL34" s="41" t="n"/>
      <c r="EM34" s="37" t="n"/>
      <c r="EN34" s="41" t="n"/>
      <c r="EO34" s="41" t="n"/>
      <c r="EP34" s="37" t="n"/>
      <c r="EQ34" s="39" t="n"/>
      <c r="ER34" s="45" t="n"/>
      <c r="ES34" s="41" t="n"/>
      <c r="ET34" s="39" t="n"/>
      <c r="EU34" s="39" t="n"/>
      <c r="EV34" s="41" t="n"/>
      <c r="EW34" s="39" t="n"/>
      <c r="EX34" s="37" t="n"/>
      <c r="EY34" s="37" t="n"/>
      <c r="EZ34" s="39" t="n"/>
      <c r="FA34" s="41" t="n"/>
      <c r="FB34" s="41" t="n"/>
      <c r="FC34" s="50" t="n"/>
      <c r="FD34" s="36">
        <f>IF(B34="","",IF(NOT(ISNUMBER(EK34)),"Tarih girilmedi",IFERROR(EDATE(EK34,12),"Tarih hatalı")))</f>
        <v/>
      </c>
      <c r="FE34" s="36">
        <f>IF(B34="","",IF(NOT(ISNUMBER(EK34)),"Tarih girilmedi",IFERROR(EDATE(EK34,11),"Tarih hatalı")))</f>
        <v/>
      </c>
      <c r="FF34" s="36">
        <f>IF(B34="","",IF(NOT(ISNUMBER(EN34)),"Tarih girilmedi",IFERROR(EDATE(EN34,12),"Tarih hatalı")))</f>
        <v/>
      </c>
      <c r="FG34" s="36">
        <f>IF(B34="","",IF(NOT(ISNUMBER(EN34)),"Tarih girilmedi",IFERROR(EDATE(EN34,11),"Tarih hatalı")))</f>
        <v/>
      </c>
      <c r="FH34" s="36">
        <f>IF(B34="","",IF(NOT(ISNUMBER(CW34)),"Tarih girilmedi",IFERROR(EDATE(CW34,60),"Tarih hatalı")))</f>
        <v/>
      </c>
      <c r="FI34" s="36">
        <f>IF(B34="","",IF(NOT(ISNUMBER(CW34)),"Tarih girilmedi",IFERROR(EDATE(CW34,57),"Tarih hatalı")))</f>
        <v/>
      </c>
      <c r="FJ34" s="36">
        <f>IF(B34="","",IF(NOT(ISNUMBER(DH34)),"Tarih girilmedi",IFERROR(EDATE(DH34,36),"Tarih hatalı")))</f>
        <v/>
      </c>
      <c r="FK34" s="36">
        <f>IF(B34="","",IF(NOT(ISNUMBER(DH34)),"Tarih girilmedi",IFERROR(EDATE(DH34,33),"Tarih hatalı")))</f>
        <v/>
      </c>
      <c r="FL34" s="36">
        <f>IF(B34="","",IF(NOT(ISNUMBER(BW34)),"Tarih girilmedi",IFERROR(EDATE(BW34,24),"Tarih hatalı")))</f>
        <v/>
      </c>
      <c r="FM34" s="36">
        <f>IF(B34="","",IF(NOT(ISNUMBER(BW34)),"Tarih girilmedi",IFERROR(EDATE(BW34,24)-45,"Tarih hatalı")))</f>
        <v/>
      </c>
      <c r="FN34" s="36">
        <f>IF(B34="","",IF(NOT(ISNUMBER(BM34)),"Tarih girilmedi",IFERROR(BM34-180,"Tarih hatalı")))</f>
        <v/>
      </c>
      <c r="FO34" s="51">
        <f>IF(OR(B34="",NOT(ISNUMBER(BM34))),"",BM34)</f>
        <v/>
      </c>
      <c r="FP34" s="51">
        <f>IF(OR(B34="",NOT(ISNUMBER(BM34))),"",BM34-180)</f>
        <v/>
      </c>
      <c r="FQ34" s="51">
        <f>IF(OR(B34="",NOT(ISNUMBER(BR34))),"",BR34)</f>
        <v/>
      </c>
      <c r="FR34" s="51">
        <f>IF(OR(B34="",NOT(ISNUMBER(AL34))),"",AL34)</f>
        <v/>
      </c>
      <c r="FS34" s="51">
        <f>IF(OR(B34="",NOT(ISNUMBER(CW34))),"",EDATE(CW34,60))</f>
        <v/>
      </c>
      <c r="FT34" s="51">
        <f>IF(OR(B34="",NOT(ISNUMBER(DH34))),"",EDATE(DH34,36))</f>
        <v/>
      </c>
      <c r="FU34" s="51">
        <f>IF(OR(B34="",NOT(ISNUMBER(BW34))),"",EDATE(BW34,24))</f>
        <v/>
      </c>
      <c r="FV34" s="51">
        <f>IF(OR(B34="",NOT(ISNUMBER(BX34))),"",BX34)</f>
        <v/>
      </c>
      <c r="FW34" s="51">
        <f>IF(OR(B34="",NOT(ISNUMBER(EK34))),"",EDATE(EK34,12))</f>
        <v/>
      </c>
      <c r="FX34" s="51">
        <f>IF(OR(B34="",NOT(ISNUMBER(EL34))),"",EL34)</f>
        <v/>
      </c>
      <c r="FY34" s="51">
        <f>IF(OR(B34="",NOT(ISNUMBER(EN34))),"",EDATE(EN34,12))</f>
        <v/>
      </c>
      <c r="FZ34" s="51">
        <f>IF(OR(B34="",NOT(ISNUMBER(EO34))),"",EO34)</f>
        <v/>
      </c>
      <c r="GA34" s="51">
        <f>IF(OR(B34="",NOT(ISNUMBER(CK34))),"",CK34)</f>
        <v/>
      </c>
      <c r="GB34" s="51">
        <f>IF(OR(B34="",NOT(ISNUMBER(CM34))),"",CM34)</f>
        <v/>
      </c>
      <c r="GC34" s="51">
        <f>IF(OR(B34="",NOT(ISNUMBER(CQ34))),"",CQ34)</f>
        <v/>
      </c>
      <c r="GD34" s="51">
        <f>IF(OR(B34="",NOT(ISNUMBER(EI34))),"",EI34)</f>
        <v/>
      </c>
      <c r="GE34" s="51">
        <f>IF(OR(B34="",NOT(ISNUMBER(FA34))),"",FA34)</f>
        <v/>
      </c>
      <c r="GF34" s="51">
        <f>IF(OR(B34="",NOT(ISNUMBER(ES34))),"",ES34)</f>
        <v/>
      </c>
      <c r="GG34" s="51">
        <f>IF(OR(B34="",NOT(ISNUMBER(FB34))),"",FB34)</f>
        <v/>
      </c>
    </row>
    <row r="35" ht="22" customHeight="1">
      <c r="A35" s="32" t="n">
        <v>31</v>
      </c>
      <c r="B35" s="33" t="n"/>
      <c r="C35" s="34">
        <f>IF(B35="","",((P35="Süresi geçti")+(P35="Yaklaşıyor")+(P35="Tarih hatalı"))+((Q35="Süresi geçti")+(Q35="Yaklaşıyor")+(Q35="Tarih hatalı"))+((R35="Süresi geçti")+(R35="Yaklaşıyor")+(R35="Tarih hatalı"))+((S35="Süresi geçti")+(S35="Yaklaşıyor")+(S35="Tarih hatalı"))+((T35="Süresi geçti")+(T35="Yaklaşıyor")+(T35="Tarih hatalı"))+((U35="Süresi geçti")+(U35="Yaklaşıyor")+(U35="Tarih hatalı"))+((V35="Süresi geçti")+(V35="Yaklaşıyor")+(V35="Tarih hatalı")))</f>
        <v/>
      </c>
      <c r="D35" s="35">
        <f>IF(OR(B35="",E35=""),"",INDEX($FO$4:$GG$4,1,MATCH(E35,FO35:GG35,0)))</f>
        <v/>
      </c>
      <c r="E35" s="36">
        <f>IF(B35="","",IF(COUNT(FO35:GG35)=0,"",SMALL(FO35:GG35,1)))</f>
        <v/>
      </c>
      <c r="F35" s="34">
        <f>IF(E35="","",E35-TODAY())</f>
        <v/>
      </c>
      <c r="G35" s="37" t="n"/>
      <c r="H35" s="37" t="n"/>
      <c r="I35" s="37" t="n"/>
      <c r="J35" s="37" t="n"/>
      <c r="K35" s="37" t="n"/>
      <c r="L35" s="38" t="n"/>
      <c r="M35" s="37" t="n"/>
      <c r="N35" s="37" t="n"/>
      <c r="O35" s="39" t="n"/>
      <c r="P35" s="35">
        <f>IF(B35="","",IF(NOT(ISNUMBER(AL35)),"Tarih girilmedi",IFERROR(IF(TODAY()&gt;AL35,"Süresi geçti",IF(TODAY()&gt;=(AL35-60),"Yaklaşıyor","Takipte")),"Tarih hatalı")))</f>
        <v/>
      </c>
      <c r="Q35" s="35">
        <f>IF(B35="","",IF(NOT(ISNUMBER(EK35)),"Tarih girilmedi",IFERROR(IF(TODAY()&gt;EDATE(EK35,12),"Süresi geçti",IF(TODAY()&gt;=EDATE(EK35,11),"Yaklaşıyor","Takipte")),"Tarih hatalı")))</f>
        <v/>
      </c>
      <c r="R35" s="35">
        <f>IF(B35="","",IF(NOT(ISNUMBER(EN35)),"Tarih girilmedi",IFERROR(IF(TODAY()&gt;EDATE(EN35,12),"Süresi geçti",IF(TODAY()&gt;=EDATE(EN35,11),"Yaklaşıyor","Takipte")),"Tarih hatalı")))</f>
        <v/>
      </c>
      <c r="S35" s="35">
        <f>IF(B35="","",IF(NOT(ISNUMBER(CW35)),"Tarih girilmedi",IFERROR(IF(TODAY()&gt;EDATE(CW35,60),"Süresi geçti",IF(TODAY()&gt;=EDATE(CW35,57),"Yaklaşıyor","Takipte")),"Tarih hatalı")))</f>
        <v/>
      </c>
      <c r="T35" s="35">
        <f>IF(B35="","",IF(NOT(ISNUMBER(DH35)),"Tarih girilmedi",IFERROR(IF(TODAY()&gt;EDATE(DH35,36),"Süresi geçti",IF(TODAY()&gt;=EDATE(DH35,33),"Yaklaşıyor","Takipte")),"Tarih hatalı")))</f>
        <v/>
      </c>
      <c r="U35" s="35">
        <f>IF(B35="","",IF(NOT(ISNUMBER(BW35)),"Tarih girilmedi",IFERROR(IF(TODAY()&gt;EDATE(BW35,24),"Süresi geçti",IF(TODAY()&gt;=(EDATE(BW35,24)-45),"Yaklaşıyor","Takipte")),"Tarih hatalı")))</f>
        <v/>
      </c>
      <c r="V35" s="35">
        <f>IF(B35="","",IF(NOT(ISNUMBER(BM35)),"Tarih girilmedi",IFERROR(IF(TODAY()&gt;BM35,"Süresi geçti",IF(TODAY()&gt;=(BM35-180),"Yaklaşıyor","Takipte")),"Tarih hatalı")))</f>
        <v/>
      </c>
      <c r="W35" s="40" t="n"/>
      <c r="X35" s="37" t="n"/>
      <c r="Y35" s="39" t="n"/>
      <c r="Z35" s="37" t="n"/>
      <c r="AA35" s="37" t="n"/>
      <c r="AB35" s="37" t="n"/>
      <c r="AC35" s="38" t="n"/>
      <c r="AD35" s="38" t="n"/>
      <c r="AE35" s="38" t="n"/>
      <c r="AF35" s="37" t="n"/>
      <c r="AG35" s="37" t="n"/>
      <c r="AH35" s="37" t="n"/>
      <c r="AI35" s="38" t="n"/>
      <c r="AJ35" s="37" t="n"/>
      <c r="AK35" s="41" t="n"/>
      <c r="AL35" s="41" t="n"/>
      <c r="AM35" s="37" t="n"/>
      <c r="AN35" s="39" t="n"/>
      <c r="AO35" s="42" t="n"/>
      <c r="AP35" s="37" t="n"/>
      <c r="AQ35" s="37" t="n"/>
      <c r="AR35" s="37" t="n"/>
      <c r="AS35" s="37" t="n"/>
      <c r="AT35" s="37" t="n"/>
      <c r="AU35" s="37" t="n"/>
      <c r="AV35" s="37" t="n"/>
      <c r="AW35" s="37" t="n"/>
      <c r="AX35" s="43" t="n"/>
      <c r="AY35" s="37" t="n"/>
      <c r="AZ35" s="37" t="n"/>
      <c r="BA35" s="41" t="n"/>
      <c r="BB35" s="37" t="n"/>
      <c r="BC35" s="37" t="n"/>
      <c r="BD35" s="37" t="n"/>
      <c r="BE35" s="37" t="n"/>
      <c r="BF35" s="37" t="n"/>
      <c r="BG35" s="37" t="n"/>
      <c r="BH35" s="41" t="n"/>
      <c r="BI35" s="37" t="n"/>
      <c r="BJ35" s="37" t="n"/>
      <c r="BK35" s="38" t="n"/>
      <c r="BL35" s="37" t="n"/>
      <c r="BM35" s="41" t="n"/>
      <c r="BN35" s="37" t="n"/>
      <c r="BO35" s="41" t="n"/>
      <c r="BP35" s="37" t="n"/>
      <c r="BQ35" s="37" t="n"/>
      <c r="BR35" s="41" t="n"/>
      <c r="BS35" s="39" t="n"/>
      <c r="BT35" s="44" t="n"/>
      <c r="BU35" s="37" t="n"/>
      <c r="BV35" s="45" t="n"/>
      <c r="BW35" s="41" t="n"/>
      <c r="BX35" s="41" t="n"/>
      <c r="BY35" s="37" t="n"/>
      <c r="BZ35" s="37" t="n"/>
      <c r="CA35" s="37" t="n"/>
      <c r="CB35" s="37" t="n"/>
      <c r="CC35" s="39" t="n"/>
      <c r="CD35" s="39" t="n"/>
      <c r="CE35" s="46" t="n"/>
      <c r="CF35" s="37" t="n"/>
      <c r="CG35" s="37" t="n"/>
      <c r="CH35" s="45" t="n"/>
      <c r="CI35" s="37" t="n"/>
      <c r="CJ35" s="38" t="n"/>
      <c r="CK35" s="41" t="n"/>
      <c r="CL35" s="37" t="n"/>
      <c r="CM35" s="41" t="n"/>
      <c r="CN35" s="37" t="n"/>
      <c r="CO35" s="37" t="n"/>
      <c r="CP35" s="41" t="n"/>
      <c r="CQ35" s="41" t="n"/>
      <c r="CR35" s="37" t="n"/>
      <c r="CS35" s="37" t="n"/>
      <c r="CT35" s="47" t="n"/>
      <c r="CU35" s="37" t="n"/>
      <c r="CV35" s="38" t="n"/>
      <c r="CW35" s="41" t="n"/>
      <c r="CX35" s="37" t="n"/>
      <c r="CY35" s="37" t="n"/>
      <c r="CZ35" s="37" t="n"/>
      <c r="DA35" s="37" t="n"/>
      <c r="DB35" s="37" t="n"/>
      <c r="DC35" s="37" t="n"/>
      <c r="DD35" s="37" t="n"/>
      <c r="DE35" s="37" t="n"/>
      <c r="DF35" s="37" t="n"/>
      <c r="DG35" s="37" t="n"/>
      <c r="DH35" s="41" t="n"/>
      <c r="DI35" s="37" t="n"/>
      <c r="DJ35" s="37" t="n"/>
      <c r="DK35" s="37" t="n"/>
      <c r="DL35" s="41" t="n"/>
      <c r="DM35" s="37" t="n"/>
      <c r="DN35" s="45" t="n"/>
      <c r="DO35" s="41" t="n"/>
      <c r="DP35" s="48" t="n"/>
      <c r="DQ35" s="37" t="n"/>
      <c r="DR35" s="37" t="n"/>
      <c r="DS35" s="41" t="n"/>
      <c r="DT35" s="37" t="n"/>
      <c r="DU35" s="37" t="n"/>
      <c r="DV35" s="37" t="n"/>
      <c r="DW35" s="37" t="n"/>
      <c r="DX35" s="37" t="n"/>
      <c r="DY35" s="37" t="n"/>
      <c r="DZ35" s="39" t="n"/>
      <c r="EA35" s="37" t="n"/>
      <c r="EB35" s="37" t="n"/>
      <c r="EC35" s="37" t="n"/>
      <c r="ED35" s="41" t="n"/>
      <c r="EE35" s="37" t="n"/>
      <c r="EF35" s="39" t="n"/>
      <c r="EG35" s="49" t="n"/>
      <c r="EH35" s="41" t="n"/>
      <c r="EI35" s="41" t="n"/>
      <c r="EJ35" s="37" t="n"/>
      <c r="EK35" s="41" t="n"/>
      <c r="EL35" s="41" t="n"/>
      <c r="EM35" s="37" t="n"/>
      <c r="EN35" s="41" t="n"/>
      <c r="EO35" s="41" t="n"/>
      <c r="EP35" s="37" t="n"/>
      <c r="EQ35" s="39" t="n"/>
      <c r="ER35" s="45" t="n"/>
      <c r="ES35" s="41" t="n"/>
      <c r="ET35" s="39" t="n"/>
      <c r="EU35" s="39" t="n"/>
      <c r="EV35" s="41" t="n"/>
      <c r="EW35" s="39" t="n"/>
      <c r="EX35" s="37" t="n"/>
      <c r="EY35" s="37" t="n"/>
      <c r="EZ35" s="39" t="n"/>
      <c r="FA35" s="41" t="n"/>
      <c r="FB35" s="41" t="n"/>
      <c r="FC35" s="50" t="n"/>
      <c r="FD35" s="36">
        <f>IF(B35="","",IF(NOT(ISNUMBER(EK35)),"Tarih girilmedi",IFERROR(EDATE(EK35,12),"Tarih hatalı")))</f>
        <v/>
      </c>
      <c r="FE35" s="36">
        <f>IF(B35="","",IF(NOT(ISNUMBER(EK35)),"Tarih girilmedi",IFERROR(EDATE(EK35,11),"Tarih hatalı")))</f>
        <v/>
      </c>
      <c r="FF35" s="36">
        <f>IF(B35="","",IF(NOT(ISNUMBER(EN35)),"Tarih girilmedi",IFERROR(EDATE(EN35,12),"Tarih hatalı")))</f>
        <v/>
      </c>
      <c r="FG35" s="36">
        <f>IF(B35="","",IF(NOT(ISNUMBER(EN35)),"Tarih girilmedi",IFERROR(EDATE(EN35,11),"Tarih hatalı")))</f>
        <v/>
      </c>
      <c r="FH35" s="36">
        <f>IF(B35="","",IF(NOT(ISNUMBER(CW35)),"Tarih girilmedi",IFERROR(EDATE(CW35,60),"Tarih hatalı")))</f>
        <v/>
      </c>
      <c r="FI35" s="36">
        <f>IF(B35="","",IF(NOT(ISNUMBER(CW35)),"Tarih girilmedi",IFERROR(EDATE(CW35,57),"Tarih hatalı")))</f>
        <v/>
      </c>
      <c r="FJ35" s="36">
        <f>IF(B35="","",IF(NOT(ISNUMBER(DH35)),"Tarih girilmedi",IFERROR(EDATE(DH35,36),"Tarih hatalı")))</f>
        <v/>
      </c>
      <c r="FK35" s="36">
        <f>IF(B35="","",IF(NOT(ISNUMBER(DH35)),"Tarih girilmedi",IFERROR(EDATE(DH35,33),"Tarih hatalı")))</f>
        <v/>
      </c>
      <c r="FL35" s="36">
        <f>IF(B35="","",IF(NOT(ISNUMBER(BW35)),"Tarih girilmedi",IFERROR(EDATE(BW35,24),"Tarih hatalı")))</f>
        <v/>
      </c>
      <c r="FM35" s="36">
        <f>IF(B35="","",IF(NOT(ISNUMBER(BW35)),"Tarih girilmedi",IFERROR(EDATE(BW35,24)-45,"Tarih hatalı")))</f>
        <v/>
      </c>
      <c r="FN35" s="36">
        <f>IF(B35="","",IF(NOT(ISNUMBER(BM35)),"Tarih girilmedi",IFERROR(BM35-180,"Tarih hatalı")))</f>
        <v/>
      </c>
      <c r="FO35" s="51">
        <f>IF(OR(B35="",NOT(ISNUMBER(BM35))),"",BM35)</f>
        <v/>
      </c>
      <c r="FP35" s="51">
        <f>IF(OR(B35="",NOT(ISNUMBER(BM35))),"",BM35-180)</f>
        <v/>
      </c>
      <c r="FQ35" s="51">
        <f>IF(OR(B35="",NOT(ISNUMBER(BR35))),"",BR35)</f>
        <v/>
      </c>
      <c r="FR35" s="51">
        <f>IF(OR(B35="",NOT(ISNUMBER(AL35))),"",AL35)</f>
        <v/>
      </c>
      <c r="FS35" s="51">
        <f>IF(OR(B35="",NOT(ISNUMBER(CW35))),"",EDATE(CW35,60))</f>
        <v/>
      </c>
      <c r="FT35" s="51">
        <f>IF(OR(B35="",NOT(ISNUMBER(DH35))),"",EDATE(DH35,36))</f>
        <v/>
      </c>
      <c r="FU35" s="51">
        <f>IF(OR(B35="",NOT(ISNUMBER(BW35))),"",EDATE(BW35,24))</f>
        <v/>
      </c>
      <c r="FV35" s="51">
        <f>IF(OR(B35="",NOT(ISNUMBER(BX35))),"",BX35)</f>
        <v/>
      </c>
      <c r="FW35" s="51">
        <f>IF(OR(B35="",NOT(ISNUMBER(EK35))),"",EDATE(EK35,12))</f>
        <v/>
      </c>
      <c r="FX35" s="51">
        <f>IF(OR(B35="",NOT(ISNUMBER(EL35))),"",EL35)</f>
        <v/>
      </c>
      <c r="FY35" s="51">
        <f>IF(OR(B35="",NOT(ISNUMBER(EN35))),"",EDATE(EN35,12))</f>
        <v/>
      </c>
      <c r="FZ35" s="51">
        <f>IF(OR(B35="",NOT(ISNUMBER(EO35))),"",EO35)</f>
        <v/>
      </c>
      <c r="GA35" s="51">
        <f>IF(OR(B35="",NOT(ISNUMBER(CK35))),"",CK35)</f>
        <v/>
      </c>
      <c r="GB35" s="51">
        <f>IF(OR(B35="",NOT(ISNUMBER(CM35))),"",CM35)</f>
        <v/>
      </c>
      <c r="GC35" s="51">
        <f>IF(OR(B35="",NOT(ISNUMBER(CQ35))),"",CQ35)</f>
        <v/>
      </c>
      <c r="GD35" s="51">
        <f>IF(OR(B35="",NOT(ISNUMBER(EI35))),"",EI35)</f>
        <v/>
      </c>
      <c r="GE35" s="51">
        <f>IF(OR(B35="",NOT(ISNUMBER(FA35))),"",FA35)</f>
        <v/>
      </c>
      <c r="GF35" s="51">
        <f>IF(OR(B35="",NOT(ISNUMBER(ES35))),"",ES35)</f>
        <v/>
      </c>
      <c r="GG35" s="51">
        <f>IF(OR(B35="",NOT(ISNUMBER(FB35))),"",FB35)</f>
        <v/>
      </c>
    </row>
    <row r="36" ht="22" customHeight="1">
      <c r="A36" s="32" t="n">
        <v>32</v>
      </c>
      <c r="B36" s="33" t="n"/>
      <c r="C36" s="34">
        <f>IF(B36="","",((P36="Süresi geçti")+(P36="Yaklaşıyor")+(P36="Tarih hatalı"))+((Q36="Süresi geçti")+(Q36="Yaklaşıyor")+(Q36="Tarih hatalı"))+((R36="Süresi geçti")+(R36="Yaklaşıyor")+(R36="Tarih hatalı"))+((S36="Süresi geçti")+(S36="Yaklaşıyor")+(S36="Tarih hatalı"))+((T36="Süresi geçti")+(T36="Yaklaşıyor")+(T36="Tarih hatalı"))+((U36="Süresi geçti")+(U36="Yaklaşıyor")+(U36="Tarih hatalı"))+((V36="Süresi geçti")+(V36="Yaklaşıyor")+(V36="Tarih hatalı")))</f>
        <v/>
      </c>
      <c r="D36" s="35">
        <f>IF(OR(B36="",E36=""),"",INDEX($FO$4:$GG$4,1,MATCH(E36,FO36:GG36,0)))</f>
        <v/>
      </c>
      <c r="E36" s="36">
        <f>IF(B36="","",IF(COUNT(FO36:GG36)=0,"",SMALL(FO36:GG36,1)))</f>
        <v/>
      </c>
      <c r="F36" s="34">
        <f>IF(E36="","",E36-TODAY())</f>
        <v/>
      </c>
      <c r="G36" s="37" t="n"/>
      <c r="H36" s="37" t="n"/>
      <c r="I36" s="37" t="n"/>
      <c r="J36" s="37" t="n"/>
      <c r="K36" s="37" t="n"/>
      <c r="L36" s="38" t="n"/>
      <c r="M36" s="37" t="n"/>
      <c r="N36" s="37" t="n"/>
      <c r="O36" s="39" t="n"/>
      <c r="P36" s="35">
        <f>IF(B36="","",IF(NOT(ISNUMBER(AL36)),"Tarih girilmedi",IFERROR(IF(TODAY()&gt;AL36,"Süresi geçti",IF(TODAY()&gt;=(AL36-60),"Yaklaşıyor","Takipte")),"Tarih hatalı")))</f>
        <v/>
      </c>
      <c r="Q36" s="35">
        <f>IF(B36="","",IF(NOT(ISNUMBER(EK36)),"Tarih girilmedi",IFERROR(IF(TODAY()&gt;EDATE(EK36,12),"Süresi geçti",IF(TODAY()&gt;=EDATE(EK36,11),"Yaklaşıyor","Takipte")),"Tarih hatalı")))</f>
        <v/>
      </c>
      <c r="R36" s="35">
        <f>IF(B36="","",IF(NOT(ISNUMBER(EN36)),"Tarih girilmedi",IFERROR(IF(TODAY()&gt;EDATE(EN36,12),"Süresi geçti",IF(TODAY()&gt;=EDATE(EN36,11),"Yaklaşıyor","Takipte")),"Tarih hatalı")))</f>
        <v/>
      </c>
      <c r="S36" s="35">
        <f>IF(B36="","",IF(NOT(ISNUMBER(CW36)),"Tarih girilmedi",IFERROR(IF(TODAY()&gt;EDATE(CW36,60),"Süresi geçti",IF(TODAY()&gt;=EDATE(CW36,57),"Yaklaşıyor","Takipte")),"Tarih hatalı")))</f>
        <v/>
      </c>
      <c r="T36" s="35">
        <f>IF(B36="","",IF(NOT(ISNUMBER(DH36)),"Tarih girilmedi",IFERROR(IF(TODAY()&gt;EDATE(DH36,36),"Süresi geçti",IF(TODAY()&gt;=EDATE(DH36,33),"Yaklaşıyor","Takipte")),"Tarih hatalı")))</f>
        <v/>
      </c>
      <c r="U36" s="35">
        <f>IF(B36="","",IF(NOT(ISNUMBER(BW36)),"Tarih girilmedi",IFERROR(IF(TODAY()&gt;EDATE(BW36,24),"Süresi geçti",IF(TODAY()&gt;=(EDATE(BW36,24)-45),"Yaklaşıyor","Takipte")),"Tarih hatalı")))</f>
        <v/>
      </c>
      <c r="V36" s="35">
        <f>IF(B36="","",IF(NOT(ISNUMBER(BM36)),"Tarih girilmedi",IFERROR(IF(TODAY()&gt;BM36,"Süresi geçti",IF(TODAY()&gt;=(BM36-180),"Yaklaşıyor","Takipte")),"Tarih hatalı")))</f>
        <v/>
      </c>
      <c r="W36" s="40" t="n"/>
      <c r="X36" s="37" t="n"/>
      <c r="Y36" s="39" t="n"/>
      <c r="Z36" s="37" t="n"/>
      <c r="AA36" s="37" t="n"/>
      <c r="AB36" s="37" t="n"/>
      <c r="AC36" s="38" t="n"/>
      <c r="AD36" s="38" t="n"/>
      <c r="AE36" s="38" t="n"/>
      <c r="AF36" s="37" t="n"/>
      <c r="AG36" s="37" t="n"/>
      <c r="AH36" s="37" t="n"/>
      <c r="AI36" s="38" t="n"/>
      <c r="AJ36" s="37" t="n"/>
      <c r="AK36" s="41" t="n"/>
      <c r="AL36" s="41" t="n"/>
      <c r="AM36" s="37" t="n"/>
      <c r="AN36" s="39" t="n"/>
      <c r="AO36" s="42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43" t="n"/>
      <c r="AY36" s="37" t="n"/>
      <c r="AZ36" s="37" t="n"/>
      <c r="BA36" s="41" t="n"/>
      <c r="BB36" s="37" t="n"/>
      <c r="BC36" s="37" t="n"/>
      <c r="BD36" s="37" t="n"/>
      <c r="BE36" s="37" t="n"/>
      <c r="BF36" s="37" t="n"/>
      <c r="BG36" s="37" t="n"/>
      <c r="BH36" s="41" t="n"/>
      <c r="BI36" s="37" t="n"/>
      <c r="BJ36" s="37" t="n"/>
      <c r="BK36" s="38" t="n"/>
      <c r="BL36" s="37" t="n"/>
      <c r="BM36" s="41" t="n"/>
      <c r="BN36" s="37" t="n"/>
      <c r="BO36" s="41" t="n"/>
      <c r="BP36" s="37" t="n"/>
      <c r="BQ36" s="37" t="n"/>
      <c r="BR36" s="41" t="n"/>
      <c r="BS36" s="39" t="n"/>
      <c r="BT36" s="44" t="n"/>
      <c r="BU36" s="37" t="n"/>
      <c r="BV36" s="45" t="n"/>
      <c r="BW36" s="41" t="n"/>
      <c r="BX36" s="41" t="n"/>
      <c r="BY36" s="37" t="n"/>
      <c r="BZ36" s="37" t="n"/>
      <c r="CA36" s="37" t="n"/>
      <c r="CB36" s="37" t="n"/>
      <c r="CC36" s="39" t="n"/>
      <c r="CD36" s="39" t="n"/>
      <c r="CE36" s="46" t="n"/>
      <c r="CF36" s="37" t="n"/>
      <c r="CG36" s="37" t="n"/>
      <c r="CH36" s="45" t="n"/>
      <c r="CI36" s="37" t="n"/>
      <c r="CJ36" s="38" t="n"/>
      <c r="CK36" s="41" t="n"/>
      <c r="CL36" s="37" t="n"/>
      <c r="CM36" s="41" t="n"/>
      <c r="CN36" s="37" t="n"/>
      <c r="CO36" s="37" t="n"/>
      <c r="CP36" s="41" t="n"/>
      <c r="CQ36" s="41" t="n"/>
      <c r="CR36" s="37" t="n"/>
      <c r="CS36" s="37" t="n"/>
      <c r="CT36" s="47" t="n"/>
      <c r="CU36" s="37" t="n"/>
      <c r="CV36" s="38" t="n"/>
      <c r="CW36" s="41" t="n"/>
      <c r="CX36" s="37" t="n"/>
      <c r="CY36" s="37" t="n"/>
      <c r="CZ36" s="37" t="n"/>
      <c r="DA36" s="37" t="n"/>
      <c r="DB36" s="37" t="n"/>
      <c r="DC36" s="37" t="n"/>
      <c r="DD36" s="37" t="n"/>
      <c r="DE36" s="37" t="n"/>
      <c r="DF36" s="37" t="n"/>
      <c r="DG36" s="37" t="n"/>
      <c r="DH36" s="41" t="n"/>
      <c r="DI36" s="37" t="n"/>
      <c r="DJ36" s="37" t="n"/>
      <c r="DK36" s="37" t="n"/>
      <c r="DL36" s="41" t="n"/>
      <c r="DM36" s="37" t="n"/>
      <c r="DN36" s="45" t="n"/>
      <c r="DO36" s="41" t="n"/>
      <c r="DP36" s="48" t="n"/>
      <c r="DQ36" s="37" t="n"/>
      <c r="DR36" s="37" t="n"/>
      <c r="DS36" s="41" t="n"/>
      <c r="DT36" s="37" t="n"/>
      <c r="DU36" s="37" t="n"/>
      <c r="DV36" s="37" t="n"/>
      <c r="DW36" s="37" t="n"/>
      <c r="DX36" s="37" t="n"/>
      <c r="DY36" s="37" t="n"/>
      <c r="DZ36" s="39" t="n"/>
      <c r="EA36" s="37" t="n"/>
      <c r="EB36" s="37" t="n"/>
      <c r="EC36" s="37" t="n"/>
      <c r="ED36" s="41" t="n"/>
      <c r="EE36" s="37" t="n"/>
      <c r="EF36" s="39" t="n"/>
      <c r="EG36" s="49" t="n"/>
      <c r="EH36" s="41" t="n"/>
      <c r="EI36" s="41" t="n"/>
      <c r="EJ36" s="37" t="n"/>
      <c r="EK36" s="41" t="n"/>
      <c r="EL36" s="41" t="n"/>
      <c r="EM36" s="37" t="n"/>
      <c r="EN36" s="41" t="n"/>
      <c r="EO36" s="41" t="n"/>
      <c r="EP36" s="37" t="n"/>
      <c r="EQ36" s="39" t="n"/>
      <c r="ER36" s="45" t="n"/>
      <c r="ES36" s="41" t="n"/>
      <c r="ET36" s="39" t="n"/>
      <c r="EU36" s="39" t="n"/>
      <c r="EV36" s="41" t="n"/>
      <c r="EW36" s="39" t="n"/>
      <c r="EX36" s="37" t="n"/>
      <c r="EY36" s="37" t="n"/>
      <c r="EZ36" s="39" t="n"/>
      <c r="FA36" s="41" t="n"/>
      <c r="FB36" s="41" t="n"/>
      <c r="FC36" s="50" t="n"/>
      <c r="FD36" s="36">
        <f>IF(B36="","",IF(NOT(ISNUMBER(EK36)),"Tarih girilmedi",IFERROR(EDATE(EK36,12),"Tarih hatalı")))</f>
        <v/>
      </c>
      <c r="FE36" s="36">
        <f>IF(B36="","",IF(NOT(ISNUMBER(EK36)),"Tarih girilmedi",IFERROR(EDATE(EK36,11),"Tarih hatalı")))</f>
        <v/>
      </c>
      <c r="FF36" s="36">
        <f>IF(B36="","",IF(NOT(ISNUMBER(EN36)),"Tarih girilmedi",IFERROR(EDATE(EN36,12),"Tarih hatalı")))</f>
        <v/>
      </c>
      <c r="FG36" s="36">
        <f>IF(B36="","",IF(NOT(ISNUMBER(EN36)),"Tarih girilmedi",IFERROR(EDATE(EN36,11),"Tarih hatalı")))</f>
        <v/>
      </c>
      <c r="FH36" s="36">
        <f>IF(B36="","",IF(NOT(ISNUMBER(CW36)),"Tarih girilmedi",IFERROR(EDATE(CW36,60),"Tarih hatalı")))</f>
        <v/>
      </c>
      <c r="FI36" s="36">
        <f>IF(B36="","",IF(NOT(ISNUMBER(CW36)),"Tarih girilmedi",IFERROR(EDATE(CW36,57),"Tarih hatalı")))</f>
        <v/>
      </c>
      <c r="FJ36" s="36">
        <f>IF(B36="","",IF(NOT(ISNUMBER(DH36)),"Tarih girilmedi",IFERROR(EDATE(DH36,36),"Tarih hatalı")))</f>
        <v/>
      </c>
      <c r="FK36" s="36">
        <f>IF(B36="","",IF(NOT(ISNUMBER(DH36)),"Tarih girilmedi",IFERROR(EDATE(DH36,33),"Tarih hatalı")))</f>
        <v/>
      </c>
      <c r="FL36" s="36">
        <f>IF(B36="","",IF(NOT(ISNUMBER(BW36)),"Tarih girilmedi",IFERROR(EDATE(BW36,24),"Tarih hatalı")))</f>
        <v/>
      </c>
      <c r="FM36" s="36">
        <f>IF(B36="","",IF(NOT(ISNUMBER(BW36)),"Tarih girilmedi",IFERROR(EDATE(BW36,24)-45,"Tarih hatalı")))</f>
        <v/>
      </c>
      <c r="FN36" s="36">
        <f>IF(B36="","",IF(NOT(ISNUMBER(BM36)),"Tarih girilmedi",IFERROR(BM36-180,"Tarih hatalı")))</f>
        <v/>
      </c>
      <c r="FO36" s="51">
        <f>IF(OR(B36="",NOT(ISNUMBER(BM36))),"",BM36)</f>
        <v/>
      </c>
      <c r="FP36" s="51">
        <f>IF(OR(B36="",NOT(ISNUMBER(BM36))),"",BM36-180)</f>
        <v/>
      </c>
      <c r="FQ36" s="51">
        <f>IF(OR(B36="",NOT(ISNUMBER(BR36))),"",BR36)</f>
        <v/>
      </c>
      <c r="FR36" s="51">
        <f>IF(OR(B36="",NOT(ISNUMBER(AL36))),"",AL36)</f>
        <v/>
      </c>
      <c r="FS36" s="51">
        <f>IF(OR(B36="",NOT(ISNUMBER(CW36))),"",EDATE(CW36,60))</f>
        <v/>
      </c>
      <c r="FT36" s="51">
        <f>IF(OR(B36="",NOT(ISNUMBER(DH36))),"",EDATE(DH36,36))</f>
        <v/>
      </c>
      <c r="FU36" s="51">
        <f>IF(OR(B36="",NOT(ISNUMBER(BW36))),"",EDATE(BW36,24))</f>
        <v/>
      </c>
      <c r="FV36" s="51">
        <f>IF(OR(B36="",NOT(ISNUMBER(BX36))),"",BX36)</f>
        <v/>
      </c>
      <c r="FW36" s="51">
        <f>IF(OR(B36="",NOT(ISNUMBER(EK36))),"",EDATE(EK36,12))</f>
        <v/>
      </c>
      <c r="FX36" s="51">
        <f>IF(OR(B36="",NOT(ISNUMBER(EL36))),"",EL36)</f>
        <v/>
      </c>
      <c r="FY36" s="51">
        <f>IF(OR(B36="",NOT(ISNUMBER(EN36))),"",EDATE(EN36,12))</f>
        <v/>
      </c>
      <c r="FZ36" s="51">
        <f>IF(OR(B36="",NOT(ISNUMBER(EO36))),"",EO36)</f>
        <v/>
      </c>
      <c r="GA36" s="51">
        <f>IF(OR(B36="",NOT(ISNUMBER(CK36))),"",CK36)</f>
        <v/>
      </c>
      <c r="GB36" s="51">
        <f>IF(OR(B36="",NOT(ISNUMBER(CM36))),"",CM36)</f>
        <v/>
      </c>
      <c r="GC36" s="51">
        <f>IF(OR(B36="",NOT(ISNUMBER(CQ36))),"",CQ36)</f>
        <v/>
      </c>
      <c r="GD36" s="51">
        <f>IF(OR(B36="",NOT(ISNUMBER(EI36))),"",EI36)</f>
        <v/>
      </c>
      <c r="GE36" s="51">
        <f>IF(OR(B36="",NOT(ISNUMBER(FA36))),"",FA36)</f>
        <v/>
      </c>
      <c r="GF36" s="51">
        <f>IF(OR(B36="",NOT(ISNUMBER(ES36))),"",ES36)</f>
        <v/>
      </c>
      <c r="GG36" s="51">
        <f>IF(OR(B36="",NOT(ISNUMBER(FB36))),"",FB36)</f>
        <v/>
      </c>
    </row>
    <row r="37" ht="22" customHeight="1">
      <c r="A37" s="32" t="n">
        <v>33</v>
      </c>
      <c r="B37" s="33" t="n"/>
      <c r="C37" s="34">
        <f>IF(B37="","",((P37="Süresi geçti")+(P37="Yaklaşıyor")+(P37="Tarih hatalı"))+((Q37="Süresi geçti")+(Q37="Yaklaşıyor")+(Q37="Tarih hatalı"))+((R37="Süresi geçti")+(R37="Yaklaşıyor")+(R37="Tarih hatalı"))+((S37="Süresi geçti")+(S37="Yaklaşıyor")+(S37="Tarih hatalı"))+((T37="Süresi geçti")+(T37="Yaklaşıyor")+(T37="Tarih hatalı"))+((U37="Süresi geçti")+(U37="Yaklaşıyor")+(U37="Tarih hatalı"))+((V37="Süresi geçti")+(V37="Yaklaşıyor")+(V37="Tarih hatalı")))</f>
        <v/>
      </c>
      <c r="D37" s="35">
        <f>IF(OR(B37="",E37=""),"",INDEX($FO$4:$GG$4,1,MATCH(E37,FO37:GG37,0)))</f>
        <v/>
      </c>
      <c r="E37" s="36">
        <f>IF(B37="","",IF(COUNT(FO37:GG37)=0,"",SMALL(FO37:GG37,1)))</f>
        <v/>
      </c>
      <c r="F37" s="34">
        <f>IF(E37="","",E37-TODAY())</f>
        <v/>
      </c>
      <c r="G37" s="37" t="n"/>
      <c r="H37" s="37" t="n"/>
      <c r="I37" s="37" t="n"/>
      <c r="J37" s="37" t="n"/>
      <c r="K37" s="37" t="n"/>
      <c r="L37" s="38" t="n"/>
      <c r="M37" s="37" t="n"/>
      <c r="N37" s="37" t="n"/>
      <c r="O37" s="39" t="n"/>
      <c r="P37" s="35">
        <f>IF(B37="","",IF(NOT(ISNUMBER(AL37)),"Tarih girilmedi",IFERROR(IF(TODAY()&gt;AL37,"Süresi geçti",IF(TODAY()&gt;=(AL37-60),"Yaklaşıyor","Takipte")),"Tarih hatalı")))</f>
        <v/>
      </c>
      <c r="Q37" s="35">
        <f>IF(B37="","",IF(NOT(ISNUMBER(EK37)),"Tarih girilmedi",IFERROR(IF(TODAY()&gt;EDATE(EK37,12),"Süresi geçti",IF(TODAY()&gt;=EDATE(EK37,11),"Yaklaşıyor","Takipte")),"Tarih hatalı")))</f>
        <v/>
      </c>
      <c r="R37" s="35">
        <f>IF(B37="","",IF(NOT(ISNUMBER(EN37)),"Tarih girilmedi",IFERROR(IF(TODAY()&gt;EDATE(EN37,12),"Süresi geçti",IF(TODAY()&gt;=EDATE(EN37,11),"Yaklaşıyor","Takipte")),"Tarih hatalı")))</f>
        <v/>
      </c>
      <c r="S37" s="35">
        <f>IF(B37="","",IF(NOT(ISNUMBER(CW37)),"Tarih girilmedi",IFERROR(IF(TODAY()&gt;EDATE(CW37,60),"Süresi geçti",IF(TODAY()&gt;=EDATE(CW37,57),"Yaklaşıyor","Takipte")),"Tarih hatalı")))</f>
        <v/>
      </c>
      <c r="T37" s="35">
        <f>IF(B37="","",IF(NOT(ISNUMBER(DH37)),"Tarih girilmedi",IFERROR(IF(TODAY()&gt;EDATE(DH37,36),"Süresi geçti",IF(TODAY()&gt;=EDATE(DH37,33),"Yaklaşıyor","Takipte")),"Tarih hatalı")))</f>
        <v/>
      </c>
      <c r="U37" s="35">
        <f>IF(B37="","",IF(NOT(ISNUMBER(BW37)),"Tarih girilmedi",IFERROR(IF(TODAY()&gt;EDATE(BW37,24),"Süresi geçti",IF(TODAY()&gt;=(EDATE(BW37,24)-45),"Yaklaşıyor","Takipte")),"Tarih hatalı")))</f>
        <v/>
      </c>
      <c r="V37" s="35">
        <f>IF(B37="","",IF(NOT(ISNUMBER(BM37)),"Tarih girilmedi",IFERROR(IF(TODAY()&gt;BM37,"Süresi geçti",IF(TODAY()&gt;=(BM37-180),"Yaklaşıyor","Takipte")),"Tarih hatalı")))</f>
        <v/>
      </c>
      <c r="W37" s="40" t="n"/>
      <c r="X37" s="37" t="n"/>
      <c r="Y37" s="39" t="n"/>
      <c r="Z37" s="37" t="n"/>
      <c r="AA37" s="37" t="n"/>
      <c r="AB37" s="37" t="n"/>
      <c r="AC37" s="38" t="n"/>
      <c r="AD37" s="38" t="n"/>
      <c r="AE37" s="38" t="n"/>
      <c r="AF37" s="37" t="n"/>
      <c r="AG37" s="37" t="n"/>
      <c r="AH37" s="37" t="n"/>
      <c r="AI37" s="38" t="n"/>
      <c r="AJ37" s="37" t="n"/>
      <c r="AK37" s="41" t="n"/>
      <c r="AL37" s="41" t="n"/>
      <c r="AM37" s="37" t="n"/>
      <c r="AN37" s="39" t="n"/>
      <c r="AO37" s="42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43" t="n"/>
      <c r="AY37" s="37" t="n"/>
      <c r="AZ37" s="37" t="n"/>
      <c r="BA37" s="41" t="n"/>
      <c r="BB37" s="37" t="n"/>
      <c r="BC37" s="37" t="n"/>
      <c r="BD37" s="37" t="n"/>
      <c r="BE37" s="37" t="n"/>
      <c r="BF37" s="37" t="n"/>
      <c r="BG37" s="37" t="n"/>
      <c r="BH37" s="41" t="n"/>
      <c r="BI37" s="37" t="n"/>
      <c r="BJ37" s="37" t="n"/>
      <c r="BK37" s="38" t="n"/>
      <c r="BL37" s="37" t="n"/>
      <c r="BM37" s="41" t="n"/>
      <c r="BN37" s="37" t="n"/>
      <c r="BO37" s="41" t="n"/>
      <c r="BP37" s="37" t="n"/>
      <c r="BQ37" s="37" t="n"/>
      <c r="BR37" s="41" t="n"/>
      <c r="BS37" s="39" t="n"/>
      <c r="BT37" s="44" t="n"/>
      <c r="BU37" s="37" t="n"/>
      <c r="BV37" s="45" t="n"/>
      <c r="BW37" s="41" t="n"/>
      <c r="BX37" s="41" t="n"/>
      <c r="BY37" s="37" t="n"/>
      <c r="BZ37" s="37" t="n"/>
      <c r="CA37" s="37" t="n"/>
      <c r="CB37" s="37" t="n"/>
      <c r="CC37" s="39" t="n"/>
      <c r="CD37" s="39" t="n"/>
      <c r="CE37" s="46" t="n"/>
      <c r="CF37" s="37" t="n"/>
      <c r="CG37" s="37" t="n"/>
      <c r="CH37" s="45" t="n"/>
      <c r="CI37" s="37" t="n"/>
      <c r="CJ37" s="38" t="n"/>
      <c r="CK37" s="41" t="n"/>
      <c r="CL37" s="37" t="n"/>
      <c r="CM37" s="41" t="n"/>
      <c r="CN37" s="37" t="n"/>
      <c r="CO37" s="37" t="n"/>
      <c r="CP37" s="41" t="n"/>
      <c r="CQ37" s="41" t="n"/>
      <c r="CR37" s="37" t="n"/>
      <c r="CS37" s="37" t="n"/>
      <c r="CT37" s="47" t="n"/>
      <c r="CU37" s="37" t="n"/>
      <c r="CV37" s="38" t="n"/>
      <c r="CW37" s="41" t="n"/>
      <c r="CX37" s="37" t="n"/>
      <c r="CY37" s="37" t="n"/>
      <c r="CZ37" s="37" t="n"/>
      <c r="DA37" s="37" t="n"/>
      <c r="DB37" s="37" t="n"/>
      <c r="DC37" s="37" t="n"/>
      <c r="DD37" s="37" t="n"/>
      <c r="DE37" s="37" t="n"/>
      <c r="DF37" s="37" t="n"/>
      <c r="DG37" s="37" t="n"/>
      <c r="DH37" s="41" t="n"/>
      <c r="DI37" s="37" t="n"/>
      <c r="DJ37" s="37" t="n"/>
      <c r="DK37" s="37" t="n"/>
      <c r="DL37" s="41" t="n"/>
      <c r="DM37" s="37" t="n"/>
      <c r="DN37" s="45" t="n"/>
      <c r="DO37" s="41" t="n"/>
      <c r="DP37" s="48" t="n"/>
      <c r="DQ37" s="37" t="n"/>
      <c r="DR37" s="37" t="n"/>
      <c r="DS37" s="41" t="n"/>
      <c r="DT37" s="37" t="n"/>
      <c r="DU37" s="37" t="n"/>
      <c r="DV37" s="37" t="n"/>
      <c r="DW37" s="37" t="n"/>
      <c r="DX37" s="37" t="n"/>
      <c r="DY37" s="37" t="n"/>
      <c r="DZ37" s="39" t="n"/>
      <c r="EA37" s="37" t="n"/>
      <c r="EB37" s="37" t="n"/>
      <c r="EC37" s="37" t="n"/>
      <c r="ED37" s="41" t="n"/>
      <c r="EE37" s="37" t="n"/>
      <c r="EF37" s="39" t="n"/>
      <c r="EG37" s="49" t="n"/>
      <c r="EH37" s="41" t="n"/>
      <c r="EI37" s="41" t="n"/>
      <c r="EJ37" s="37" t="n"/>
      <c r="EK37" s="41" t="n"/>
      <c r="EL37" s="41" t="n"/>
      <c r="EM37" s="37" t="n"/>
      <c r="EN37" s="41" t="n"/>
      <c r="EO37" s="41" t="n"/>
      <c r="EP37" s="37" t="n"/>
      <c r="EQ37" s="39" t="n"/>
      <c r="ER37" s="45" t="n"/>
      <c r="ES37" s="41" t="n"/>
      <c r="ET37" s="39" t="n"/>
      <c r="EU37" s="39" t="n"/>
      <c r="EV37" s="41" t="n"/>
      <c r="EW37" s="39" t="n"/>
      <c r="EX37" s="37" t="n"/>
      <c r="EY37" s="37" t="n"/>
      <c r="EZ37" s="39" t="n"/>
      <c r="FA37" s="41" t="n"/>
      <c r="FB37" s="41" t="n"/>
      <c r="FC37" s="50" t="n"/>
      <c r="FD37" s="36">
        <f>IF(B37="","",IF(NOT(ISNUMBER(EK37)),"Tarih girilmedi",IFERROR(EDATE(EK37,12),"Tarih hatalı")))</f>
        <v/>
      </c>
      <c r="FE37" s="36">
        <f>IF(B37="","",IF(NOT(ISNUMBER(EK37)),"Tarih girilmedi",IFERROR(EDATE(EK37,11),"Tarih hatalı")))</f>
        <v/>
      </c>
      <c r="FF37" s="36">
        <f>IF(B37="","",IF(NOT(ISNUMBER(EN37)),"Tarih girilmedi",IFERROR(EDATE(EN37,12),"Tarih hatalı")))</f>
        <v/>
      </c>
      <c r="FG37" s="36">
        <f>IF(B37="","",IF(NOT(ISNUMBER(EN37)),"Tarih girilmedi",IFERROR(EDATE(EN37,11),"Tarih hatalı")))</f>
        <v/>
      </c>
      <c r="FH37" s="36">
        <f>IF(B37="","",IF(NOT(ISNUMBER(CW37)),"Tarih girilmedi",IFERROR(EDATE(CW37,60),"Tarih hatalı")))</f>
        <v/>
      </c>
      <c r="FI37" s="36">
        <f>IF(B37="","",IF(NOT(ISNUMBER(CW37)),"Tarih girilmedi",IFERROR(EDATE(CW37,57),"Tarih hatalı")))</f>
        <v/>
      </c>
      <c r="FJ37" s="36">
        <f>IF(B37="","",IF(NOT(ISNUMBER(DH37)),"Tarih girilmedi",IFERROR(EDATE(DH37,36),"Tarih hatalı")))</f>
        <v/>
      </c>
      <c r="FK37" s="36">
        <f>IF(B37="","",IF(NOT(ISNUMBER(DH37)),"Tarih girilmedi",IFERROR(EDATE(DH37,33),"Tarih hatalı")))</f>
        <v/>
      </c>
      <c r="FL37" s="36">
        <f>IF(B37="","",IF(NOT(ISNUMBER(BW37)),"Tarih girilmedi",IFERROR(EDATE(BW37,24),"Tarih hatalı")))</f>
        <v/>
      </c>
      <c r="FM37" s="36">
        <f>IF(B37="","",IF(NOT(ISNUMBER(BW37)),"Tarih girilmedi",IFERROR(EDATE(BW37,24)-45,"Tarih hatalı")))</f>
        <v/>
      </c>
      <c r="FN37" s="36">
        <f>IF(B37="","",IF(NOT(ISNUMBER(BM37)),"Tarih girilmedi",IFERROR(BM37-180,"Tarih hatalı")))</f>
        <v/>
      </c>
      <c r="FO37" s="51">
        <f>IF(OR(B37="",NOT(ISNUMBER(BM37))),"",BM37)</f>
        <v/>
      </c>
      <c r="FP37" s="51">
        <f>IF(OR(B37="",NOT(ISNUMBER(BM37))),"",BM37-180)</f>
        <v/>
      </c>
      <c r="FQ37" s="51">
        <f>IF(OR(B37="",NOT(ISNUMBER(BR37))),"",BR37)</f>
        <v/>
      </c>
      <c r="FR37" s="51">
        <f>IF(OR(B37="",NOT(ISNUMBER(AL37))),"",AL37)</f>
        <v/>
      </c>
      <c r="FS37" s="51">
        <f>IF(OR(B37="",NOT(ISNUMBER(CW37))),"",EDATE(CW37,60))</f>
        <v/>
      </c>
      <c r="FT37" s="51">
        <f>IF(OR(B37="",NOT(ISNUMBER(DH37))),"",EDATE(DH37,36))</f>
        <v/>
      </c>
      <c r="FU37" s="51">
        <f>IF(OR(B37="",NOT(ISNUMBER(BW37))),"",EDATE(BW37,24))</f>
        <v/>
      </c>
      <c r="FV37" s="51">
        <f>IF(OR(B37="",NOT(ISNUMBER(BX37))),"",BX37)</f>
        <v/>
      </c>
      <c r="FW37" s="51">
        <f>IF(OR(B37="",NOT(ISNUMBER(EK37))),"",EDATE(EK37,12))</f>
        <v/>
      </c>
      <c r="FX37" s="51">
        <f>IF(OR(B37="",NOT(ISNUMBER(EL37))),"",EL37)</f>
        <v/>
      </c>
      <c r="FY37" s="51">
        <f>IF(OR(B37="",NOT(ISNUMBER(EN37))),"",EDATE(EN37,12))</f>
        <v/>
      </c>
      <c r="FZ37" s="51">
        <f>IF(OR(B37="",NOT(ISNUMBER(EO37))),"",EO37)</f>
        <v/>
      </c>
      <c r="GA37" s="51">
        <f>IF(OR(B37="",NOT(ISNUMBER(CK37))),"",CK37)</f>
        <v/>
      </c>
      <c r="GB37" s="51">
        <f>IF(OR(B37="",NOT(ISNUMBER(CM37))),"",CM37)</f>
        <v/>
      </c>
      <c r="GC37" s="51">
        <f>IF(OR(B37="",NOT(ISNUMBER(CQ37))),"",CQ37)</f>
        <v/>
      </c>
      <c r="GD37" s="51">
        <f>IF(OR(B37="",NOT(ISNUMBER(EI37))),"",EI37)</f>
        <v/>
      </c>
      <c r="GE37" s="51">
        <f>IF(OR(B37="",NOT(ISNUMBER(FA37))),"",FA37)</f>
        <v/>
      </c>
      <c r="GF37" s="51">
        <f>IF(OR(B37="",NOT(ISNUMBER(ES37))),"",ES37)</f>
        <v/>
      </c>
      <c r="GG37" s="51">
        <f>IF(OR(B37="",NOT(ISNUMBER(FB37))),"",FB37)</f>
        <v/>
      </c>
    </row>
    <row r="38" ht="22" customHeight="1">
      <c r="A38" s="32" t="n">
        <v>34</v>
      </c>
      <c r="B38" s="33" t="n"/>
      <c r="C38" s="34">
        <f>IF(B38="","",((P38="Süresi geçti")+(P38="Yaklaşıyor")+(P38="Tarih hatalı"))+((Q38="Süresi geçti")+(Q38="Yaklaşıyor")+(Q38="Tarih hatalı"))+((R38="Süresi geçti")+(R38="Yaklaşıyor")+(R38="Tarih hatalı"))+((S38="Süresi geçti")+(S38="Yaklaşıyor")+(S38="Tarih hatalı"))+((T38="Süresi geçti")+(T38="Yaklaşıyor")+(T38="Tarih hatalı"))+((U38="Süresi geçti")+(U38="Yaklaşıyor")+(U38="Tarih hatalı"))+((V38="Süresi geçti")+(V38="Yaklaşıyor")+(V38="Tarih hatalı")))</f>
        <v/>
      </c>
      <c r="D38" s="35">
        <f>IF(OR(B38="",E38=""),"",INDEX($FO$4:$GG$4,1,MATCH(E38,FO38:GG38,0)))</f>
        <v/>
      </c>
      <c r="E38" s="36">
        <f>IF(B38="","",IF(COUNT(FO38:GG38)=0,"",SMALL(FO38:GG38,1)))</f>
        <v/>
      </c>
      <c r="F38" s="34">
        <f>IF(E38="","",E38-TODAY())</f>
        <v/>
      </c>
      <c r="G38" s="37" t="n"/>
      <c r="H38" s="37" t="n"/>
      <c r="I38" s="37" t="n"/>
      <c r="J38" s="37" t="n"/>
      <c r="K38" s="37" t="n"/>
      <c r="L38" s="38" t="n"/>
      <c r="M38" s="37" t="n"/>
      <c r="N38" s="37" t="n"/>
      <c r="O38" s="39" t="n"/>
      <c r="P38" s="35">
        <f>IF(B38="","",IF(NOT(ISNUMBER(AL38)),"Tarih girilmedi",IFERROR(IF(TODAY()&gt;AL38,"Süresi geçti",IF(TODAY()&gt;=(AL38-60),"Yaklaşıyor","Takipte")),"Tarih hatalı")))</f>
        <v/>
      </c>
      <c r="Q38" s="35">
        <f>IF(B38="","",IF(NOT(ISNUMBER(EK38)),"Tarih girilmedi",IFERROR(IF(TODAY()&gt;EDATE(EK38,12),"Süresi geçti",IF(TODAY()&gt;=EDATE(EK38,11),"Yaklaşıyor","Takipte")),"Tarih hatalı")))</f>
        <v/>
      </c>
      <c r="R38" s="35">
        <f>IF(B38="","",IF(NOT(ISNUMBER(EN38)),"Tarih girilmedi",IFERROR(IF(TODAY()&gt;EDATE(EN38,12),"Süresi geçti",IF(TODAY()&gt;=EDATE(EN38,11),"Yaklaşıyor","Takipte")),"Tarih hatalı")))</f>
        <v/>
      </c>
      <c r="S38" s="35">
        <f>IF(B38="","",IF(NOT(ISNUMBER(CW38)),"Tarih girilmedi",IFERROR(IF(TODAY()&gt;EDATE(CW38,60),"Süresi geçti",IF(TODAY()&gt;=EDATE(CW38,57),"Yaklaşıyor","Takipte")),"Tarih hatalı")))</f>
        <v/>
      </c>
      <c r="T38" s="35">
        <f>IF(B38="","",IF(NOT(ISNUMBER(DH38)),"Tarih girilmedi",IFERROR(IF(TODAY()&gt;EDATE(DH38,36),"Süresi geçti",IF(TODAY()&gt;=EDATE(DH38,33),"Yaklaşıyor","Takipte")),"Tarih hatalı")))</f>
        <v/>
      </c>
      <c r="U38" s="35">
        <f>IF(B38="","",IF(NOT(ISNUMBER(BW38)),"Tarih girilmedi",IFERROR(IF(TODAY()&gt;EDATE(BW38,24),"Süresi geçti",IF(TODAY()&gt;=(EDATE(BW38,24)-45),"Yaklaşıyor","Takipte")),"Tarih hatalı")))</f>
        <v/>
      </c>
      <c r="V38" s="35">
        <f>IF(B38="","",IF(NOT(ISNUMBER(BM38)),"Tarih girilmedi",IFERROR(IF(TODAY()&gt;BM38,"Süresi geçti",IF(TODAY()&gt;=(BM38-180),"Yaklaşıyor","Takipte")),"Tarih hatalı")))</f>
        <v/>
      </c>
      <c r="W38" s="40" t="n"/>
      <c r="X38" s="37" t="n"/>
      <c r="Y38" s="39" t="n"/>
      <c r="Z38" s="37" t="n"/>
      <c r="AA38" s="37" t="n"/>
      <c r="AB38" s="37" t="n"/>
      <c r="AC38" s="38" t="n"/>
      <c r="AD38" s="38" t="n"/>
      <c r="AE38" s="38" t="n"/>
      <c r="AF38" s="37" t="n"/>
      <c r="AG38" s="37" t="n"/>
      <c r="AH38" s="37" t="n"/>
      <c r="AI38" s="38" t="n"/>
      <c r="AJ38" s="37" t="n"/>
      <c r="AK38" s="41" t="n"/>
      <c r="AL38" s="41" t="n"/>
      <c r="AM38" s="37" t="n"/>
      <c r="AN38" s="39" t="n"/>
      <c r="AO38" s="42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43" t="n"/>
      <c r="AY38" s="37" t="n"/>
      <c r="AZ38" s="37" t="n"/>
      <c r="BA38" s="41" t="n"/>
      <c r="BB38" s="37" t="n"/>
      <c r="BC38" s="37" t="n"/>
      <c r="BD38" s="37" t="n"/>
      <c r="BE38" s="37" t="n"/>
      <c r="BF38" s="37" t="n"/>
      <c r="BG38" s="37" t="n"/>
      <c r="BH38" s="41" t="n"/>
      <c r="BI38" s="37" t="n"/>
      <c r="BJ38" s="37" t="n"/>
      <c r="BK38" s="38" t="n"/>
      <c r="BL38" s="37" t="n"/>
      <c r="BM38" s="41" t="n"/>
      <c r="BN38" s="37" t="n"/>
      <c r="BO38" s="41" t="n"/>
      <c r="BP38" s="37" t="n"/>
      <c r="BQ38" s="37" t="n"/>
      <c r="BR38" s="41" t="n"/>
      <c r="BS38" s="39" t="n"/>
      <c r="BT38" s="44" t="n"/>
      <c r="BU38" s="37" t="n"/>
      <c r="BV38" s="45" t="n"/>
      <c r="BW38" s="41" t="n"/>
      <c r="BX38" s="41" t="n"/>
      <c r="BY38" s="37" t="n"/>
      <c r="BZ38" s="37" t="n"/>
      <c r="CA38" s="37" t="n"/>
      <c r="CB38" s="37" t="n"/>
      <c r="CC38" s="39" t="n"/>
      <c r="CD38" s="39" t="n"/>
      <c r="CE38" s="46" t="n"/>
      <c r="CF38" s="37" t="n"/>
      <c r="CG38" s="37" t="n"/>
      <c r="CH38" s="45" t="n"/>
      <c r="CI38" s="37" t="n"/>
      <c r="CJ38" s="38" t="n"/>
      <c r="CK38" s="41" t="n"/>
      <c r="CL38" s="37" t="n"/>
      <c r="CM38" s="41" t="n"/>
      <c r="CN38" s="37" t="n"/>
      <c r="CO38" s="37" t="n"/>
      <c r="CP38" s="41" t="n"/>
      <c r="CQ38" s="41" t="n"/>
      <c r="CR38" s="37" t="n"/>
      <c r="CS38" s="37" t="n"/>
      <c r="CT38" s="47" t="n"/>
      <c r="CU38" s="37" t="n"/>
      <c r="CV38" s="38" t="n"/>
      <c r="CW38" s="41" t="n"/>
      <c r="CX38" s="37" t="n"/>
      <c r="CY38" s="37" t="n"/>
      <c r="CZ38" s="37" t="n"/>
      <c r="DA38" s="37" t="n"/>
      <c r="DB38" s="37" t="n"/>
      <c r="DC38" s="37" t="n"/>
      <c r="DD38" s="37" t="n"/>
      <c r="DE38" s="37" t="n"/>
      <c r="DF38" s="37" t="n"/>
      <c r="DG38" s="37" t="n"/>
      <c r="DH38" s="41" t="n"/>
      <c r="DI38" s="37" t="n"/>
      <c r="DJ38" s="37" t="n"/>
      <c r="DK38" s="37" t="n"/>
      <c r="DL38" s="41" t="n"/>
      <c r="DM38" s="37" t="n"/>
      <c r="DN38" s="45" t="n"/>
      <c r="DO38" s="41" t="n"/>
      <c r="DP38" s="48" t="n"/>
      <c r="DQ38" s="37" t="n"/>
      <c r="DR38" s="37" t="n"/>
      <c r="DS38" s="41" t="n"/>
      <c r="DT38" s="37" t="n"/>
      <c r="DU38" s="37" t="n"/>
      <c r="DV38" s="37" t="n"/>
      <c r="DW38" s="37" t="n"/>
      <c r="DX38" s="37" t="n"/>
      <c r="DY38" s="37" t="n"/>
      <c r="DZ38" s="39" t="n"/>
      <c r="EA38" s="37" t="n"/>
      <c r="EB38" s="37" t="n"/>
      <c r="EC38" s="37" t="n"/>
      <c r="ED38" s="41" t="n"/>
      <c r="EE38" s="37" t="n"/>
      <c r="EF38" s="39" t="n"/>
      <c r="EG38" s="49" t="n"/>
      <c r="EH38" s="41" t="n"/>
      <c r="EI38" s="41" t="n"/>
      <c r="EJ38" s="37" t="n"/>
      <c r="EK38" s="41" t="n"/>
      <c r="EL38" s="41" t="n"/>
      <c r="EM38" s="37" t="n"/>
      <c r="EN38" s="41" t="n"/>
      <c r="EO38" s="41" t="n"/>
      <c r="EP38" s="37" t="n"/>
      <c r="EQ38" s="39" t="n"/>
      <c r="ER38" s="45" t="n"/>
      <c r="ES38" s="41" t="n"/>
      <c r="ET38" s="39" t="n"/>
      <c r="EU38" s="39" t="n"/>
      <c r="EV38" s="41" t="n"/>
      <c r="EW38" s="39" t="n"/>
      <c r="EX38" s="37" t="n"/>
      <c r="EY38" s="37" t="n"/>
      <c r="EZ38" s="39" t="n"/>
      <c r="FA38" s="41" t="n"/>
      <c r="FB38" s="41" t="n"/>
      <c r="FC38" s="50" t="n"/>
      <c r="FD38" s="36">
        <f>IF(B38="","",IF(NOT(ISNUMBER(EK38)),"Tarih girilmedi",IFERROR(EDATE(EK38,12),"Tarih hatalı")))</f>
        <v/>
      </c>
      <c r="FE38" s="36">
        <f>IF(B38="","",IF(NOT(ISNUMBER(EK38)),"Tarih girilmedi",IFERROR(EDATE(EK38,11),"Tarih hatalı")))</f>
        <v/>
      </c>
      <c r="FF38" s="36">
        <f>IF(B38="","",IF(NOT(ISNUMBER(EN38)),"Tarih girilmedi",IFERROR(EDATE(EN38,12),"Tarih hatalı")))</f>
        <v/>
      </c>
      <c r="FG38" s="36">
        <f>IF(B38="","",IF(NOT(ISNUMBER(EN38)),"Tarih girilmedi",IFERROR(EDATE(EN38,11),"Tarih hatalı")))</f>
        <v/>
      </c>
      <c r="FH38" s="36">
        <f>IF(B38="","",IF(NOT(ISNUMBER(CW38)),"Tarih girilmedi",IFERROR(EDATE(CW38,60),"Tarih hatalı")))</f>
        <v/>
      </c>
      <c r="FI38" s="36">
        <f>IF(B38="","",IF(NOT(ISNUMBER(CW38)),"Tarih girilmedi",IFERROR(EDATE(CW38,57),"Tarih hatalı")))</f>
        <v/>
      </c>
      <c r="FJ38" s="36">
        <f>IF(B38="","",IF(NOT(ISNUMBER(DH38)),"Tarih girilmedi",IFERROR(EDATE(DH38,36),"Tarih hatalı")))</f>
        <v/>
      </c>
      <c r="FK38" s="36">
        <f>IF(B38="","",IF(NOT(ISNUMBER(DH38)),"Tarih girilmedi",IFERROR(EDATE(DH38,33),"Tarih hatalı")))</f>
        <v/>
      </c>
      <c r="FL38" s="36">
        <f>IF(B38="","",IF(NOT(ISNUMBER(BW38)),"Tarih girilmedi",IFERROR(EDATE(BW38,24),"Tarih hatalı")))</f>
        <v/>
      </c>
      <c r="FM38" s="36">
        <f>IF(B38="","",IF(NOT(ISNUMBER(BW38)),"Tarih girilmedi",IFERROR(EDATE(BW38,24)-45,"Tarih hatalı")))</f>
        <v/>
      </c>
      <c r="FN38" s="36">
        <f>IF(B38="","",IF(NOT(ISNUMBER(BM38)),"Tarih girilmedi",IFERROR(BM38-180,"Tarih hatalı")))</f>
        <v/>
      </c>
      <c r="FO38" s="51">
        <f>IF(OR(B38="",NOT(ISNUMBER(BM38))),"",BM38)</f>
        <v/>
      </c>
      <c r="FP38" s="51">
        <f>IF(OR(B38="",NOT(ISNUMBER(BM38))),"",BM38-180)</f>
        <v/>
      </c>
      <c r="FQ38" s="51">
        <f>IF(OR(B38="",NOT(ISNUMBER(BR38))),"",BR38)</f>
        <v/>
      </c>
      <c r="FR38" s="51">
        <f>IF(OR(B38="",NOT(ISNUMBER(AL38))),"",AL38)</f>
        <v/>
      </c>
      <c r="FS38" s="51">
        <f>IF(OR(B38="",NOT(ISNUMBER(CW38))),"",EDATE(CW38,60))</f>
        <v/>
      </c>
      <c r="FT38" s="51">
        <f>IF(OR(B38="",NOT(ISNUMBER(DH38))),"",EDATE(DH38,36))</f>
        <v/>
      </c>
      <c r="FU38" s="51">
        <f>IF(OR(B38="",NOT(ISNUMBER(BW38))),"",EDATE(BW38,24))</f>
        <v/>
      </c>
      <c r="FV38" s="51">
        <f>IF(OR(B38="",NOT(ISNUMBER(BX38))),"",BX38)</f>
        <v/>
      </c>
      <c r="FW38" s="51">
        <f>IF(OR(B38="",NOT(ISNUMBER(EK38))),"",EDATE(EK38,12))</f>
        <v/>
      </c>
      <c r="FX38" s="51">
        <f>IF(OR(B38="",NOT(ISNUMBER(EL38))),"",EL38)</f>
        <v/>
      </c>
      <c r="FY38" s="51">
        <f>IF(OR(B38="",NOT(ISNUMBER(EN38))),"",EDATE(EN38,12))</f>
        <v/>
      </c>
      <c r="FZ38" s="51">
        <f>IF(OR(B38="",NOT(ISNUMBER(EO38))),"",EO38)</f>
        <v/>
      </c>
      <c r="GA38" s="51">
        <f>IF(OR(B38="",NOT(ISNUMBER(CK38))),"",CK38)</f>
        <v/>
      </c>
      <c r="GB38" s="51">
        <f>IF(OR(B38="",NOT(ISNUMBER(CM38))),"",CM38)</f>
        <v/>
      </c>
      <c r="GC38" s="51">
        <f>IF(OR(B38="",NOT(ISNUMBER(CQ38))),"",CQ38)</f>
        <v/>
      </c>
      <c r="GD38" s="51">
        <f>IF(OR(B38="",NOT(ISNUMBER(EI38))),"",EI38)</f>
        <v/>
      </c>
      <c r="GE38" s="51">
        <f>IF(OR(B38="",NOT(ISNUMBER(FA38))),"",FA38)</f>
        <v/>
      </c>
      <c r="GF38" s="51">
        <f>IF(OR(B38="",NOT(ISNUMBER(ES38))),"",ES38)</f>
        <v/>
      </c>
      <c r="GG38" s="51">
        <f>IF(OR(B38="",NOT(ISNUMBER(FB38))),"",FB38)</f>
        <v/>
      </c>
    </row>
    <row r="39" ht="22" customHeight="1">
      <c r="A39" s="32" t="n">
        <v>35</v>
      </c>
      <c r="B39" s="33" t="n"/>
      <c r="C39" s="34">
        <f>IF(B39="","",((P39="Süresi geçti")+(P39="Yaklaşıyor")+(P39="Tarih hatalı"))+((Q39="Süresi geçti")+(Q39="Yaklaşıyor")+(Q39="Tarih hatalı"))+((R39="Süresi geçti")+(R39="Yaklaşıyor")+(R39="Tarih hatalı"))+((S39="Süresi geçti")+(S39="Yaklaşıyor")+(S39="Tarih hatalı"))+((T39="Süresi geçti")+(T39="Yaklaşıyor")+(T39="Tarih hatalı"))+((U39="Süresi geçti")+(U39="Yaklaşıyor")+(U39="Tarih hatalı"))+((V39="Süresi geçti")+(V39="Yaklaşıyor")+(V39="Tarih hatalı")))</f>
        <v/>
      </c>
      <c r="D39" s="35">
        <f>IF(OR(B39="",E39=""),"",INDEX($FO$4:$GG$4,1,MATCH(E39,FO39:GG39,0)))</f>
        <v/>
      </c>
      <c r="E39" s="36">
        <f>IF(B39="","",IF(COUNT(FO39:GG39)=0,"",SMALL(FO39:GG39,1)))</f>
        <v/>
      </c>
      <c r="F39" s="34">
        <f>IF(E39="","",E39-TODAY())</f>
        <v/>
      </c>
      <c r="G39" s="37" t="n"/>
      <c r="H39" s="37" t="n"/>
      <c r="I39" s="37" t="n"/>
      <c r="J39" s="37" t="n"/>
      <c r="K39" s="37" t="n"/>
      <c r="L39" s="38" t="n"/>
      <c r="M39" s="37" t="n"/>
      <c r="N39" s="37" t="n"/>
      <c r="O39" s="39" t="n"/>
      <c r="P39" s="35">
        <f>IF(B39="","",IF(NOT(ISNUMBER(AL39)),"Tarih girilmedi",IFERROR(IF(TODAY()&gt;AL39,"Süresi geçti",IF(TODAY()&gt;=(AL39-60),"Yaklaşıyor","Takipte")),"Tarih hatalı")))</f>
        <v/>
      </c>
      <c r="Q39" s="35">
        <f>IF(B39="","",IF(NOT(ISNUMBER(EK39)),"Tarih girilmedi",IFERROR(IF(TODAY()&gt;EDATE(EK39,12),"Süresi geçti",IF(TODAY()&gt;=EDATE(EK39,11),"Yaklaşıyor","Takipte")),"Tarih hatalı")))</f>
        <v/>
      </c>
      <c r="R39" s="35">
        <f>IF(B39="","",IF(NOT(ISNUMBER(EN39)),"Tarih girilmedi",IFERROR(IF(TODAY()&gt;EDATE(EN39,12),"Süresi geçti",IF(TODAY()&gt;=EDATE(EN39,11),"Yaklaşıyor","Takipte")),"Tarih hatalı")))</f>
        <v/>
      </c>
      <c r="S39" s="35">
        <f>IF(B39="","",IF(NOT(ISNUMBER(CW39)),"Tarih girilmedi",IFERROR(IF(TODAY()&gt;EDATE(CW39,60),"Süresi geçti",IF(TODAY()&gt;=EDATE(CW39,57),"Yaklaşıyor","Takipte")),"Tarih hatalı")))</f>
        <v/>
      </c>
      <c r="T39" s="35">
        <f>IF(B39="","",IF(NOT(ISNUMBER(DH39)),"Tarih girilmedi",IFERROR(IF(TODAY()&gt;EDATE(DH39,36),"Süresi geçti",IF(TODAY()&gt;=EDATE(DH39,33),"Yaklaşıyor","Takipte")),"Tarih hatalı")))</f>
        <v/>
      </c>
      <c r="U39" s="35">
        <f>IF(B39="","",IF(NOT(ISNUMBER(BW39)),"Tarih girilmedi",IFERROR(IF(TODAY()&gt;EDATE(BW39,24),"Süresi geçti",IF(TODAY()&gt;=(EDATE(BW39,24)-45),"Yaklaşıyor","Takipte")),"Tarih hatalı")))</f>
        <v/>
      </c>
      <c r="V39" s="35">
        <f>IF(B39="","",IF(NOT(ISNUMBER(BM39)),"Tarih girilmedi",IFERROR(IF(TODAY()&gt;BM39,"Süresi geçti",IF(TODAY()&gt;=(BM39-180),"Yaklaşıyor","Takipte")),"Tarih hatalı")))</f>
        <v/>
      </c>
      <c r="W39" s="40" t="n"/>
      <c r="X39" s="37" t="n"/>
      <c r="Y39" s="39" t="n"/>
      <c r="Z39" s="37" t="n"/>
      <c r="AA39" s="37" t="n"/>
      <c r="AB39" s="37" t="n"/>
      <c r="AC39" s="38" t="n"/>
      <c r="AD39" s="38" t="n"/>
      <c r="AE39" s="38" t="n"/>
      <c r="AF39" s="37" t="n"/>
      <c r="AG39" s="37" t="n"/>
      <c r="AH39" s="37" t="n"/>
      <c r="AI39" s="38" t="n"/>
      <c r="AJ39" s="37" t="n"/>
      <c r="AK39" s="41" t="n"/>
      <c r="AL39" s="41" t="n"/>
      <c r="AM39" s="37" t="n"/>
      <c r="AN39" s="39" t="n"/>
      <c r="AO39" s="42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43" t="n"/>
      <c r="AY39" s="37" t="n"/>
      <c r="AZ39" s="37" t="n"/>
      <c r="BA39" s="41" t="n"/>
      <c r="BB39" s="37" t="n"/>
      <c r="BC39" s="37" t="n"/>
      <c r="BD39" s="37" t="n"/>
      <c r="BE39" s="37" t="n"/>
      <c r="BF39" s="37" t="n"/>
      <c r="BG39" s="37" t="n"/>
      <c r="BH39" s="41" t="n"/>
      <c r="BI39" s="37" t="n"/>
      <c r="BJ39" s="37" t="n"/>
      <c r="BK39" s="38" t="n"/>
      <c r="BL39" s="37" t="n"/>
      <c r="BM39" s="41" t="n"/>
      <c r="BN39" s="37" t="n"/>
      <c r="BO39" s="41" t="n"/>
      <c r="BP39" s="37" t="n"/>
      <c r="BQ39" s="37" t="n"/>
      <c r="BR39" s="41" t="n"/>
      <c r="BS39" s="39" t="n"/>
      <c r="BT39" s="44" t="n"/>
      <c r="BU39" s="37" t="n"/>
      <c r="BV39" s="45" t="n"/>
      <c r="BW39" s="41" t="n"/>
      <c r="BX39" s="41" t="n"/>
      <c r="BY39" s="37" t="n"/>
      <c r="BZ39" s="37" t="n"/>
      <c r="CA39" s="37" t="n"/>
      <c r="CB39" s="37" t="n"/>
      <c r="CC39" s="39" t="n"/>
      <c r="CD39" s="39" t="n"/>
      <c r="CE39" s="46" t="n"/>
      <c r="CF39" s="37" t="n"/>
      <c r="CG39" s="37" t="n"/>
      <c r="CH39" s="45" t="n"/>
      <c r="CI39" s="37" t="n"/>
      <c r="CJ39" s="38" t="n"/>
      <c r="CK39" s="41" t="n"/>
      <c r="CL39" s="37" t="n"/>
      <c r="CM39" s="41" t="n"/>
      <c r="CN39" s="37" t="n"/>
      <c r="CO39" s="37" t="n"/>
      <c r="CP39" s="41" t="n"/>
      <c r="CQ39" s="41" t="n"/>
      <c r="CR39" s="37" t="n"/>
      <c r="CS39" s="37" t="n"/>
      <c r="CT39" s="47" t="n"/>
      <c r="CU39" s="37" t="n"/>
      <c r="CV39" s="38" t="n"/>
      <c r="CW39" s="41" t="n"/>
      <c r="CX39" s="37" t="n"/>
      <c r="CY39" s="37" t="n"/>
      <c r="CZ39" s="37" t="n"/>
      <c r="DA39" s="37" t="n"/>
      <c r="DB39" s="37" t="n"/>
      <c r="DC39" s="37" t="n"/>
      <c r="DD39" s="37" t="n"/>
      <c r="DE39" s="37" t="n"/>
      <c r="DF39" s="37" t="n"/>
      <c r="DG39" s="37" t="n"/>
      <c r="DH39" s="41" t="n"/>
      <c r="DI39" s="37" t="n"/>
      <c r="DJ39" s="37" t="n"/>
      <c r="DK39" s="37" t="n"/>
      <c r="DL39" s="41" t="n"/>
      <c r="DM39" s="37" t="n"/>
      <c r="DN39" s="45" t="n"/>
      <c r="DO39" s="41" t="n"/>
      <c r="DP39" s="48" t="n"/>
      <c r="DQ39" s="37" t="n"/>
      <c r="DR39" s="37" t="n"/>
      <c r="DS39" s="41" t="n"/>
      <c r="DT39" s="37" t="n"/>
      <c r="DU39" s="37" t="n"/>
      <c r="DV39" s="37" t="n"/>
      <c r="DW39" s="37" t="n"/>
      <c r="DX39" s="37" t="n"/>
      <c r="DY39" s="37" t="n"/>
      <c r="DZ39" s="39" t="n"/>
      <c r="EA39" s="37" t="n"/>
      <c r="EB39" s="37" t="n"/>
      <c r="EC39" s="37" t="n"/>
      <c r="ED39" s="41" t="n"/>
      <c r="EE39" s="37" t="n"/>
      <c r="EF39" s="39" t="n"/>
      <c r="EG39" s="49" t="n"/>
      <c r="EH39" s="41" t="n"/>
      <c r="EI39" s="41" t="n"/>
      <c r="EJ39" s="37" t="n"/>
      <c r="EK39" s="41" t="n"/>
      <c r="EL39" s="41" t="n"/>
      <c r="EM39" s="37" t="n"/>
      <c r="EN39" s="41" t="n"/>
      <c r="EO39" s="41" t="n"/>
      <c r="EP39" s="37" t="n"/>
      <c r="EQ39" s="39" t="n"/>
      <c r="ER39" s="45" t="n"/>
      <c r="ES39" s="41" t="n"/>
      <c r="ET39" s="39" t="n"/>
      <c r="EU39" s="39" t="n"/>
      <c r="EV39" s="41" t="n"/>
      <c r="EW39" s="39" t="n"/>
      <c r="EX39" s="37" t="n"/>
      <c r="EY39" s="37" t="n"/>
      <c r="EZ39" s="39" t="n"/>
      <c r="FA39" s="41" t="n"/>
      <c r="FB39" s="41" t="n"/>
      <c r="FC39" s="50" t="n"/>
      <c r="FD39" s="36">
        <f>IF(B39="","",IF(NOT(ISNUMBER(EK39)),"Tarih girilmedi",IFERROR(EDATE(EK39,12),"Tarih hatalı")))</f>
        <v/>
      </c>
      <c r="FE39" s="36">
        <f>IF(B39="","",IF(NOT(ISNUMBER(EK39)),"Tarih girilmedi",IFERROR(EDATE(EK39,11),"Tarih hatalı")))</f>
        <v/>
      </c>
      <c r="FF39" s="36">
        <f>IF(B39="","",IF(NOT(ISNUMBER(EN39)),"Tarih girilmedi",IFERROR(EDATE(EN39,12),"Tarih hatalı")))</f>
        <v/>
      </c>
      <c r="FG39" s="36">
        <f>IF(B39="","",IF(NOT(ISNUMBER(EN39)),"Tarih girilmedi",IFERROR(EDATE(EN39,11),"Tarih hatalı")))</f>
        <v/>
      </c>
      <c r="FH39" s="36">
        <f>IF(B39="","",IF(NOT(ISNUMBER(CW39)),"Tarih girilmedi",IFERROR(EDATE(CW39,60),"Tarih hatalı")))</f>
        <v/>
      </c>
      <c r="FI39" s="36">
        <f>IF(B39="","",IF(NOT(ISNUMBER(CW39)),"Tarih girilmedi",IFERROR(EDATE(CW39,57),"Tarih hatalı")))</f>
        <v/>
      </c>
      <c r="FJ39" s="36">
        <f>IF(B39="","",IF(NOT(ISNUMBER(DH39)),"Tarih girilmedi",IFERROR(EDATE(DH39,36),"Tarih hatalı")))</f>
        <v/>
      </c>
      <c r="FK39" s="36">
        <f>IF(B39="","",IF(NOT(ISNUMBER(DH39)),"Tarih girilmedi",IFERROR(EDATE(DH39,33),"Tarih hatalı")))</f>
        <v/>
      </c>
      <c r="FL39" s="36">
        <f>IF(B39="","",IF(NOT(ISNUMBER(BW39)),"Tarih girilmedi",IFERROR(EDATE(BW39,24),"Tarih hatalı")))</f>
        <v/>
      </c>
      <c r="FM39" s="36">
        <f>IF(B39="","",IF(NOT(ISNUMBER(BW39)),"Tarih girilmedi",IFERROR(EDATE(BW39,24)-45,"Tarih hatalı")))</f>
        <v/>
      </c>
      <c r="FN39" s="36">
        <f>IF(B39="","",IF(NOT(ISNUMBER(BM39)),"Tarih girilmedi",IFERROR(BM39-180,"Tarih hatalı")))</f>
        <v/>
      </c>
      <c r="FO39" s="51">
        <f>IF(OR(B39="",NOT(ISNUMBER(BM39))),"",BM39)</f>
        <v/>
      </c>
      <c r="FP39" s="51">
        <f>IF(OR(B39="",NOT(ISNUMBER(BM39))),"",BM39-180)</f>
        <v/>
      </c>
      <c r="FQ39" s="51">
        <f>IF(OR(B39="",NOT(ISNUMBER(BR39))),"",BR39)</f>
        <v/>
      </c>
      <c r="FR39" s="51">
        <f>IF(OR(B39="",NOT(ISNUMBER(AL39))),"",AL39)</f>
        <v/>
      </c>
      <c r="FS39" s="51">
        <f>IF(OR(B39="",NOT(ISNUMBER(CW39))),"",EDATE(CW39,60))</f>
        <v/>
      </c>
      <c r="FT39" s="51">
        <f>IF(OR(B39="",NOT(ISNUMBER(DH39))),"",EDATE(DH39,36))</f>
        <v/>
      </c>
      <c r="FU39" s="51">
        <f>IF(OR(B39="",NOT(ISNUMBER(BW39))),"",EDATE(BW39,24))</f>
        <v/>
      </c>
      <c r="FV39" s="51">
        <f>IF(OR(B39="",NOT(ISNUMBER(BX39))),"",BX39)</f>
        <v/>
      </c>
      <c r="FW39" s="51">
        <f>IF(OR(B39="",NOT(ISNUMBER(EK39))),"",EDATE(EK39,12))</f>
        <v/>
      </c>
      <c r="FX39" s="51">
        <f>IF(OR(B39="",NOT(ISNUMBER(EL39))),"",EL39)</f>
        <v/>
      </c>
      <c r="FY39" s="51">
        <f>IF(OR(B39="",NOT(ISNUMBER(EN39))),"",EDATE(EN39,12))</f>
        <v/>
      </c>
      <c r="FZ39" s="51">
        <f>IF(OR(B39="",NOT(ISNUMBER(EO39))),"",EO39)</f>
        <v/>
      </c>
      <c r="GA39" s="51">
        <f>IF(OR(B39="",NOT(ISNUMBER(CK39))),"",CK39)</f>
        <v/>
      </c>
      <c r="GB39" s="51">
        <f>IF(OR(B39="",NOT(ISNUMBER(CM39))),"",CM39)</f>
        <v/>
      </c>
      <c r="GC39" s="51">
        <f>IF(OR(B39="",NOT(ISNUMBER(CQ39))),"",CQ39)</f>
        <v/>
      </c>
      <c r="GD39" s="51">
        <f>IF(OR(B39="",NOT(ISNUMBER(EI39))),"",EI39)</f>
        <v/>
      </c>
      <c r="GE39" s="51">
        <f>IF(OR(B39="",NOT(ISNUMBER(FA39))),"",FA39)</f>
        <v/>
      </c>
      <c r="GF39" s="51">
        <f>IF(OR(B39="",NOT(ISNUMBER(ES39))),"",ES39)</f>
        <v/>
      </c>
      <c r="GG39" s="51">
        <f>IF(OR(B39="",NOT(ISNUMBER(FB39))),"",FB39)</f>
        <v/>
      </c>
    </row>
    <row r="40" ht="22" customHeight="1">
      <c r="A40" s="32" t="n">
        <v>36</v>
      </c>
      <c r="B40" s="33" t="n"/>
      <c r="C40" s="34">
        <f>IF(B40="","",((P40="Süresi geçti")+(P40="Yaklaşıyor")+(P40="Tarih hatalı"))+((Q40="Süresi geçti")+(Q40="Yaklaşıyor")+(Q40="Tarih hatalı"))+((R40="Süresi geçti")+(R40="Yaklaşıyor")+(R40="Tarih hatalı"))+((S40="Süresi geçti")+(S40="Yaklaşıyor")+(S40="Tarih hatalı"))+((T40="Süresi geçti")+(T40="Yaklaşıyor")+(T40="Tarih hatalı"))+((U40="Süresi geçti")+(U40="Yaklaşıyor")+(U40="Tarih hatalı"))+((V40="Süresi geçti")+(V40="Yaklaşıyor")+(V40="Tarih hatalı")))</f>
        <v/>
      </c>
      <c r="D40" s="35">
        <f>IF(OR(B40="",E40=""),"",INDEX($FO$4:$GG$4,1,MATCH(E40,FO40:GG40,0)))</f>
        <v/>
      </c>
      <c r="E40" s="36">
        <f>IF(B40="","",IF(COUNT(FO40:GG40)=0,"",SMALL(FO40:GG40,1)))</f>
        <v/>
      </c>
      <c r="F40" s="34">
        <f>IF(E40="","",E40-TODAY())</f>
        <v/>
      </c>
      <c r="G40" s="37" t="n"/>
      <c r="H40" s="37" t="n"/>
      <c r="I40" s="37" t="n"/>
      <c r="J40" s="37" t="n"/>
      <c r="K40" s="37" t="n"/>
      <c r="L40" s="38" t="n"/>
      <c r="M40" s="37" t="n"/>
      <c r="N40" s="37" t="n"/>
      <c r="O40" s="39" t="n"/>
      <c r="P40" s="35">
        <f>IF(B40="","",IF(NOT(ISNUMBER(AL40)),"Tarih girilmedi",IFERROR(IF(TODAY()&gt;AL40,"Süresi geçti",IF(TODAY()&gt;=(AL40-60),"Yaklaşıyor","Takipte")),"Tarih hatalı")))</f>
        <v/>
      </c>
      <c r="Q40" s="35">
        <f>IF(B40="","",IF(NOT(ISNUMBER(EK40)),"Tarih girilmedi",IFERROR(IF(TODAY()&gt;EDATE(EK40,12),"Süresi geçti",IF(TODAY()&gt;=EDATE(EK40,11),"Yaklaşıyor","Takipte")),"Tarih hatalı")))</f>
        <v/>
      </c>
      <c r="R40" s="35">
        <f>IF(B40="","",IF(NOT(ISNUMBER(EN40)),"Tarih girilmedi",IFERROR(IF(TODAY()&gt;EDATE(EN40,12),"Süresi geçti",IF(TODAY()&gt;=EDATE(EN40,11),"Yaklaşıyor","Takipte")),"Tarih hatalı")))</f>
        <v/>
      </c>
      <c r="S40" s="35">
        <f>IF(B40="","",IF(NOT(ISNUMBER(CW40)),"Tarih girilmedi",IFERROR(IF(TODAY()&gt;EDATE(CW40,60),"Süresi geçti",IF(TODAY()&gt;=EDATE(CW40,57),"Yaklaşıyor","Takipte")),"Tarih hatalı")))</f>
        <v/>
      </c>
      <c r="T40" s="35">
        <f>IF(B40="","",IF(NOT(ISNUMBER(DH40)),"Tarih girilmedi",IFERROR(IF(TODAY()&gt;EDATE(DH40,36),"Süresi geçti",IF(TODAY()&gt;=EDATE(DH40,33),"Yaklaşıyor","Takipte")),"Tarih hatalı")))</f>
        <v/>
      </c>
      <c r="U40" s="35">
        <f>IF(B40="","",IF(NOT(ISNUMBER(BW40)),"Tarih girilmedi",IFERROR(IF(TODAY()&gt;EDATE(BW40,24),"Süresi geçti",IF(TODAY()&gt;=(EDATE(BW40,24)-45),"Yaklaşıyor","Takipte")),"Tarih hatalı")))</f>
        <v/>
      </c>
      <c r="V40" s="35">
        <f>IF(B40="","",IF(NOT(ISNUMBER(BM40)),"Tarih girilmedi",IFERROR(IF(TODAY()&gt;BM40,"Süresi geçti",IF(TODAY()&gt;=(BM40-180),"Yaklaşıyor","Takipte")),"Tarih hatalı")))</f>
        <v/>
      </c>
      <c r="W40" s="40" t="n"/>
      <c r="X40" s="37" t="n"/>
      <c r="Y40" s="39" t="n"/>
      <c r="Z40" s="37" t="n"/>
      <c r="AA40" s="37" t="n"/>
      <c r="AB40" s="37" t="n"/>
      <c r="AC40" s="38" t="n"/>
      <c r="AD40" s="38" t="n"/>
      <c r="AE40" s="38" t="n"/>
      <c r="AF40" s="37" t="n"/>
      <c r="AG40" s="37" t="n"/>
      <c r="AH40" s="37" t="n"/>
      <c r="AI40" s="38" t="n"/>
      <c r="AJ40" s="37" t="n"/>
      <c r="AK40" s="41" t="n"/>
      <c r="AL40" s="41" t="n"/>
      <c r="AM40" s="37" t="n"/>
      <c r="AN40" s="39" t="n"/>
      <c r="AO40" s="42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43" t="n"/>
      <c r="AY40" s="37" t="n"/>
      <c r="AZ40" s="37" t="n"/>
      <c r="BA40" s="41" t="n"/>
      <c r="BB40" s="37" t="n"/>
      <c r="BC40" s="37" t="n"/>
      <c r="BD40" s="37" t="n"/>
      <c r="BE40" s="37" t="n"/>
      <c r="BF40" s="37" t="n"/>
      <c r="BG40" s="37" t="n"/>
      <c r="BH40" s="41" t="n"/>
      <c r="BI40" s="37" t="n"/>
      <c r="BJ40" s="37" t="n"/>
      <c r="BK40" s="38" t="n"/>
      <c r="BL40" s="37" t="n"/>
      <c r="BM40" s="41" t="n"/>
      <c r="BN40" s="37" t="n"/>
      <c r="BO40" s="41" t="n"/>
      <c r="BP40" s="37" t="n"/>
      <c r="BQ40" s="37" t="n"/>
      <c r="BR40" s="41" t="n"/>
      <c r="BS40" s="39" t="n"/>
      <c r="BT40" s="44" t="n"/>
      <c r="BU40" s="37" t="n"/>
      <c r="BV40" s="45" t="n"/>
      <c r="BW40" s="41" t="n"/>
      <c r="BX40" s="41" t="n"/>
      <c r="BY40" s="37" t="n"/>
      <c r="BZ40" s="37" t="n"/>
      <c r="CA40" s="37" t="n"/>
      <c r="CB40" s="37" t="n"/>
      <c r="CC40" s="39" t="n"/>
      <c r="CD40" s="39" t="n"/>
      <c r="CE40" s="46" t="n"/>
      <c r="CF40" s="37" t="n"/>
      <c r="CG40" s="37" t="n"/>
      <c r="CH40" s="45" t="n"/>
      <c r="CI40" s="37" t="n"/>
      <c r="CJ40" s="38" t="n"/>
      <c r="CK40" s="41" t="n"/>
      <c r="CL40" s="37" t="n"/>
      <c r="CM40" s="41" t="n"/>
      <c r="CN40" s="37" t="n"/>
      <c r="CO40" s="37" t="n"/>
      <c r="CP40" s="41" t="n"/>
      <c r="CQ40" s="41" t="n"/>
      <c r="CR40" s="37" t="n"/>
      <c r="CS40" s="37" t="n"/>
      <c r="CT40" s="47" t="n"/>
      <c r="CU40" s="37" t="n"/>
      <c r="CV40" s="38" t="n"/>
      <c r="CW40" s="41" t="n"/>
      <c r="CX40" s="37" t="n"/>
      <c r="CY40" s="37" t="n"/>
      <c r="CZ40" s="37" t="n"/>
      <c r="DA40" s="37" t="n"/>
      <c r="DB40" s="37" t="n"/>
      <c r="DC40" s="37" t="n"/>
      <c r="DD40" s="37" t="n"/>
      <c r="DE40" s="37" t="n"/>
      <c r="DF40" s="37" t="n"/>
      <c r="DG40" s="37" t="n"/>
      <c r="DH40" s="41" t="n"/>
      <c r="DI40" s="37" t="n"/>
      <c r="DJ40" s="37" t="n"/>
      <c r="DK40" s="37" t="n"/>
      <c r="DL40" s="41" t="n"/>
      <c r="DM40" s="37" t="n"/>
      <c r="DN40" s="45" t="n"/>
      <c r="DO40" s="41" t="n"/>
      <c r="DP40" s="48" t="n"/>
      <c r="DQ40" s="37" t="n"/>
      <c r="DR40" s="37" t="n"/>
      <c r="DS40" s="41" t="n"/>
      <c r="DT40" s="37" t="n"/>
      <c r="DU40" s="37" t="n"/>
      <c r="DV40" s="37" t="n"/>
      <c r="DW40" s="37" t="n"/>
      <c r="DX40" s="37" t="n"/>
      <c r="DY40" s="37" t="n"/>
      <c r="DZ40" s="39" t="n"/>
      <c r="EA40" s="37" t="n"/>
      <c r="EB40" s="37" t="n"/>
      <c r="EC40" s="37" t="n"/>
      <c r="ED40" s="41" t="n"/>
      <c r="EE40" s="37" t="n"/>
      <c r="EF40" s="39" t="n"/>
      <c r="EG40" s="49" t="n"/>
      <c r="EH40" s="41" t="n"/>
      <c r="EI40" s="41" t="n"/>
      <c r="EJ40" s="37" t="n"/>
      <c r="EK40" s="41" t="n"/>
      <c r="EL40" s="41" t="n"/>
      <c r="EM40" s="37" t="n"/>
      <c r="EN40" s="41" t="n"/>
      <c r="EO40" s="41" t="n"/>
      <c r="EP40" s="37" t="n"/>
      <c r="EQ40" s="39" t="n"/>
      <c r="ER40" s="45" t="n"/>
      <c r="ES40" s="41" t="n"/>
      <c r="ET40" s="39" t="n"/>
      <c r="EU40" s="39" t="n"/>
      <c r="EV40" s="41" t="n"/>
      <c r="EW40" s="39" t="n"/>
      <c r="EX40" s="37" t="n"/>
      <c r="EY40" s="37" t="n"/>
      <c r="EZ40" s="39" t="n"/>
      <c r="FA40" s="41" t="n"/>
      <c r="FB40" s="41" t="n"/>
      <c r="FC40" s="50" t="n"/>
      <c r="FD40" s="36">
        <f>IF(B40="","",IF(NOT(ISNUMBER(EK40)),"Tarih girilmedi",IFERROR(EDATE(EK40,12),"Tarih hatalı")))</f>
        <v/>
      </c>
      <c r="FE40" s="36">
        <f>IF(B40="","",IF(NOT(ISNUMBER(EK40)),"Tarih girilmedi",IFERROR(EDATE(EK40,11),"Tarih hatalı")))</f>
        <v/>
      </c>
      <c r="FF40" s="36">
        <f>IF(B40="","",IF(NOT(ISNUMBER(EN40)),"Tarih girilmedi",IFERROR(EDATE(EN40,12),"Tarih hatalı")))</f>
        <v/>
      </c>
      <c r="FG40" s="36">
        <f>IF(B40="","",IF(NOT(ISNUMBER(EN40)),"Tarih girilmedi",IFERROR(EDATE(EN40,11),"Tarih hatalı")))</f>
        <v/>
      </c>
      <c r="FH40" s="36">
        <f>IF(B40="","",IF(NOT(ISNUMBER(CW40)),"Tarih girilmedi",IFERROR(EDATE(CW40,60),"Tarih hatalı")))</f>
        <v/>
      </c>
      <c r="FI40" s="36">
        <f>IF(B40="","",IF(NOT(ISNUMBER(CW40)),"Tarih girilmedi",IFERROR(EDATE(CW40,57),"Tarih hatalı")))</f>
        <v/>
      </c>
      <c r="FJ40" s="36">
        <f>IF(B40="","",IF(NOT(ISNUMBER(DH40)),"Tarih girilmedi",IFERROR(EDATE(DH40,36),"Tarih hatalı")))</f>
        <v/>
      </c>
      <c r="FK40" s="36">
        <f>IF(B40="","",IF(NOT(ISNUMBER(DH40)),"Tarih girilmedi",IFERROR(EDATE(DH40,33),"Tarih hatalı")))</f>
        <v/>
      </c>
      <c r="FL40" s="36">
        <f>IF(B40="","",IF(NOT(ISNUMBER(BW40)),"Tarih girilmedi",IFERROR(EDATE(BW40,24),"Tarih hatalı")))</f>
        <v/>
      </c>
      <c r="FM40" s="36">
        <f>IF(B40="","",IF(NOT(ISNUMBER(BW40)),"Tarih girilmedi",IFERROR(EDATE(BW40,24)-45,"Tarih hatalı")))</f>
        <v/>
      </c>
      <c r="FN40" s="36">
        <f>IF(B40="","",IF(NOT(ISNUMBER(BM40)),"Tarih girilmedi",IFERROR(BM40-180,"Tarih hatalı")))</f>
        <v/>
      </c>
      <c r="FO40" s="51">
        <f>IF(OR(B40="",NOT(ISNUMBER(BM40))),"",BM40)</f>
        <v/>
      </c>
      <c r="FP40" s="51">
        <f>IF(OR(B40="",NOT(ISNUMBER(BM40))),"",BM40-180)</f>
        <v/>
      </c>
      <c r="FQ40" s="51">
        <f>IF(OR(B40="",NOT(ISNUMBER(BR40))),"",BR40)</f>
        <v/>
      </c>
      <c r="FR40" s="51">
        <f>IF(OR(B40="",NOT(ISNUMBER(AL40))),"",AL40)</f>
        <v/>
      </c>
      <c r="FS40" s="51">
        <f>IF(OR(B40="",NOT(ISNUMBER(CW40))),"",EDATE(CW40,60))</f>
        <v/>
      </c>
      <c r="FT40" s="51">
        <f>IF(OR(B40="",NOT(ISNUMBER(DH40))),"",EDATE(DH40,36))</f>
        <v/>
      </c>
      <c r="FU40" s="51">
        <f>IF(OR(B40="",NOT(ISNUMBER(BW40))),"",EDATE(BW40,24))</f>
        <v/>
      </c>
      <c r="FV40" s="51">
        <f>IF(OR(B40="",NOT(ISNUMBER(BX40))),"",BX40)</f>
        <v/>
      </c>
      <c r="FW40" s="51">
        <f>IF(OR(B40="",NOT(ISNUMBER(EK40))),"",EDATE(EK40,12))</f>
        <v/>
      </c>
      <c r="FX40" s="51">
        <f>IF(OR(B40="",NOT(ISNUMBER(EL40))),"",EL40)</f>
        <v/>
      </c>
      <c r="FY40" s="51">
        <f>IF(OR(B40="",NOT(ISNUMBER(EN40))),"",EDATE(EN40,12))</f>
        <v/>
      </c>
      <c r="FZ40" s="51">
        <f>IF(OR(B40="",NOT(ISNUMBER(EO40))),"",EO40)</f>
        <v/>
      </c>
      <c r="GA40" s="51">
        <f>IF(OR(B40="",NOT(ISNUMBER(CK40))),"",CK40)</f>
        <v/>
      </c>
      <c r="GB40" s="51">
        <f>IF(OR(B40="",NOT(ISNUMBER(CM40))),"",CM40)</f>
        <v/>
      </c>
      <c r="GC40" s="51">
        <f>IF(OR(B40="",NOT(ISNUMBER(CQ40))),"",CQ40)</f>
        <v/>
      </c>
      <c r="GD40" s="51">
        <f>IF(OR(B40="",NOT(ISNUMBER(EI40))),"",EI40)</f>
        <v/>
      </c>
      <c r="GE40" s="51">
        <f>IF(OR(B40="",NOT(ISNUMBER(FA40))),"",FA40)</f>
        <v/>
      </c>
      <c r="GF40" s="51">
        <f>IF(OR(B40="",NOT(ISNUMBER(ES40))),"",ES40)</f>
        <v/>
      </c>
      <c r="GG40" s="51">
        <f>IF(OR(B40="",NOT(ISNUMBER(FB40))),"",FB40)</f>
        <v/>
      </c>
    </row>
    <row r="41" ht="22" customHeight="1">
      <c r="A41" s="32" t="n">
        <v>37</v>
      </c>
      <c r="B41" s="33" t="n"/>
      <c r="C41" s="34">
        <f>IF(B41="","",((P41="Süresi geçti")+(P41="Yaklaşıyor")+(P41="Tarih hatalı"))+((Q41="Süresi geçti")+(Q41="Yaklaşıyor")+(Q41="Tarih hatalı"))+((R41="Süresi geçti")+(R41="Yaklaşıyor")+(R41="Tarih hatalı"))+((S41="Süresi geçti")+(S41="Yaklaşıyor")+(S41="Tarih hatalı"))+((T41="Süresi geçti")+(T41="Yaklaşıyor")+(T41="Tarih hatalı"))+((U41="Süresi geçti")+(U41="Yaklaşıyor")+(U41="Tarih hatalı"))+((V41="Süresi geçti")+(V41="Yaklaşıyor")+(V41="Tarih hatalı")))</f>
        <v/>
      </c>
      <c r="D41" s="35">
        <f>IF(OR(B41="",E41=""),"",INDEX($FO$4:$GG$4,1,MATCH(E41,FO41:GG41,0)))</f>
        <v/>
      </c>
      <c r="E41" s="36">
        <f>IF(B41="","",IF(COUNT(FO41:GG41)=0,"",SMALL(FO41:GG41,1)))</f>
        <v/>
      </c>
      <c r="F41" s="34">
        <f>IF(E41="","",E41-TODAY())</f>
        <v/>
      </c>
      <c r="G41" s="37" t="n"/>
      <c r="H41" s="37" t="n"/>
      <c r="I41" s="37" t="n"/>
      <c r="J41" s="37" t="n"/>
      <c r="K41" s="37" t="n"/>
      <c r="L41" s="38" t="n"/>
      <c r="M41" s="37" t="n"/>
      <c r="N41" s="37" t="n"/>
      <c r="O41" s="39" t="n"/>
      <c r="P41" s="35">
        <f>IF(B41="","",IF(NOT(ISNUMBER(AL41)),"Tarih girilmedi",IFERROR(IF(TODAY()&gt;AL41,"Süresi geçti",IF(TODAY()&gt;=(AL41-60),"Yaklaşıyor","Takipte")),"Tarih hatalı")))</f>
        <v/>
      </c>
      <c r="Q41" s="35">
        <f>IF(B41="","",IF(NOT(ISNUMBER(EK41)),"Tarih girilmedi",IFERROR(IF(TODAY()&gt;EDATE(EK41,12),"Süresi geçti",IF(TODAY()&gt;=EDATE(EK41,11),"Yaklaşıyor","Takipte")),"Tarih hatalı")))</f>
        <v/>
      </c>
      <c r="R41" s="35">
        <f>IF(B41="","",IF(NOT(ISNUMBER(EN41)),"Tarih girilmedi",IFERROR(IF(TODAY()&gt;EDATE(EN41,12),"Süresi geçti",IF(TODAY()&gt;=EDATE(EN41,11),"Yaklaşıyor","Takipte")),"Tarih hatalı")))</f>
        <v/>
      </c>
      <c r="S41" s="35">
        <f>IF(B41="","",IF(NOT(ISNUMBER(CW41)),"Tarih girilmedi",IFERROR(IF(TODAY()&gt;EDATE(CW41,60),"Süresi geçti",IF(TODAY()&gt;=EDATE(CW41,57),"Yaklaşıyor","Takipte")),"Tarih hatalı")))</f>
        <v/>
      </c>
      <c r="T41" s="35">
        <f>IF(B41="","",IF(NOT(ISNUMBER(DH41)),"Tarih girilmedi",IFERROR(IF(TODAY()&gt;EDATE(DH41,36),"Süresi geçti",IF(TODAY()&gt;=EDATE(DH41,33),"Yaklaşıyor","Takipte")),"Tarih hatalı")))</f>
        <v/>
      </c>
      <c r="U41" s="35">
        <f>IF(B41="","",IF(NOT(ISNUMBER(BW41)),"Tarih girilmedi",IFERROR(IF(TODAY()&gt;EDATE(BW41,24),"Süresi geçti",IF(TODAY()&gt;=(EDATE(BW41,24)-45),"Yaklaşıyor","Takipte")),"Tarih hatalı")))</f>
        <v/>
      </c>
      <c r="V41" s="35">
        <f>IF(B41="","",IF(NOT(ISNUMBER(BM41)),"Tarih girilmedi",IFERROR(IF(TODAY()&gt;BM41,"Süresi geçti",IF(TODAY()&gt;=(BM41-180),"Yaklaşıyor","Takipte")),"Tarih hatalı")))</f>
        <v/>
      </c>
      <c r="W41" s="40" t="n"/>
      <c r="X41" s="37" t="n"/>
      <c r="Y41" s="39" t="n"/>
      <c r="Z41" s="37" t="n"/>
      <c r="AA41" s="37" t="n"/>
      <c r="AB41" s="37" t="n"/>
      <c r="AC41" s="38" t="n"/>
      <c r="AD41" s="38" t="n"/>
      <c r="AE41" s="38" t="n"/>
      <c r="AF41" s="37" t="n"/>
      <c r="AG41" s="37" t="n"/>
      <c r="AH41" s="37" t="n"/>
      <c r="AI41" s="38" t="n"/>
      <c r="AJ41" s="37" t="n"/>
      <c r="AK41" s="41" t="n"/>
      <c r="AL41" s="41" t="n"/>
      <c r="AM41" s="37" t="n"/>
      <c r="AN41" s="39" t="n"/>
      <c r="AO41" s="42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43" t="n"/>
      <c r="AY41" s="37" t="n"/>
      <c r="AZ41" s="37" t="n"/>
      <c r="BA41" s="41" t="n"/>
      <c r="BB41" s="37" t="n"/>
      <c r="BC41" s="37" t="n"/>
      <c r="BD41" s="37" t="n"/>
      <c r="BE41" s="37" t="n"/>
      <c r="BF41" s="37" t="n"/>
      <c r="BG41" s="37" t="n"/>
      <c r="BH41" s="41" t="n"/>
      <c r="BI41" s="37" t="n"/>
      <c r="BJ41" s="37" t="n"/>
      <c r="BK41" s="38" t="n"/>
      <c r="BL41" s="37" t="n"/>
      <c r="BM41" s="41" t="n"/>
      <c r="BN41" s="37" t="n"/>
      <c r="BO41" s="41" t="n"/>
      <c r="BP41" s="37" t="n"/>
      <c r="BQ41" s="37" t="n"/>
      <c r="BR41" s="41" t="n"/>
      <c r="BS41" s="39" t="n"/>
      <c r="BT41" s="44" t="n"/>
      <c r="BU41" s="37" t="n"/>
      <c r="BV41" s="45" t="n"/>
      <c r="BW41" s="41" t="n"/>
      <c r="BX41" s="41" t="n"/>
      <c r="BY41" s="37" t="n"/>
      <c r="BZ41" s="37" t="n"/>
      <c r="CA41" s="37" t="n"/>
      <c r="CB41" s="37" t="n"/>
      <c r="CC41" s="39" t="n"/>
      <c r="CD41" s="39" t="n"/>
      <c r="CE41" s="46" t="n"/>
      <c r="CF41" s="37" t="n"/>
      <c r="CG41" s="37" t="n"/>
      <c r="CH41" s="45" t="n"/>
      <c r="CI41" s="37" t="n"/>
      <c r="CJ41" s="38" t="n"/>
      <c r="CK41" s="41" t="n"/>
      <c r="CL41" s="37" t="n"/>
      <c r="CM41" s="41" t="n"/>
      <c r="CN41" s="37" t="n"/>
      <c r="CO41" s="37" t="n"/>
      <c r="CP41" s="41" t="n"/>
      <c r="CQ41" s="41" t="n"/>
      <c r="CR41" s="37" t="n"/>
      <c r="CS41" s="37" t="n"/>
      <c r="CT41" s="47" t="n"/>
      <c r="CU41" s="37" t="n"/>
      <c r="CV41" s="38" t="n"/>
      <c r="CW41" s="41" t="n"/>
      <c r="CX41" s="37" t="n"/>
      <c r="CY41" s="37" t="n"/>
      <c r="CZ41" s="37" t="n"/>
      <c r="DA41" s="37" t="n"/>
      <c r="DB41" s="37" t="n"/>
      <c r="DC41" s="37" t="n"/>
      <c r="DD41" s="37" t="n"/>
      <c r="DE41" s="37" t="n"/>
      <c r="DF41" s="37" t="n"/>
      <c r="DG41" s="37" t="n"/>
      <c r="DH41" s="41" t="n"/>
      <c r="DI41" s="37" t="n"/>
      <c r="DJ41" s="37" t="n"/>
      <c r="DK41" s="37" t="n"/>
      <c r="DL41" s="41" t="n"/>
      <c r="DM41" s="37" t="n"/>
      <c r="DN41" s="45" t="n"/>
      <c r="DO41" s="41" t="n"/>
      <c r="DP41" s="48" t="n"/>
      <c r="DQ41" s="37" t="n"/>
      <c r="DR41" s="37" t="n"/>
      <c r="DS41" s="41" t="n"/>
      <c r="DT41" s="37" t="n"/>
      <c r="DU41" s="37" t="n"/>
      <c r="DV41" s="37" t="n"/>
      <c r="DW41" s="37" t="n"/>
      <c r="DX41" s="37" t="n"/>
      <c r="DY41" s="37" t="n"/>
      <c r="DZ41" s="39" t="n"/>
      <c r="EA41" s="37" t="n"/>
      <c r="EB41" s="37" t="n"/>
      <c r="EC41" s="37" t="n"/>
      <c r="ED41" s="41" t="n"/>
      <c r="EE41" s="37" t="n"/>
      <c r="EF41" s="39" t="n"/>
      <c r="EG41" s="49" t="n"/>
      <c r="EH41" s="41" t="n"/>
      <c r="EI41" s="41" t="n"/>
      <c r="EJ41" s="37" t="n"/>
      <c r="EK41" s="41" t="n"/>
      <c r="EL41" s="41" t="n"/>
      <c r="EM41" s="37" t="n"/>
      <c r="EN41" s="41" t="n"/>
      <c r="EO41" s="41" t="n"/>
      <c r="EP41" s="37" t="n"/>
      <c r="EQ41" s="39" t="n"/>
      <c r="ER41" s="45" t="n"/>
      <c r="ES41" s="41" t="n"/>
      <c r="ET41" s="39" t="n"/>
      <c r="EU41" s="39" t="n"/>
      <c r="EV41" s="41" t="n"/>
      <c r="EW41" s="39" t="n"/>
      <c r="EX41" s="37" t="n"/>
      <c r="EY41" s="37" t="n"/>
      <c r="EZ41" s="39" t="n"/>
      <c r="FA41" s="41" t="n"/>
      <c r="FB41" s="41" t="n"/>
      <c r="FC41" s="50" t="n"/>
      <c r="FD41" s="36">
        <f>IF(B41="","",IF(NOT(ISNUMBER(EK41)),"Tarih girilmedi",IFERROR(EDATE(EK41,12),"Tarih hatalı")))</f>
        <v/>
      </c>
      <c r="FE41" s="36">
        <f>IF(B41="","",IF(NOT(ISNUMBER(EK41)),"Tarih girilmedi",IFERROR(EDATE(EK41,11),"Tarih hatalı")))</f>
        <v/>
      </c>
      <c r="FF41" s="36">
        <f>IF(B41="","",IF(NOT(ISNUMBER(EN41)),"Tarih girilmedi",IFERROR(EDATE(EN41,12),"Tarih hatalı")))</f>
        <v/>
      </c>
      <c r="FG41" s="36">
        <f>IF(B41="","",IF(NOT(ISNUMBER(EN41)),"Tarih girilmedi",IFERROR(EDATE(EN41,11),"Tarih hatalı")))</f>
        <v/>
      </c>
      <c r="FH41" s="36">
        <f>IF(B41="","",IF(NOT(ISNUMBER(CW41)),"Tarih girilmedi",IFERROR(EDATE(CW41,60),"Tarih hatalı")))</f>
        <v/>
      </c>
      <c r="FI41" s="36">
        <f>IF(B41="","",IF(NOT(ISNUMBER(CW41)),"Tarih girilmedi",IFERROR(EDATE(CW41,57),"Tarih hatalı")))</f>
        <v/>
      </c>
      <c r="FJ41" s="36">
        <f>IF(B41="","",IF(NOT(ISNUMBER(DH41)),"Tarih girilmedi",IFERROR(EDATE(DH41,36),"Tarih hatalı")))</f>
        <v/>
      </c>
      <c r="FK41" s="36">
        <f>IF(B41="","",IF(NOT(ISNUMBER(DH41)),"Tarih girilmedi",IFERROR(EDATE(DH41,33),"Tarih hatalı")))</f>
        <v/>
      </c>
      <c r="FL41" s="36">
        <f>IF(B41="","",IF(NOT(ISNUMBER(BW41)),"Tarih girilmedi",IFERROR(EDATE(BW41,24),"Tarih hatalı")))</f>
        <v/>
      </c>
      <c r="FM41" s="36">
        <f>IF(B41="","",IF(NOT(ISNUMBER(BW41)),"Tarih girilmedi",IFERROR(EDATE(BW41,24)-45,"Tarih hatalı")))</f>
        <v/>
      </c>
      <c r="FN41" s="36">
        <f>IF(B41="","",IF(NOT(ISNUMBER(BM41)),"Tarih girilmedi",IFERROR(BM41-180,"Tarih hatalı")))</f>
        <v/>
      </c>
      <c r="FO41" s="51">
        <f>IF(OR(B41="",NOT(ISNUMBER(BM41))),"",BM41)</f>
        <v/>
      </c>
      <c r="FP41" s="51">
        <f>IF(OR(B41="",NOT(ISNUMBER(BM41))),"",BM41-180)</f>
        <v/>
      </c>
      <c r="FQ41" s="51">
        <f>IF(OR(B41="",NOT(ISNUMBER(BR41))),"",BR41)</f>
        <v/>
      </c>
      <c r="FR41" s="51">
        <f>IF(OR(B41="",NOT(ISNUMBER(AL41))),"",AL41)</f>
        <v/>
      </c>
      <c r="FS41" s="51">
        <f>IF(OR(B41="",NOT(ISNUMBER(CW41))),"",EDATE(CW41,60))</f>
        <v/>
      </c>
      <c r="FT41" s="51">
        <f>IF(OR(B41="",NOT(ISNUMBER(DH41))),"",EDATE(DH41,36))</f>
        <v/>
      </c>
      <c r="FU41" s="51">
        <f>IF(OR(B41="",NOT(ISNUMBER(BW41))),"",EDATE(BW41,24))</f>
        <v/>
      </c>
      <c r="FV41" s="51">
        <f>IF(OR(B41="",NOT(ISNUMBER(BX41))),"",BX41)</f>
        <v/>
      </c>
      <c r="FW41" s="51">
        <f>IF(OR(B41="",NOT(ISNUMBER(EK41))),"",EDATE(EK41,12))</f>
        <v/>
      </c>
      <c r="FX41" s="51">
        <f>IF(OR(B41="",NOT(ISNUMBER(EL41))),"",EL41)</f>
        <v/>
      </c>
      <c r="FY41" s="51">
        <f>IF(OR(B41="",NOT(ISNUMBER(EN41))),"",EDATE(EN41,12))</f>
        <v/>
      </c>
      <c r="FZ41" s="51">
        <f>IF(OR(B41="",NOT(ISNUMBER(EO41))),"",EO41)</f>
        <v/>
      </c>
      <c r="GA41" s="51">
        <f>IF(OR(B41="",NOT(ISNUMBER(CK41))),"",CK41)</f>
        <v/>
      </c>
      <c r="GB41" s="51">
        <f>IF(OR(B41="",NOT(ISNUMBER(CM41))),"",CM41)</f>
        <v/>
      </c>
      <c r="GC41" s="51">
        <f>IF(OR(B41="",NOT(ISNUMBER(CQ41))),"",CQ41)</f>
        <v/>
      </c>
      <c r="GD41" s="51">
        <f>IF(OR(B41="",NOT(ISNUMBER(EI41))),"",EI41)</f>
        <v/>
      </c>
      <c r="GE41" s="51">
        <f>IF(OR(B41="",NOT(ISNUMBER(FA41))),"",FA41)</f>
        <v/>
      </c>
      <c r="GF41" s="51">
        <f>IF(OR(B41="",NOT(ISNUMBER(ES41))),"",ES41)</f>
        <v/>
      </c>
      <c r="GG41" s="51">
        <f>IF(OR(B41="",NOT(ISNUMBER(FB41))),"",FB41)</f>
        <v/>
      </c>
    </row>
    <row r="42" ht="22" customHeight="1">
      <c r="A42" s="32" t="n">
        <v>38</v>
      </c>
      <c r="B42" s="33" t="n"/>
      <c r="C42" s="34">
        <f>IF(B42="","",((P42="Süresi geçti")+(P42="Yaklaşıyor")+(P42="Tarih hatalı"))+((Q42="Süresi geçti")+(Q42="Yaklaşıyor")+(Q42="Tarih hatalı"))+((R42="Süresi geçti")+(R42="Yaklaşıyor")+(R42="Tarih hatalı"))+((S42="Süresi geçti")+(S42="Yaklaşıyor")+(S42="Tarih hatalı"))+((T42="Süresi geçti")+(T42="Yaklaşıyor")+(T42="Tarih hatalı"))+((U42="Süresi geçti")+(U42="Yaklaşıyor")+(U42="Tarih hatalı"))+((V42="Süresi geçti")+(V42="Yaklaşıyor")+(V42="Tarih hatalı")))</f>
        <v/>
      </c>
      <c r="D42" s="35">
        <f>IF(OR(B42="",E42=""),"",INDEX($FO$4:$GG$4,1,MATCH(E42,FO42:GG42,0)))</f>
        <v/>
      </c>
      <c r="E42" s="36">
        <f>IF(B42="","",IF(COUNT(FO42:GG42)=0,"",SMALL(FO42:GG42,1)))</f>
        <v/>
      </c>
      <c r="F42" s="34">
        <f>IF(E42="","",E42-TODAY())</f>
        <v/>
      </c>
      <c r="G42" s="37" t="n"/>
      <c r="H42" s="37" t="n"/>
      <c r="I42" s="37" t="n"/>
      <c r="J42" s="37" t="n"/>
      <c r="K42" s="37" t="n"/>
      <c r="L42" s="38" t="n"/>
      <c r="M42" s="37" t="n"/>
      <c r="N42" s="37" t="n"/>
      <c r="O42" s="39" t="n"/>
      <c r="P42" s="35">
        <f>IF(B42="","",IF(NOT(ISNUMBER(AL42)),"Tarih girilmedi",IFERROR(IF(TODAY()&gt;AL42,"Süresi geçti",IF(TODAY()&gt;=(AL42-60),"Yaklaşıyor","Takipte")),"Tarih hatalı")))</f>
        <v/>
      </c>
      <c r="Q42" s="35">
        <f>IF(B42="","",IF(NOT(ISNUMBER(EK42)),"Tarih girilmedi",IFERROR(IF(TODAY()&gt;EDATE(EK42,12),"Süresi geçti",IF(TODAY()&gt;=EDATE(EK42,11),"Yaklaşıyor","Takipte")),"Tarih hatalı")))</f>
        <v/>
      </c>
      <c r="R42" s="35">
        <f>IF(B42="","",IF(NOT(ISNUMBER(EN42)),"Tarih girilmedi",IFERROR(IF(TODAY()&gt;EDATE(EN42,12),"Süresi geçti",IF(TODAY()&gt;=EDATE(EN42,11),"Yaklaşıyor","Takipte")),"Tarih hatalı")))</f>
        <v/>
      </c>
      <c r="S42" s="35">
        <f>IF(B42="","",IF(NOT(ISNUMBER(CW42)),"Tarih girilmedi",IFERROR(IF(TODAY()&gt;EDATE(CW42,60),"Süresi geçti",IF(TODAY()&gt;=EDATE(CW42,57),"Yaklaşıyor","Takipte")),"Tarih hatalı")))</f>
        <v/>
      </c>
      <c r="T42" s="35">
        <f>IF(B42="","",IF(NOT(ISNUMBER(DH42)),"Tarih girilmedi",IFERROR(IF(TODAY()&gt;EDATE(DH42,36),"Süresi geçti",IF(TODAY()&gt;=EDATE(DH42,33),"Yaklaşıyor","Takipte")),"Tarih hatalı")))</f>
        <v/>
      </c>
      <c r="U42" s="35">
        <f>IF(B42="","",IF(NOT(ISNUMBER(BW42)),"Tarih girilmedi",IFERROR(IF(TODAY()&gt;EDATE(BW42,24),"Süresi geçti",IF(TODAY()&gt;=(EDATE(BW42,24)-45),"Yaklaşıyor","Takipte")),"Tarih hatalı")))</f>
        <v/>
      </c>
      <c r="V42" s="35">
        <f>IF(B42="","",IF(NOT(ISNUMBER(BM42)),"Tarih girilmedi",IFERROR(IF(TODAY()&gt;BM42,"Süresi geçti",IF(TODAY()&gt;=(BM42-180),"Yaklaşıyor","Takipte")),"Tarih hatalı")))</f>
        <v/>
      </c>
      <c r="W42" s="40" t="n"/>
      <c r="X42" s="37" t="n"/>
      <c r="Y42" s="39" t="n"/>
      <c r="Z42" s="37" t="n"/>
      <c r="AA42" s="37" t="n"/>
      <c r="AB42" s="37" t="n"/>
      <c r="AC42" s="38" t="n"/>
      <c r="AD42" s="38" t="n"/>
      <c r="AE42" s="38" t="n"/>
      <c r="AF42" s="37" t="n"/>
      <c r="AG42" s="37" t="n"/>
      <c r="AH42" s="37" t="n"/>
      <c r="AI42" s="38" t="n"/>
      <c r="AJ42" s="37" t="n"/>
      <c r="AK42" s="41" t="n"/>
      <c r="AL42" s="41" t="n"/>
      <c r="AM42" s="37" t="n"/>
      <c r="AN42" s="39" t="n"/>
      <c r="AO42" s="42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43" t="n"/>
      <c r="AY42" s="37" t="n"/>
      <c r="AZ42" s="37" t="n"/>
      <c r="BA42" s="41" t="n"/>
      <c r="BB42" s="37" t="n"/>
      <c r="BC42" s="37" t="n"/>
      <c r="BD42" s="37" t="n"/>
      <c r="BE42" s="37" t="n"/>
      <c r="BF42" s="37" t="n"/>
      <c r="BG42" s="37" t="n"/>
      <c r="BH42" s="41" t="n"/>
      <c r="BI42" s="37" t="n"/>
      <c r="BJ42" s="37" t="n"/>
      <c r="BK42" s="38" t="n"/>
      <c r="BL42" s="37" t="n"/>
      <c r="BM42" s="41" t="n"/>
      <c r="BN42" s="37" t="n"/>
      <c r="BO42" s="41" t="n"/>
      <c r="BP42" s="37" t="n"/>
      <c r="BQ42" s="37" t="n"/>
      <c r="BR42" s="41" t="n"/>
      <c r="BS42" s="39" t="n"/>
      <c r="BT42" s="44" t="n"/>
      <c r="BU42" s="37" t="n"/>
      <c r="BV42" s="45" t="n"/>
      <c r="BW42" s="41" t="n"/>
      <c r="BX42" s="41" t="n"/>
      <c r="BY42" s="37" t="n"/>
      <c r="BZ42" s="37" t="n"/>
      <c r="CA42" s="37" t="n"/>
      <c r="CB42" s="37" t="n"/>
      <c r="CC42" s="39" t="n"/>
      <c r="CD42" s="39" t="n"/>
      <c r="CE42" s="46" t="n"/>
      <c r="CF42" s="37" t="n"/>
      <c r="CG42" s="37" t="n"/>
      <c r="CH42" s="45" t="n"/>
      <c r="CI42" s="37" t="n"/>
      <c r="CJ42" s="38" t="n"/>
      <c r="CK42" s="41" t="n"/>
      <c r="CL42" s="37" t="n"/>
      <c r="CM42" s="41" t="n"/>
      <c r="CN42" s="37" t="n"/>
      <c r="CO42" s="37" t="n"/>
      <c r="CP42" s="41" t="n"/>
      <c r="CQ42" s="41" t="n"/>
      <c r="CR42" s="37" t="n"/>
      <c r="CS42" s="37" t="n"/>
      <c r="CT42" s="47" t="n"/>
      <c r="CU42" s="37" t="n"/>
      <c r="CV42" s="38" t="n"/>
      <c r="CW42" s="41" t="n"/>
      <c r="CX42" s="37" t="n"/>
      <c r="CY42" s="37" t="n"/>
      <c r="CZ42" s="37" t="n"/>
      <c r="DA42" s="37" t="n"/>
      <c r="DB42" s="37" t="n"/>
      <c r="DC42" s="37" t="n"/>
      <c r="DD42" s="37" t="n"/>
      <c r="DE42" s="37" t="n"/>
      <c r="DF42" s="37" t="n"/>
      <c r="DG42" s="37" t="n"/>
      <c r="DH42" s="41" t="n"/>
      <c r="DI42" s="37" t="n"/>
      <c r="DJ42" s="37" t="n"/>
      <c r="DK42" s="37" t="n"/>
      <c r="DL42" s="41" t="n"/>
      <c r="DM42" s="37" t="n"/>
      <c r="DN42" s="45" t="n"/>
      <c r="DO42" s="41" t="n"/>
      <c r="DP42" s="48" t="n"/>
      <c r="DQ42" s="37" t="n"/>
      <c r="DR42" s="37" t="n"/>
      <c r="DS42" s="41" t="n"/>
      <c r="DT42" s="37" t="n"/>
      <c r="DU42" s="37" t="n"/>
      <c r="DV42" s="37" t="n"/>
      <c r="DW42" s="37" t="n"/>
      <c r="DX42" s="37" t="n"/>
      <c r="DY42" s="37" t="n"/>
      <c r="DZ42" s="39" t="n"/>
      <c r="EA42" s="37" t="n"/>
      <c r="EB42" s="37" t="n"/>
      <c r="EC42" s="37" t="n"/>
      <c r="ED42" s="41" t="n"/>
      <c r="EE42" s="37" t="n"/>
      <c r="EF42" s="39" t="n"/>
      <c r="EG42" s="49" t="n"/>
      <c r="EH42" s="41" t="n"/>
      <c r="EI42" s="41" t="n"/>
      <c r="EJ42" s="37" t="n"/>
      <c r="EK42" s="41" t="n"/>
      <c r="EL42" s="41" t="n"/>
      <c r="EM42" s="37" t="n"/>
      <c r="EN42" s="41" t="n"/>
      <c r="EO42" s="41" t="n"/>
      <c r="EP42" s="37" t="n"/>
      <c r="EQ42" s="39" t="n"/>
      <c r="ER42" s="45" t="n"/>
      <c r="ES42" s="41" t="n"/>
      <c r="ET42" s="39" t="n"/>
      <c r="EU42" s="39" t="n"/>
      <c r="EV42" s="41" t="n"/>
      <c r="EW42" s="39" t="n"/>
      <c r="EX42" s="37" t="n"/>
      <c r="EY42" s="37" t="n"/>
      <c r="EZ42" s="39" t="n"/>
      <c r="FA42" s="41" t="n"/>
      <c r="FB42" s="41" t="n"/>
      <c r="FC42" s="50" t="n"/>
      <c r="FD42" s="36">
        <f>IF(B42="","",IF(NOT(ISNUMBER(EK42)),"Tarih girilmedi",IFERROR(EDATE(EK42,12),"Tarih hatalı")))</f>
        <v/>
      </c>
      <c r="FE42" s="36">
        <f>IF(B42="","",IF(NOT(ISNUMBER(EK42)),"Tarih girilmedi",IFERROR(EDATE(EK42,11),"Tarih hatalı")))</f>
        <v/>
      </c>
      <c r="FF42" s="36">
        <f>IF(B42="","",IF(NOT(ISNUMBER(EN42)),"Tarih girilmedi",IFERROR(EDATE(EN42,12),"Tarih hatalı")))</f>
        <v/>
      </c>
      <c r="FG42" s="36">
        <f>IF(B42="","",IF(NOT(ISNUMBER(EN42)),"Tarih girilmedi",IFERROR(EDATE(EN42,11),"Tarih hatalı")))</f>
        <v/>
      </c>
      <c r="FH42" s="36">
        <f>IF(B42="","",IF(NOT(ISNUMBER(CW42)),"Tarih girilmedi",IFERROR(EDATE(CW42,60),"Tarih hatalı")))</f>
        <v/>
      </c>
      <c r="FI42" s="36">
        <f>IF(B42="","",IF(NOT(ISNUMBER(CW42)),"Tarih girilmedi",IFERROR(EDATE(CW42,57),"Tarih hatalı")))</f>
        <v/>
      </c>
      <c r="FJ42" s="36">
        <f>IF(B42="","",IF(NOT(ISNUMBER(DH42)),"Tarih girilmedi",IFERROR(EDATE(DH42,36),"Tarih hatalı")))</f>
        <v/>
      </c>
      <c r="FK42" s="36">
        <f>IF(B42="","",IF(NOT(ISNUMBER(DH42)),"Tarih girilmedi",IFERROR(EDATE(DH42,33),"Tarih hatalı")))</f>
        <v/>
      </c>
      <c r="FL42" s="36">
        <f>IF(B42="","",IF(NOT(ISNUMBER(BW42)),"Tarih girilmedi",IFERROR(EDATE(BW42,24),"Tarih hatalı")))</f>
        <v/>
      </c>
      <c r="FM42" s="36">
        <f>IF(B42="","",IF(NOT(ISNUMBER(BW42)),"Tarih girilmedi",IFERROR(EDATE(BW42,24)-45,"Tarih hatalı")))</f>
        <v/>
      </c>
      <c r="FN42" s="36">
        <f>IF(B42="","",IF(NOT(ISNUMBER(BM42)),"Tarih girilmedi",IFERROR(BM42-180,"Tarih hatalı")))</f>
        <v/>
      </c>
      <c r="FO42" s="51">
        <f>IF(OR(B42="",NOT(ISNUMBER(BM42))),"",BM42)</f>
        <v/>
      </c>
      <c r="FP42" s="51">
        <f>IF(OR(B42="",NOT(ISNUMBER(BM42))),"",BM42-180)</f>
        <v/>
      </c>
      <c r="FQ42" s="51">
        <f>IF(OR(B42="",NOT(ISNUMBER(BR42))),"",BR42)</f>
        <v/>
      </c>
      <c r="FR42" s="51">
        <f>IF(OR(B42="",NOT(ISNUMBER(AL42))),"",AL42)</f>
        <v/>
      </c>
      <c r="FS42" s="51">
        <f>IF(OR(B42="",NOT(ISNUMBER(CW42))),"",EDATE(CW42,60))</f>
        <v/>
      </c>
      <c r="FT42" s="51">
        <f>IF(OR(B42="",NOT(ISNUMBER(DH42))),"",EDATE(DH42,36))</f>
        <v/>
      </c>
      <c r="FU42" s="51">
        <f>IF(OR(B42="",NOT(ISNUMBER(BW42))),"",EDATE(BW42,24))</f>
        <v/>
      </c>
      <c r="FV42" s="51">
        <f>IF(OR(B42="",NOT(ISNUMBER(BX42))),"",BX42)</f>
        <v/>
      </c>
      <c r="FW42" s="51">
        <f>IF(OR(B42="",NOT(ISNUMBER(EK42))),"",EDATE(EK42,12))</f>
        <v/>
      </c>
      <c r="FX42" s="51">
        <f>IF(OR(B42="",NOT(ISNUMBER(EL42))),"",EL42)</f>
        <v/>
      </c>
      <c r="FY42" s="51">
        <f>IF(OR(B42="",NOT(ISNUMBER(EN42))),"",EDATE(EN42,12))</f>
        <v/>
      </c>
      <c r="FZ42" s="51">
        <f>IF(OR(B42="",NOT(ISNUMBER(EO42))),"",EO42)</f>
        <v/>
      </c>
      <c r="GA42" s="51">
        <f>IF(OR(B42="",NOT(ISNUMBER(CK42))),"",CK42)</f>
        <v/>
      </c>
      <c r="GB42" s="51">
        <f>IF(OR(B42="",NOT(ISNUMBER(CM42))),"",CM42)</f>
        <v/>
      </c>
      <c r="GC42" s="51">
        <f>IF(OR(B42="",NOT(ISNUMBER(CQ42))),"",CQ42)</f>
        <v/>
      </c>
      <c r="GD42" s="51">
        <f>IF(OR(B42="",NOT(ISNUMBER(EI42))),"",EI42)</f>
        <v/>
      </c>
      <c r="GE42" s="51">
        <f>IF(OR(B42="",NOT(ISNUMBER(FA42))),"",FA42)</f>
        <v/>
      </c>
      <c r="GF42" s="51">
        <f>IF(OR(B42="",NOT(ISNUMBER(ES42))),"",ES42)</f>
        <v/>
      </c>
      <c r="GG42" s="51">
        <f>IF(OR(B42="",NOT(ISNUMBER(FB42))),"",FB42)</f>
        <v/>
      </c>
    </row>
    <row r="43" ht="22" customHeight="1">
      <c r="A43" s="32" t="n">
        <v>39</v>
      </c>
      <c r="B43" s="33" t="n"/>
      <c r="C43" s="34">
        <f>IF(B43="","",((P43="Süresi geçti")+(P43="Yaklaşıyor")+(P43="Tarih hatalı"))+((Q43="Süresi geçti")+(Q43="Yaklaşıyor")+(Q43="Tarih hatalı"))+((R43="Süresi geçti")+(R43="Yaklaşıyor")+(R43="Tarih hatalı"))+((S43="Süresi geçti")+(S43="Yaklaşıyor")+(S43="Tarih hatalı"))+((T43="Süresi geçti")+(T43="Yaklaşıyor")+(T43="Tarih hatalı"))+((U43="Süresi geçti")+(U43="Yaklaşıyor")+(U43="Tarih hatalı"))+((V43="Süresi geçti")+(V43="Yaklaşıyor")+(V43="Tarih hatalı")))</f>
        <v/>
      </c>
      <c r="D43" s="35">
        <f>IF(OR(B43="",E43=""),"",INDEX($FO$4:$GG$4,1,MATCH(E43,FO43:GG43,0)))</f>
        <v/>
      </c>
      <c r="E43" s="36">
        <f>IF(B43="","",IF(COUNT(FO43:GG43)=0,"",SMALL(FO43:GG43,1)))</f>
        <v/>
      </c>
      <c r="F43" s="34">
        <f>IF(E43="","",E43-TODAY())</f>
        <v/>
      </c>
      <c r="G43" s="37" t="n"/>
      <c r="H43" s="37" t="n"/>
      <c r="I43" s="37" t="n"/>
      <c r="J43" s="37" t="n"/>
      <c r="K43" s="37" t="n"/>
      <c r="L43" s="38" t="n"/>
      <c r="M43" s="37" t="n"/>
      <c r="N43" s="37" t="n"/>
      <c r="O43" s="39" t="n"/>
      <c r="P43" s="35">
        <f>IF(B43="","",IF(NOT(ISNUMBER(AL43)),"Tarih girilmedi",IFERROR(IF(TODAY()&gt;AL43,"Süresi geçti",IF(TODAY()&gt;=(AL43-60),"Yaklaşıyor","Takipte")),"Tarih hatalı")))</f>
        <v/>
      </c>
      <c r="Q43" s="35">
        <f>IF(B43="","",IF(NOT(ISNUMBER(EK43)),"Tarih girilmedi",IFERROR(IF(TODAY()&gt;EDATE(EK43,12),"Süresi geçti",IF(TODAY()&gt;=EDATE(EK43,11),"Yaklaşıyor","Takipte")),"Tarih hatalı")))</f>
        <v/>
      </c>
      <c r="R43" s="35">
        <f>IF(B43="","",IF(NOT(ISNUMBER(EN43)),"Tarih girilmedi",IFERROR(IF(TODAY()&gt;EDATE(EN43,12),"Süresi geçti",IF(TODAY()&gt;=EDATE(EN43,11),"Yaklaşıyor","Takipte")),"Tarih hatalı")))</f>
        <v/>
      </c>
      <c r="S43" s="35">
        <f>IF(B43="","",IF(NOT(ISNUMBER(CW43)),"Tarih girilmedi",IFERROR(IF(TODAY()&gt;EDATE(CW43,60),"Süresi geçti",IF(TODAY()&gt;=EDATE(CW43,57),"Yaklaşıyor","Takipte")),"Tarih hatalı")))</f>
        <v/>
      </c>
      <c r="T43" s="35">
        <f>IF(B43="","",IF(NOT(ISNUMBER(DH43)),"Tarih girilmedi",IFERROR(IF(TODAY()&gt;EDATE(DH43,36),"Süresi geçti",IF(TODAY()&gt;=EDATE(DH43,33),"Yaklaşıyor","Takipte")),"Tarih hatalı")))</f>
        <v/>
      </c>
      <c r="U43" s="35">
        <f>IF(B43="","",IF(NOT(ISNUMBER(BW43)),"Tarih girilmedi",IFERROR(IF(TODAY()&gt;EDATE(BW43,24),"Süresi geçti",IF(TODAY()&gt;=(EDATE(BW43,24)-45),"Yaklaşıyor","Takipte")),"Tarih hatalı")))</f>
        <v/>
      </c>
      <c r="V43" s="35">
        <f>IF(B43="","",IF(NOT(ISNUMBER(BM43)),"Tarih girilmedi",IFERROR(IF(TODAY()&gt;BM43,"Süresi geçti",IF(TODAY()&gt;=(BM43-180),"Yaklaşıyor","Takipte")),"Tarih hatalı")))</f>
        <v/>
      </c>
      <c r="W43" s="40" t="n"/>
      <c r="X43" s="37" t="n"/>
      <c r="Y43" s="39" t="n"/>
      <c r="Z43" s="37" t="n"/>
      <c r="AA43" s="37" t="n"/>
      <c r="AB43" s="37" t="n"/>
      <c r="AC43" s="38" t="n"/>
      <c r="AD43" s="38" t="n"/>
      <c r="AE43" s="38" t="n"/>
      <c r="AF43" s="37" t="n"/>
      <c r="AG43" s="37" t="n"/>
      <c r="AH43" s="37" t="n"/>
      <c r="AI43" s="38" t="n"/>
      <c r="AJ43" s="37" t="n"/>
      <c r="AK43" s="41" t="n"/>
      <c r="AL43" s="41" t="n"/>
      <c r="AM43" s="37" t="n"/>
      <c r="AN43" s="39" t="n"/>
      <c r="AO43" s="42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43" t="n"/>
      <c r="AY43" s="37" t="n"/>
      <c r="AZ43" s="37" t="n"/>
      <c r="BA43" s="41" t="n"/>
      <c r="BB43" s="37" t="n"/>
      <c r="BC43" s="37" t="n"/>
      <c r="BD43" s="37" t="n"/>
      <c r="BE43" s="37" t="n"/>
      <c r="BF43" s="37" t="n"/>
      <c r="BG43" s="37" t="n"/>
      <c r="BH43" s="41" t="n"/>
      <c r="BI43" s="37" t="n"/>
      <c r="BJ43" s="37" t="n"/>
      <c r="BK43" s="38" t="n"/>
      <c r="BL43" s="37" t="n"/>
      <c r="BM43" s="41" t="n"/>
      <c r="BN43" s="37" t="n"/>
      <c r="BO43" s="41" t="n"/>
      <c r="BP43" s="37" t="n"/>
      <c r="BQ43" s="37" t="n"/>
      <c r="BR43" s="41" t="n"/>
      <c r="BS43" s="39" t="n"/>
      <c r="BT43" s="44" t="n"/>
      <c r="BU43" s="37" t="n"/>
      <c r="BV43" s="45" t="n"/>
      <c r="BW43" s="41" t="n"/>
      <c r="BX43" s="41" t="n"/>
      <c r="BY43" s="37" t="n"/>
      <c r="BZ43" s="37" t="n"/>
      <c r="CA43" s="37" t="n"/>
      <c r="CB43" s="37" t="n"/>
      <c r="CC43" s="39" t="n"/>
      <c r="CD43" s="39" t="n"/>
      <c r="CE43" s="46" t="n"/>
      <c r="CF43" s="37" t="n"/>
      <c r="CG43" s="37" t="n"/>
      <c r="CH43" s="45" t="n"/>
      <c r="CI43" s="37" t="n"/>
      <c r="CJ43" s="38" t="n"/>
      <c r="CK43" s="41" t="n"/>
      <c r="CL43" s="37" t="n"/>
      <c r="CM43" s="41" t="n"/>
      <c r="CN43" s="37" t="n"/>
      <c r="CO43" s="37" t="n"/>
      <c r="CP43" s="41" t="n"/>
      <c r="CQ43" s="41" t="n"/>
      <c r="CR43" s="37" t="n"/>
      <c r="CS43" s="37" t="n"/>
      <c r="CT43" s="47" t="n"/>
      <c r="CU43" s="37" t="n"/>
      <c r="CV43" s="38" t="n"/>
      <c r="CW43" s="41" t="n"/>
      <c r="CX43" s="37" t="n"/>
      <c r="CY43" s="37" t="n"/>
      <c r="CZ43" s="37" t="n"/>
      <c r="DA43" s="37" t="n"/>
      <c r="DB43" s="37" t="n"/>
      <c r="DC43" s="37" t="n"/>
      <c r="DD43" s="37" t="n"/>
      <c r="DE43" s="37" t="n"/>
      <c r="DF43" s="37" t="n"/>
      <c r="DG43" s="37" t="n"/>
      <c r="DH43" s="41" t="n"/>
      <c r="DI43" s="37" t="n"/>
      <c r="DJ43" s="37" t="n"/>
      <c r="DK43" s="37" t="n"/>
      <c r="DL43" s="41" t="n"/>
      <c r="DM43" s="37" t="n"/>
      <c r="DN43" s="45" t="n"/>
      <c r="DO43" s="41" t="n"/>
      <c r="DP43" s="48" t="n"/>
      <c r="DQ43" s="37" t="n"/>
      <c r="DR43" s="37" t="n"/>
      <c r="DS43" s="41" t="n"/>
      <c r="DT43" s="37" t="n"/>
      <c r="DU43" s="37" t="n"/>
      <c r="DV43" s="37" t="n"/>
      <c r="DW43" s="37" t="n"/>
      <c r="DX43" s="37" t="n"/>
      <c r="DY43" s="37" t="n"/>
      <c r="DZ43" s="39" t="n"/>
      <c r="EA43" s="37" t="n"/>
      <c r="EB43" s="37" t="n"/>
      <c r="EC43" s="37" t="n"/>
      <c r="ED43" s="41" t="n"/>
      <c r="EE43" s="37" t="n"/>
      <c r="EF43" s="39" t="n"/>
      <c r="EG43" s="49" t="n"/>
      <c r="EH43" s="41" t="n"/>
      <c r="EI43" s="41" t="n"/>
      <c r="EJ43" s="37" t="n"/>
      <c r="EK43" s="41" t="n"/>
      <c r="EL43" s="41" t="n"/>
      <c r="EM43" s="37" t="n"/>
      <c r="EN43" s="41" t="n"/>
      <c r="EO43" s="41" t="n"/>
      <c r="EP43" s="37" t="n"/>
      <c r="EQ43" s="39" t="n"/>
      <c r="ER43" s="45" t="n"/>
      <c r="ES43" s="41" t="n"/>
      <c r="ET43" s="39" t="n"/>
      <c r="EU43" s="39" t="n"/>
      <c r="EV43" s="41" t="n"/>
      <c r="EW43" s="39" t="n"/>
      <c r="EX43" s="37" t="n"/>
      <c r="EY43" s="37" t="n"/>
      <c r="EZ43" s="39" t="n"/>
      <c r="FA43" s="41" t="n"/>
      <c r="FB43" s="41" t="n"/>
      <c r="FC43" s="50" t="n"/>
      <c r="FD43" s="36">
        <f>IF(B43="","",IF(NOT(ISNUMBER(EK43)),"Tarih girilmedi",IFERROR(EDATE(EK43,12),"Tarih hatalı")))</f>
        <v/>
      </c>
      <c r="FE43" s="36">
        <f>IF(B43="","",IF(NOT(ISNUMBER(EK43)),"Tarih girilmedi",IFERROR(EDATE(EK43,11),"Tarih hatalı")))</f>
        <v/>
      </c>
      <c r="FF43" s="36">
        <f>IF(B43="","",IF(NOT(ISNUMBER(EN43)),"Tarih girilmedi",IFERROR(EDATE(EN43,12),"Tarih hatalı")))</f>
        <v/>
      </c>
      <c r="FG43" s="36">
        <f>IF(B43="","",IF(NOT(ISNUMBER(EN43)),"Tarih girilmedi",IFERROR(EDATE(EN43,11),"Tarih hatalı")))</f>
        <v/>
      </c>
      <c r="FH43" s="36">
        <f>IF(B43="","",IF(NOT(ISNUMBER(CW43)),"Tarih girilmedi",IFERROR(EDATE(CW43,60),"Tarih hatalı")))</f>
        <v/>
      </c>
      <c r="FI43" s="36">
        <f>IF(B43="","",IF(NOT(ISNUMBER(CW43)),"Tarih girilmedi",IFERROR(EDATE(CW43,57),"Tarih hatalı")))</f>
        <v/>
      </c>
      <c r="FJ43" s="36">
        <f>IF(B43="","",IF(NOT(ISNUMBER(DH43)),"Tarih girilmedi",IFERROR(EDATE(DH43,36),"Tarih hatalı")))</f>
        <v/>
      </c>
      <c r="FK43" s="36">
        <f>IF(B43="","",IF(NOT(ISNUMBER(DH43)),"Tarih girilmedi",IFERROR(EDATE(DH43,33),"Tarih hatalı")))</f>
        <v/>
      </c>
      <c r="FL43" s="36">
        <f>IF(B43="","",IF(NOT(ISNUMBER(BW43)),"Tarih girilmedi",IFERROR(EDATE(BW43,24),"Tarih hatalı")))</f>
        <v/>
      </c>
      <c r="FM43" s="36">
        <f>IF(B43="","",IF(NOT(ISNUMBER(BW43)),"Tarih girilmedi",IFERROR(EDATE(BW43,24)-45,"Tarih hatalı")))</f>
        <v/>
      </c>
      <c r="FN43" s="36">
        <f>IF(B43="","",IF(NOT(ISNUMBER(BM43)),"Tarih girilmedi",IFERROR(BM43-180,"Tarih hatalı")))</f>
        <v/>
      </c>
      <c r="FO43" s="51">
        <f>IF(OR(B43="",NOT(ISNUMBER(BM43))),"",BM43)</f>
        <v/>
      </c>
      <c r="FP43" s="51">
        <f>IF(OR(B43="",NOT(ISNUMBER(BM43))),"",BM43-180)</f>
        <v/>
      </c>
      <c r="FQ43" s="51">
        <f>IF(OR(B43="",NOT(ISNUMBER(BR43))),"",BR43)</f>
        <v/>
      </c>
      <c r="FR43" s="51">
        <f>IF(OR(B43="",NOT(ISNUMBER(AL43))),"",AL43)</f>
        <v/>
      </c>
      <c r="FS43" s="51">
        <f>IF(OR(B43="",NOT(ISNUMBER(CW43))),"",EDATE(CW43,60))</f>
        <v/>
      </c>
      <c r="FT43" s="51">
        <f>IF(OR(B43="",NOT(ISNUMBER(DH43))),"",EDATE(DH43,36))</f>
        <v/>
      </c>
      <c r="FU43" s="51">
        <f>IF(OR(B43="",NOT(ISNUMBER(BW43))),"",EDATE(BW43,24))</f>
        <v/>
      </c>
      <c r="FV43" s="51">
        <f>IF(OR(B43="",NOT(ISNUMBER(BX43))),"",BX43)</f>
        <v/>
      </c>
      <c r="FW43" s="51">
        <f>IF(OR(B43="",NOT(ISNUMBER(EK43))),"",EDATE(EK43,12))</f>
        <v/>
      </c>
      <c r="FX43" s="51">
        <f>IF(OR(B43="",NOT(ISNUMBER(EL43))),"",EL43)</f>
        <v/>
      </c>
      <c r="FY43" s="51">
        <f>IF(OR(B43="",NOT(ISNUMBER(EN43))),"",EDATE(EN43,12))</f>
        <v/>
      </c>
      <c r="FZ43" s="51">
        <f>IF(OR(B43="",NOT(ISNUMBER(EO43))),"",EO43)</f>
        <v/>
      </c>
      <c r="GA43" s="51">
        <f>IF(OR(B43="",NOT(ISNUMBER(CK43))),"",CK43)</f>
        <v/>
      </c>
      <c r="GB43" s="51">
        <f>IF(OR(B43="",NOT(ISNUMBER(CM43))),"",CM43)</f>
        <v/>
      </c>
      <c r="GC43" s="51">
        <f>IF(OR(B43="",NOT(ISNUMBER(CQ43))),"",CQ43)</f>
        <v/>
      </c>
      <c r="GD43" s="51">
        <f>IF(OR(B43="",NOT(ISNUMBER(EI43))),"",EI43)</f>
        <v/>
      </c>
      <c r="GE43" s="51">
        <f>IF(OR(B43="",NOT(ISNUMBER(FA43))),"",FA43)</f>
        <v/>
      </c>
      <c r="GF43" s="51">
        <f>IF(OR(B43="",NOT(ISNUMBER(ES43))),"",ES43)</f>
        <v/>
      </c>
      <c r="GG43" s="51">
        <f>IF(OR(B43="",NOT(ISNUMBER(FB43))),"",FB43)</f>
        <v/>
      </c>
    </row>
    <row r="44" ht="22" customHeight="1">
      <c r="A44" s="32" t="n">
        <v>40</v>
      </c>
      <c r="B44" s="33" t="n"/>
      <c r="C44" s="34">
        <f>IF(B44="","",((P44="Süresi geçti")+(P44="Yaklaşıyor")+(P44="Tarih hatalı"))+((Q44="Süresi geçti")+(Q44="Yaklaşıyor")+(Q44="Tarih hatalı"))+((R44="Süresi geçti")+(R44="Yaklaşıyor")+(R44="Tarih hatalı"))+((S44="Süresi geçti")+(S44="Yaklaşıyor")+(S44="Tarih hatalı"))+((T44="Süresi geçti")+(T44="Yaklaşıyor")+(T44="Tarih hatalı"))+((U44="Süresi geçti")+(U44="Yaklaşıyor")+(U44="Tarih hatalı"))+((V44="Süresi geçti")+(V44="Yaklaşıyor")+(V44="Tarih hatalı")))</f>
        <v/>
      </c>
      <c r="D44" s="35">
        <f>IF(OR(B44="",E44=""),"",INDEX($FO$4:$GG$4,1,MATCH(E44,FO44:GG44,0)))</f>
        <v/>
      </c>
      <c r="E44" s="36">
        <f>IF(B44="","",IF(COUNT(FO44:GG44)=0,"",SMALL(FO44:GG44,1)))</f>
        <v/>
      </c>
      <c r="F44" s="34">
        <f>IF(E44="","",E44-TODAY())</f>
        <v/>
      </c>
      <c r="G44" s="37" t="n"/>
      <c r="H44" s="37" t="n"/>
      <c r="I44" s="37" t="n"/>
      <c r="J44" s="37" t="n"/>
      <c r="K44" s="37" t="n"/>
      <c r="L44" s="38" t="n"/>
      <c r="M44" s="37" t="n"/>
      <c r="N44" s="37" t="n"/>
      <c r="O44" s="39" t="n"/>
      <c r="P44" s="35">
        <f>IF(B44="","",IF(NOT(ISNUMBER(AL44)),"Tarih girilmedi",IFERROR(IF(TODAY()&gt;AL44,"Süresi geçti",IF(TODAY()&gt;=(AL44-60),"Yaklaşıyor","Takipte")),"Tarih hatalı")))</f>
        <v/>
      </c>
      <c r="Q44" s="35">
        <f>IF(B44="","",IF(NOT(ISNUMBER(EK44)),"Tarih girilmedi",IFERROR(IF(TODAY()&gt;EDATE(EK44,12),"Süresi geçti",IF(TODAY()&gt;=EDATE(EK44,11),"Yaklaşıyor","Takipte")),"Tarih hatalı")))</f>
        <v/>
      </c>
      <c r="R44" s="35">
        <f>IF(B44="","",IF(NOT(ISNUMBER(EN44)),"Tarih girilmedi",IFERROR(IF(TODAY()&gt;EDATE(EN44,12),"Süresi geçti",IF(TODAY()&gt;=EDATE(EN44,11),"Yaklaşıyor","Takipte")),"Tarih hatalı")))</f>
        <v/>
      </c>
      <c r="S44" s="35">
        <f>IF(B44="","",IF(NOT(ISNUMBER(CW44)),"Tarih girilmedi",IFERROR(IF(TODAY()&gt;EDATE(CW44,60),"Süresi geçti",IF(TODAY()&gt;=EDATE(CW44,57),"Yaklaşıyor","Takipte")),"Tarih hatalı")))</f>
        <v/>
      </c>
      <c r="T44" s="35">
        <f>IF(B44="","",IF(NOT(ISNUMBER(DH44)),"Tarih girilmedi",IFERROR(IF(TODAY()&gt;EDATE(DH44,36),"Süresi geçti",IF(TODAY()&gt;=EDATE(DH44,33),"Yaklaşıyor","Takipte")),"Tarih hatalı")))</f>
        <v/>
      </c>
      <c r="U44" s="35">
        <f>IF(B44="","",IF(NOT(ISNUMBER(BW44)),"Tarih girilmedi",IFERROR(IF(TODAY()&gt;EDATE(BW44,24),"Süresi geçti",IF(TODAY()&gt;=(EDATE(BW44,24)-45),"Yaklaşıyor","Takipte")),"Tarih hatalı")))</f>
        <v/>
      </c>
      <c r="V44" s="35">
        <f>IF(B44="","",IF(NOT(ISNUMBER(BM44)),"Tarih girilmedi",IFERROR(IF(TODAY()&gt;BM44,"Süresi geçti",IF(TODAY()&gt;=(BM44-180),"Yaklaşıyor","Takipte")),"Tarih hatalı")))</f>
        <v/>
      </c>
      <c r="W44" s="40" t="n"/>
      <c r="X44" s="37" t="n"/>
      <c r="Y44" s="39" t="n"/>
      <c r="Z44" s="37" t="n"/>
      <c r="AA44" s="37" t="n"/>
      <c r="AB44" s="37" t="n"/>
      <c r="AC44" s="38" t="n"/>
      <c r="AD44" s="38" t="n"/>
      <c r="AE44" s="38" t="n"/>
      <c r="AF44" s="37" t="n"/>
      <c r="AG44" s="37" t="n"/>
      <c r="AH44" s="37" t="n"/>
      <c r="AI44" s="38" t="n"/>
      <c r="AJ44" s="37" t="n"/>
      <c r="AK44" s="41" t="n"/>
      <c r="AL44" s="41" t="n"/>
      <c r="AM44" s="37" t="n"/>
      <c r="AN44" s="39" t="n"/>
      <c r="AO44" s="42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43" t="n"/>
      <c r="AY44" s="37" t="n"/>
      <c r="AZ44" s="37" t="n"/>
      <c r="BA44" s="41" t="n"/>
      <c r="BB44" s="37" t="n"/>
      <c r="BC44" s="37" t="n"/>
      <c r="BD44" s="37" t="n"/>
      <c r="BE44" s="37" t="n"/>
      <c r="BF44" s="37" t="n"/>
      <c r="BG44" s="37" t="n"/>
      <c r="BH44" s="41" t="n"/>
      <c r="BI44" s="37" t="n"/>
      <c r="BJ44" s="37" t="n"/>
      <c r="BK44" s="38" t="n"/>
      <c r="BL44" s="37" t="n"/>
      <c r="BM44" s="41" t="n"/>
      <c r="BN44" s="37" t="n"/>
      <c r="BO44" s="41" t="n"/>
      <c r="BP44" s="37" t="n"/>
      <c r="BQ44" s="37" t="n"/>
      <c r="BR44" s="41" t="n"/>
      <c r="BS44" s="39" t="n"/>
      <c r="BT44" s="44" t="n"/>
      <c r="BU44" s="37" t="n"/>
      <c r="BV44" s="45" t="n"/>
      <c r="BW44" s="41" t="n"/>
      <c r="BX44" s="41" t="n"/>
      <c r="BY44" s="37" t="n"/>
      <c r="BZ44" s="37" t="n"/>
      <c r="CA44" s="37" t="n"/>
      <c r="CB44" s="37" t="n"/>
      <c r="CC44" s="39" t="n"/>
      <c r="CD44" s="39" t="n"/>
      <c r="CE44" s="46" t="n"/>
      <c r="CF44" s="37" t="n"/>
      <c r="CG44" s="37" t="n"/>
      <c r="CH44" s="45" t="n"/>
      <c r="CI44" s="37" t="n"/>
      <c r="CJ44" s="38" t="n"/>
      <c r="CK44" s="41" t="n"/>
      <c r="CL44" s="37" t="n"/>
      <c r="CM44" s="41" t="n"/>
      <c r="CN44" s="37" t="n"/>
      <c r="CO44" s="37" t="n"/>
      <c r="CP44" s="41" t="n"/>
      <c r="CQ44" s="41" t="n"/>
      <c r="CR44" s="37" t="n"/>
      <c r="CS44" s="37" t="n"/>
      <c r="CT44" s="47" t="n"/>
      <c r="CU44" s="37" t="n"/>
      <c r="CV44" s="38" t="n"/>
      <c r="CW44" s="41" t="n"/>
      <c r="CX44" s="37" t="n"/>
      <c r="CY44" s="37" t="n"/>
      <c r="CZ44" s="37" t="n"/>
      <c r="DA44" s="37" t="n"/>
      <c r="DB44" s="37" t="n"/>
      <c r="DC44" s="37" t="n"/>
      <c r="DD44" s="37" t="n"/>
      <c r="DE44" s="37" t="n"/>
      <c r="DF44" s="37" t="n"/>
      <c r="DG44" s="37" t="n"/>
      <c r="DH44" s="41" t="n"/>
      <c r="DI44" s="37" t="n"/>
      <c r="DJ44" s="37" t="n"/>
      <c r="DK44" s="37" t="n"/>
      <c r="DL44" s="41" t="n"/>
      <c r="DM44" s="37" t="n"/>
      <c r="DN44" s="45" t="n"/>
      <c r="DO44" s="41" t="n"/>
      <c r="DP44" s="48" t="n"/>
      <c r="DQ44" s="37" t="n"/>
      <c r="DR44" s="37" t="n"/>
      <c r="DS44" s="41" t="n"/>
      <c r="DT44" s="37" t="n"/>
      <c r="DU44" s="37" t="n"/>
      <c r="DV44" s="37" t="n"/>
      <c r="DW44" s="37" t="n"/>
      <c r="DX44" s="37" t="n"/>
      <c r="DY44" s="37" t="n"/>
      <c r="DZ44" s="39" t="n"/>
      <c r="EA44" s="37" t="n"/>
      <c r="EB44" s="37" t="n"/>
      <c r="EC44" s="37" t="n"/>
      <c r="ED44" s="41" t="n"/>
      <c r="EE44" s="37" t="n"/>
      <c r="EF44" s="39" t="n"/>
      <c r="EG44" s="49" t="n"/>
      <c r="EH44" s="41" t="n"/>
      <c r="EI44" s="41" t="n"/>
      <c r="EJ44" s="37" t="n"/>
      <c r="EK44" s="41" t="n"/>
      <c r="EL44" s="41" t="n"/>
      <c r="EM44" s="37" t="n"/>
      <c r="EN44" s="41" t="n"/>
      <c r="EO44" s="41" t="n"/>
      <c r="EP44" s="37" t="n"/>
      <c r="EQ44" s="39" t="n"/>
      <c r="ER44" s="45" t="n"/>
      <c r="ES44" s="41" t="n"/>
      <c r="ET44" s="39" t="n"/>
      <c r="EU44" s="39" t="n"/>
      <c r="EV44" s="41" t="n"/>
      <c r="EW44" s="39" t="n"/>
      <c r="EX44" s="37" t="n"/>
      <c r="EY44" s="37" t="n"/>
      <c r="EZ44" s="39" t="n"/>
      <c r="FA44" s="41" t="n"/>
      <c r="FB44" s="41" t="n"/>
      <c r="FC44" s="50" t="n"/>
      <c r="FD44" s="36">
        <f>IF(B44="","",IF(NOT(ISNUMBER(EK44)),"Tarih girilmedi",IFERROR(EDATE(EK44,12),"Tarih hatalı")))</f>
        <v/>
      </c>
      <c r="FE44" s="36">
        <f>IF(B44="","",IF(NOT(ISNUMBER(EK44)),"Tarih girilmedi",IFERROR(EDATE(EK44,11),"Tarih hatalı")))</f>
        <v/>
      </c>
      <c r="FF44" s="36">
        <f>IF(B44="","",IF(NOT(ISNUMBER(EN44)),"Tarih girilmedi",IFERROR(EDATE(EN44,12),"Tarih hatalı")))</f>
        <v/>
      </c>
      <c r="FG44" s="36">
        <f>IF(B44="","",IF(NOT(ISNUMBER(EN44)),"Tarih girilmedi",IFERROR(EDATE(EN44,11),"Tarih hatalı")))</f>
        <v/>
      </c>
      <c r="FH44" s="36">
        <f>IF(B44="","",IF(NOT(ISNUMBER(CW44)),"Tarih girilmedi",IFERROR(EDATE(CW44,60),"Tarih hatalı")))</f>
        <v/>
      </c>
      <c r="FI44" s="36">
        <f>IF(B44="","",IF(NOT(ISNUMBER(CW44)),"Tarih girilmedi",IFERROR(EDATE(CW44,57),"Tarih hatalı")))</f>
        <v/>
      </c>
      <c r="FJ44" s="36">
        <f>IF(B44="","",IF(NOT(ISNUMBER(DH44)),"Tarih girilmedi",IFERROR(EDATE(DH44,36),"Tarih hatalı")))</f>
        <v/>
      </c>
      <c r="FK44" s="36">
        <f>IF(B44="","",IF(NOT(ISNUMBER(DH44)),"Tarih girilmedi",IFERROR(EDATE(DH44,33),"Tarih hatalı")))</f>
        <v/>
      </c>
      <c r="FL44" s="36">
        <f>IF(B44="","",IF(NOT(ISNUMBER(BW44)),"Tarih girilmedi",IFERROR(EDATE(BW44,24),"Tarih hatalı")))</f>
        <v/>
      </c>
      <c r="FM44" s="36">
        <f>IF(B44="","",IF(NOT(ISNUMBER(BW44)),"Tarih girilmedi",IFERROR(EDATE(BW44,24)-45,"Tarih hatalı")))</f>
        <v/>
      </c>
      <c r="FN44" s="36">
        <f>IF(B44="","",IF(NOT(ISNUMBER(BM44)),"Tarih girilmedi",IFERROR(BM44-180,"Tarih hatalı")))</f>
        <v/>
      </c>
      <c r="FO44" s="51">
        <f>IF(OR(B44="",NOT(ISNUMBER(BM44))),"",BM44)</f>
        <v/>
      </c>
      <c r="FP44" s="51">
        <f>IF(OR(B44="",NOT(ISNUMBER(BM44))),"",BM44-180)</f>
        <v/>
      </c>
      <c r="FQ44" s="51">
        <f>IF(OR(B44="",NOT(ISNUMBER(BR44))),"",BR44)</f>
        <v/>
      </c>
      <c r="FR44" s="51">
        <f>IF(OR(B44="",NOT(ISNUMBER(AL44))),"",AL44)</f>
        <v/>
      </c>
      <c r="FS44" s="51">
        <f>IF(OR(B44="",NOT(ISNUMBER(CW44))),"",EDATE(CW44,60))</f>
        <v/>
      </c>
      <c r="FT44" s="51">
        <f>IF(OR(B44="",NOT(ISNUMBER(DH44))),"",EDATE(DH44,36))</f>
        <v/>
      </c>
      <c r="FU44" s="51">
        <f>IF(OR(B44="",NOT(ISNUMBER(BW44))),"",EDATE(BW44,24))</f>
        <v/>
      </c>
      <c r="FV44" s="51">
        <f>IF(OR(B44="",NOT(ISNUMBER(BX44))),"",BX44)</f>
        <v/>
      </c>
      <c r="FW44" s="51">
        <f>IF(OR(B44="",NOT(ISNUMBER(EK44))),"",EDATE(EK44,12))</f>
        <v/>
      </c>
      <c r="FX44" s="51">
        <f>IF(OR(B44="",NOT(ISNUMBER(EL44))),"",EL44)</f>
        <v/>
      </c>
      <c r="FY44" s="51">
        <f>IF(OR(B44="",NOT(ISNUMBER(EN44))),"",EDATE(EN44,12))</f>
        <v/>
      </c>
      <c r="FZ44" s="51">
        <f>IF(OR(B44="",NOT(ISNUMBER(EO44))),"",EO44)</f>
        <v/>
      </c>
      <c r="GA44" s="51">
        <f>IF(OR(B44="",NOT(ISNUMBER(CK44))),"",CK44)</f>
        <v/>
      </c>
      <c r="GB44" s="51">
        <f>IF(OR(B44="",NOT(ISNUMBER(CM44))),"",CM44)</f>
        <v/>
      </c>
      <c r="GC44" s="51">
        <f>IF(OR(B44="",NOT(ISNUMBER(CQ44))),"",CQ44)</f>
        <v/>
      </c>
      <c r="GD44" s="51">
        <f>IF(OR(B44="",NOT(ISNUMBER(EI44))),"",EI44)</f>
        <v/>
      </c>
      <c r="GE44" s="51">
        <f>IF(OR(B44="",NOT(ISNUMBER(FA44))),"",FA44)</f>
        <v/>
      </c>
      <c r="GF44" s="51">
        <f>IF(OR(B44="",NOT(ISNUMBER(ES44))),"",ES44)</f>
        <v/>
      </c>
      <c r="GG44" s="51">
        <f>IF(OR(B44="",NOT(ISNUMBER(FB44))),"",FB44)</f>
        <v/>
      </c>
    </row>
  </sheetData>
  <autoFilter ref="A4:GG44"/>
  <mergeCells count="3">
    <mergeCell ref="A1:V1"/>
    <mergeCell ref="G2:V2"/>
    <mergeCell ref="A3:V3"/>
  </mergeCells>
  <conditionalFormatting sqref="G5:G44">
    <cfRule type="expression" priority="1" dxfId="0">
      <formula>G5="Acil"</formula>
    </cfRule>
    <cfRule type="expression" priority="2" dxfId="1">
      <formula>G5="Yüksek"</formula>
    </cfRule>
  </conditionalFormatting>
  <conditionalFormatting sqref="H5:H44">
    <cfRule type="expression" priority="3" dxfId="1">
      <formula>OR(H5="Sözleşme bitti",H5="Askıda")</formula>
    </cfRule>
    <cfRule type="expression" priority="4" dxfId="2">
      <formula>H5="Arşiv"</formula>
    </cfRule>
  </conditionalFormatting>
  <conditionalFormatting sqref="P5:P44">
    <cfRule type="expression" priority="5" dxfId="3">
      <formula>P5="Takipte"</formula>
    </cfRule>
    <cfRule type="expression" priority="6" dxfId="0">
      <formula>OR(P5="Süresi geçti",P5="Tarih hatalı")</formula>
    </cfRule>
    <cfRule type="expression" priority="7" dxfId="1">
      <formula>P5="Yaklaşıyor"</formula>
    </cfRule>
    <cfRule type="expression" priority="8" dxfId="2">
      <formula>P5="Tarih girilmedi"</formula>
    </cfRule>
  </conditionalFormatting>
  <conditionalFormatting sqref="Q5:Q44">
    <cfRule type="expression" priority="9" dxfId="3">
      <formula>Q5="Takipte"</formula>
    </cfRule>
    <cfRule type="expression" priority="10" dxfId="0">
      <formula>OR(Q5="Süresi geçti",Q5="Tarih hatalı")</formula>
    </cfRule>
    <cfRule type="expression" priority="11" dxfId="1">
      <formula>Q5="Yaklaşıyor"</formula>
    </cfRule>
    <cfRule type="expression" priority="12" dxfId="2">
      <formula>Q5="Tarih girilmedi"</formula>
    </cfRule>
  </conditionalFormatting>
  <conditionalFormatting sqref="R5:R44">
    <cfRule type="expression" priority="13" dxfId="3">
      <formula>R5="Takipte"</formula>
    </cfRule>
    <cfRule type="expression" priority="14" dxfId="0">
      <formula>OR(R5="Süresi geçti",R5="Tarih hatalı")</formula>
    </cfRule>
    <cfRule type="expression" priority="15" dxfId="1">
      <formula>R5="Yaklaşıyor"</formula>
    </cfRule>
    <cfRule type="expression" priority="16" dxfId="2">
      <formula>R5="Tarih girilmedi"</formula>
    </cfRule>
  </conditionalFormatting>
  <conditionalFormatting sqref="S5:S44">
    <cfRule type="expression" priority="17" dxfId="3">
      <formula>S5="Takipte"</formula>
    </cfRule>
    <cfRule type="expression" priority="18" dxfId="0">
      <formula>OR(S5="Süresi geçti",S5="Tarih hatalı")</formula>
    </cfRule>
    <cfRule type="expression" priority="19" dxfId="1">
      <formula>S5="Yaklaşıyor"</formula>
    </cfRule>
    <cfRule type="expression" priority="20" dxfId="2">
      <formula>S5="Tarih girilmedi"</formula>
    </cfRule>
  </conditionalFormatting>
  <conditionalFormatting sqref="T5:T44">
    <cfRule type="expression" priority="21" dxfId="3">
      <formula>T5="Takipte"</formula>
    </cfRule>
    <cfRule type="expression" priority="22" dxfId="0">
      <formula>OR(T5="Süresi geçti",T5="Tarih hatalı")</formula>
    </cfRule>
    <cfRule type="expression" priority="23" dxfId="1">
      <formula>T5="Yaklaşıyor"</formula>
    </cfRule>
    <cfRule type="expression" priority="24" dxfId="2">
      <formula>T5="Tarih girilmedi"</formula>
    </cfRule>
  </conditionalFormatting>
  <conditionalFormatting sqref="U5:U44">
    <cfRule type="expression" priority="25" dxfId="3">
      <formula>U5="Takipte"</formula>
    </cfRule>
    <cfRule type="expression" priority="26" dxfId="0">
      <formula>OR(U5="Süresi geçti",U5="Tarih hatalı")</formula>
    </cfRule>
    <cfRule type="expression" priority="27" dxfId="1">
      <formula>U5="Yaklaşıyor"</formula>
    </cfRule>
    <cfRule type="expression" priority="28" dxfId="2">
      <formula>U5="Tarih girilmedi"</formula>
    </cfRule>
  </conditionalFormatting>
  <conditionalFormatting sqref="V5:V44">
    <cfRule type="expression" priority="29" dxfId="3">
      <formula>V5="Takipte"</formula>
    </cfRule>
    <cfRule type="expression" priority="30" dxfId="0">
      <formula>OR(V5="Süresi geçti",V5="Tarih hatalı")</formula>
    </cfRule>
    <cfRule type="expression" priority="31" dxfId="1">
      <formula>V5="Yaklaşıyor"</formula>
    </cfRule>
    <cfRule type="expression" priority="32" dxfId="2">
      <formula>V5="Tarih girilmedi"</formula>
    </cfRule>
  </conditionalFormatting>
  <conditionalFormatting sqref="AF5:AF44">
    <cfRule type="expression" priority="33" dxfId="3">
      <formula>OR(AF5="Tapu",AF5="Kira")</formula>
    </cfRule>
  </conditionalFormatting>
  <conditionalFormatting sqref="AG5:AG44">
    <cfRule type="expression" priority="34" dxfId="3">
      <formula>AG5="Mevcut"</formula>
    </cfRule>
    <cfRule type="expression" priority="35" dxfId="0">
      <formula>OR(AG5="Yok",AG5="Süresi dolmuş")</formula>
    </cfRule>
  </conditionalFormatting>
  <conditionalFormatting sqref="AL5:AL44">
    <cfRule type="expression" priority="36" dxfId="0">
      <formula>AND(ISNUMBER(AL5),AL5&lt;TODAY())</formula>
    </cfRule>
    <cfRule type="expression" priority="37" dxfId="1">
      <formula>AND(ISNUMBER(AL5),AL5&gt;=TODAY(),AL5&lt;=TODAY()+45)</formula>
    </cfRule>
  </conditionalFormatting>
  <conditionalFormatting sqref="AP5:AP44">
    <cfRule type="expression" priority="38" dxfId="3">
      <formula>AP5="Var"</formula>
    </cfRule>
    <cfRule type="expression" priority="39" dxfId="0">
      <formula>AP5="Yok"</formula>
    </cfRule>
  </conditionalFormatting>
  <conditionalFormatting sqref="AQ5:AQ44">
    <cfRule type="expression" priority="40" dxfId="3">
      <formula>AQ5="Güncel"</formula>
    </cfRule>
    <cfRule type="expression" priority="41" dxfId="0">
      <formula>OR(AQ5="Güncel değil",AQ5="Yok")</formula>
    </cfRule>
  </conditionalFormatting>
  <conditionalFormatting sqref="AR5:AR44">
    <cfRule type="expression" priority="42" dxfId="3">
      <formula>AR5="Var"</formula>
    </cfRule>
    <cfRule type="expression" priority="43" dxfId="0">
      <formula>AR5="Yok"</formula>
    </cfRule>
  </conditionalFormatting>
  <conditionalFormatting sqref="AS5:AS44">
    <cfRule type="expression" priority="44" dxfId="3">
      <formula>AS5="Güncel"</formula>
    </cfRule>
    <cfRule type="expression" priority="45" dxfId="0">
      <formula>OR(AS5="Güncel değil",AS5="Yok")</formula>
    </cfRule>
  </conditionalFormatting>
  <conditionalFormatting sqref="AT5:AT44">
    <cfRule type="expression" priority="46" dxfId="3">
      <formula>AT5="Var"</formula>
    </cfRule>
    <cfRule type="expression" priority="47" dxfId="0">
      <formula>AT5="Yok"</formula>
    </cfRule>
  </conditionalFormatting>
  <conditionalFormatting sqref="AU5:AU44">
    <cfRule type="expression" priority="48" dxfId="3">
      <formula>AU5="Var"</formula>
    </cfRule>
    <cfRule type="expression" priority="49" dxfId="0">
      <formula>AU5="Yok"</formula>
    </cfRule>
  </conditionalFormatting>
  <conditionalFormatting sqref="AV5:AV44">
    <cfRule type="expression" priority="50" dxfId="3">
      <formula>AV5="Güncel"</formula>
    </cfRule>
    <cfRule type="expression" priority="51" dxfId="0">
      <formula>OR(AV5="Güncel değil",AV5="Yok")</formula>
    </cfRule>
  </conditionalFormatting>
  <conditionalFormatting sqref="AW5:AW44">
    <cfRule type="expression" priority="52" dxfId="3">
      <formula>AW5="Yok"</formula>
    </cfRule>
    <cfRule type="expression" priority="53" dxfId="1">
      <formula>OR(AW5="Var",AW5="Planlanıyor")</formula>
    </cfRule>
  </conditionalFormatting>
  <conditionalFormatting sqref="AY5:AY44">
    <cfRule type="expression" priority="54" dxfId="3">
      <formula>AY5="Var"</formula>
    </cfRule>
    <cfRule type="expression" priority="55" dxfId="0">
      <formula>AY5="Yok"</formula>
    </cfRule>
    <cfRule type="expression" priority="56" dxfId="1">
      <formula>AY5="Süreçte"</formula>
    </cfRule>
  </conditionalFormatting>
  <conditionalFormatting sqref="AZ5:AZ44">
    <cfRule type="expression" priority="57" dxfId="3">
      <formula>OR(AZ5="ÇED gerekli değildir",AZ5="ÇED olumlu")</formula>
    </cfRule>
    <cfRule type="expression" priority="58" dxfId="0">
      <formula>AZ5="ÇED olumsuz"</formula>
    </cfRule>
    <cfRule type="expression" priority="59" dxfId="1">
      <formula>AZ5="Süreçte"</formula>
    </cfRule>
  </conditionalFormatting>
  <conditionalFormatting sqref="BC5:BC44">
    <cfRule type="expression" priority="60" dxfId="3">
      <formula>BC5="Kapsam dışı"</formula>
    </cfRule>
    <cfRule type="expression" priority="61" dxfId="1">
      <formula>OR(BC5="Ek-1",BC5="Ek-2")</formula>
    </cfRule>
  </conditionalFormatting>
  <conditionalFormatting sqref="BD5:BD44">
    <cfRule type="expression" priority="62" dxfId="3">
      <formula>BD5="Uygun"</formula>
    </cfRule>
    <cfRule type="expression" priority="63" dxfId="0">
      <formula>BD5="Uygun değil"</formula>
    </cfRule>
    <cfRule type="expression" priority="64" dxfId="1">
      <formula>OR(BD5="Kısmen",BD5="Değerlendirilmedi")</formula>
    </cfRule>
  </conditionalFormatting>
  <conditionalFormatting sqref="BE5:BE44">
    <cfRule type="expression" priority="65" dxfId="3">
      <formula>BE5="Yok"</formula>
    </cfRule>
    <cfRule type="expression" priority="66" dxfId="1">
      <formula>OR(BE5="Var",BE5="Planlanıyor")</formula>
    </cfRule>
  </conditionalFormatting>
  <conditionalFormatting sqref="BF5:BF44">
    <cfRule type="expression" priority="67" dxfId="3">
      <formula>BF5="Yok"</formula>
    </cfRule>
    <cfRule type="expression" priority="68" dxfId="1">
      <formula>OR(BF5="Var",BF5="Planlanıyor")</formula>
    </cfRule>
  </conditionalFormatting>
  <conditionalFormatting sqref="BG5:BG44">
    <cfRule type="expression" priority="69" dxfId="3">
      <formula>OR(BG5="Var",BG5="Muaf")</formula>
    </cfRule>
    <cfRule type="expression" priority="70" dxfId="0">
      <formula>BG5="Yok"</formula>
    </cfRule>
    <cfRule type="expression" priority="71" dxfId="1">
      <formula>BG5="Süreçte"</formula>
    </cfRule>
  </conditionalFormatting>
  <conditionalFormatting sqref="BI5:BI44">
    <cfRule type="expression" priority="72" dxfId="3">
      <formula>OR(BI5="Muaf",BI5="Kapsam dışı")</formula>
    </cfRule>
    <cfRule type="expression" priority="73" dxfId="1">
      <formula>OR(BI5="Ek-1",BI5="Ek-2")</formula>
    </cfRule>
  </conditionalFormatting>
  <conditionalFormatting sqref="BJ5:BJ44">
    <cfRule type="expression" priority="74" dxfId="3">
      <formula>OR(BJ5="Var",BJ5="Muaf")</formula>
    </cfRule>
    <cfRule type="expression" priority="75" dxfId="0">
      <formula>BJ5="Yok"</formula>
    </cfRule>
    <cfRule type="expression" priority="76" dxfId="1">
      <formula>BJ5="Başvuru yapıldı"</formula>
    </cfRule>
  </conditionalFormatting>
  <conditionalFormatting sqref="BM5:BM44">
    <cfRule type="expression" priority="77" dxfId="0">
      <formula>AND(ISNUMBER(BM5),BM5&lt;TODAY())</formula>
    </cfRule>
    <cfRule type="expression" priority="78" dxfId="1">
      <formula>AND(ISNUMBER(BM5),BM5&gt;=TODAY(),BM5&lt;=TODAY()+45)</formula>
    </cfRule>
  </conditionalFormatting>
  <conditionalFormatting sqref="BN5:BN44">
    <cfRule type="expression" priority="79" dxfId="3">
      <formula>OR(BN5="Yenilendi",BN5="Takipte",BN5="Gerekmiyor")</formula>
    </cfRule>
    <cfRule type="expression" priority="80" dxfId="0">
      <formula>BN5="Süresi geçti"</formula>
    </cfRule>
    <cfRule type="expression" priority="81" dxfId="1">
      <formula>BN5="Başvuru yapıldı"</formula>
    </cfRule>
  </conditionalFormatting>
  <conditionalFormatting sqref="BP5:BP44">
    <cfRule type="expression" priority="82" dxfId="3">
      <formula>OR(BP5="Var",BP5="Gerekmiyor")</formula>
    </cfRule>
    <cfRule type="expression" priority="83" dxfId="0">
      <formula>BP5="Yok"</formula>
    </cfRule>
  </conditionalFormatting>
  <conditionalFormatting sqref="BR5:BR44">
    <cfRule type="expression" priority="84" dxfId="0">
      <formula>AND(ISNUMBER(BR5),BR5&lt;TODAY())</formula>
    </cfRule>
    <cfRule type="expression" priority="85" dxfId="1">
      <formula>AND(ISNUMBER(BR5),BR5&gt;=TODAY(),BR5&lt;=TODAY()+45)</formula>
    </cfRule>
  </conditionalFormatting>
  <conditionalFormatting sqref="BX5:BX44">
    <cfRule type="expression" priority="86" dxfId="0">
      <formula>AND(ISNUMBER(BX5),BX5&lt;TODAY())</formula>
    </cfRule>
    <cfRule type="expression" priority="87" dxfId="1">
      <formula>AND(ISNUMBER(BX5),BX5&gt;=TODAY(),BX5&lt;=TODAY()+45)</formula>
    </cfRule>
  </conditionalFormatting>
  <conditionalFormatting sqref="BY5:BY44">
    <cfRule type="expression" priority="88" dxfId="3">
      <formula>BY5="Uygun"</formula>
    </cfRule>
    <cfRule type="expression" priority="89" dxfId="0">
      <formula>OR(BY5="Uygun değil",BY5="Yok")</formula>
    </cfRule>
    <cfRule type="expression" priority="90" dxfId="1">
      <formula>BY5="Bekleniyor"</formula>
    </cfRule>
  </conditionalFormatting>
  <conditionalFormatting sqref="BZ5:BZ44">
    <cfRule type="expression" priority="91" dxfId="3">
      <formula>BZ5="Güncel"</formula>
    </cfRule>
    <cfRule type="expression" priority="92" dxfId="0">
      <formula>OR(BZ5="Güncel değil",BZ5="Yok")</formula>
    </cfRule>
  </conditionalFormatting>
  <conditionalFormatting sqref="CA5:CA44">
    <cfRule type="expression" priority="93" dxfId="3">
      <formula>CA5="Yok"</formula>
    </cfRule>
    <cfRule type="expression" priority="94" dxfId="1">
      <formula>OR(CA5="Var",CA5="Planlanıyor")</formula>
    </cfRule>
  </conditionalFormatting>
  <conditionalFormatting sqref="CB5:CB44">
    <cfRule type="expression" priority="95" dxfId="3">
      <formula>CB5="Var"</formula>
    </cfRule>
  </conditionalFormatting>
  <conditionalFormatting sqref="CI5:CI44">
    <cfRule type="expression" priority="96" dxfId="3">
      <formula>CI5="Var"</formula>
    </cfRule>
    <cfRule type="expression" priority="97" dxfId="0">
      <formula>CI5="Yok"</formula>
    </cfRule>
  </conditionalFormatting>
  <conditionalFormatting sqref="CK5:CK44">
    <cfRule type="expression" priority="98" dxfId="0">
      <formula>AND(ISNUMBER(CK5),CK5&lt;TODAY())</formula>
    </cfRule>
    <cfRule type="expression" priority="99" dxfId="1">
      <formula>AND(ISNUMBER(CK5),CK5&gt;=TODAY(),CK5&lt;=TODAY()+45)</formula>
    </cfRule>
  </conditionalFormatting>
  <conditionalFormatting sqref="CL5:CL44">
    <cfRule type="expression" priority="100" dxfId="3">
      <formula>CL5="Var"</formula>
    </cfRule>
    <cfRule type="expression" priority="101" dxfId="0">
      <formula>CL5="Yok"</formula>
    </cfRule>
  </conditionalFormatting>
  <conditionalFormatting sqref="CM5:CM44">
    <cfRule type="expression" priority="102" dxfId="0">
      <formula>AND(ISNUMBER(CM5),CM5&lt;TODAY())</formula>
    </cfRule>
    <cfRule type="expression" priority="103" dxfId="1">
      <formula>AND(ISNUMBER(CM5),CM5&gt;=TODAY(),CM5&lt;=TODAY()+45)</formula>
    </cfRule>
  </conditionalFormatting>
  <conditionalFormatting sqref="CN5:CN44">
    <cfRule type="expression" priority="104" dxfId="3">
      <formula>CN5="Var"</formula>
    </cfRule>
  </conditionalFormatting>
  <conditionalFormatting sqref="CO5:CO44">
    <cfRule type="expression" priority="105" dxfId="3">
      <formula>CO5="Var"</formula>
    </cfRule>
    <cfRule type="expression" priority="106" dxfId="1">
      <formula>CO5="Yok"</formula>
    </cfRule>
  </conditionalFormatting>
  <conditionalFormatting sqref="CQ5:CQ44">
    <cfRule type="expression" priority="107" dxfId="0">
      <formula>AND(ISNUMBER(CQ5),CQ5&lt;TODAY())</formula>
    </cfRule>
    <cfRule type="expression" priority="108" dxfId="1">
      <formula>AND(ISNUMBER(CQ5),CQ5&gt;=TODAY(),CQ5&lt;=TODAY()+45)</formula>
    </cfRule>
  </conditionalFormatting>
  <conditionalFormatting sqref="CR5:CR44">
    <cfRule type="expression" priority="109" dxfId="3">
      <formula>CR5="Uygun"</formula>
    </cfRule>
    <cfRule type="expression" priority="110" dxfId="0">
      <formula>CR5="Uygun değil"</formula>
    </cfRule>
    <cfRule type="expression" priority="111" dxfId="1">
      <formula>CR5="Kısmen"</formula>
    </cfRule>
  </conditionalFormatting>
  <conditionalFormatting sqref="CS5:CS44">
    <cfRule type="expression" priority="112" dxfId="3">
      <formula>CS5="Ayrı"</formula>
    </cfRule>
    <cfRule type="expression" priority="113" dxfId="0">
      <formula>CS5="Ayrı değil"</formula>
    </cfRule>
    <cfRule type="expression" priority="114" dxfId="1">
      <formula>CS5="Kontrol edilmedi"</formula>
    </cfRule>
  </conditionalFormatting>
  <conditionalFormatting sqref="CU5:CU44">
    <cfRule type="expression" priority="115" dxfId="3">
      <formula>CU5="Var"</formula>
    </cfRule>
    <cfRule type="expression" priority="116" dxfId="0">
      <formula>CU5="Yok"</formula>
    </cfRule>
  </conditionalFormatting>
  <conditionalFormatting sqref="CX5:CX44">
    <cfRule type="expression" priority="117" dxfId="3">
      <formula>CX5="Geçerli"</formula>
    </cfRule>
    <cfRule type="expression" priority="118" dxfId="0">
      <formula>OR(CX5="Süresi doldu",CX5="Yok")</formula>
    </cfRule>
    <cfRule type="expression" priority="119" dxfId="1">
      <formula>CX5="Yenileme zamanı"</formula>
    </cfRule>
  </conditionalFormatting>
  <conditionalFormatting sqref="CY5:CY44">
    <cfRule type="expression" priority="120" dxfId="3">
      <formula>CY5="Var"</formula>
    </cfRule>
    <cfRule type="expression" priority="121" dxfId="0">
      <formula>CY5="Yok"</formula>
    </cfRule>
  </conditionalFormatting>
  <conditionalFormatting sqref="CZ5:CZ44">
    <cfRule type="expression" priority="122" dxfId="3">
      <formula>CZ5="Var"</formula>
    </cfRule>
  </conditionalFormatting>
  <conditionalFormatting sqref="DA5:DA44">
    <cfRule type="expression" priority="123" dxfId="3">
      <formula>DA5="Uygun"</formula>
    </cfRule>
    <cfRule type="expression" priority="124" dxfId="0">
      <formula>DA5="Uygun değil"</formula>
    </cfRule>
    <cfRule type="expression" priority="125" dxfId="1">
      <formula>DA5="Kısmen"</formula>
    </cfRule>
  </conditionalFormatting>
  <conditionalFormatting sqref="DB5:DB44">
    <cfRule type="expression" priority="126" dxfId="3">
      <formula>DB5="Uygun"</formula>
    </cfRule>
    <cfRule type="expression" priority="127" dxfId="0">
      <formula>DB5="Uygun değil"</formula>
    </cfRule>
    <cfRule type="expression" priority="128" dxfId="1">
      <formula>DB5="Kısmen"</formula>
    </cfRule>
  </conditionalFormatting>
  <conditionalFormatting sqref="DC5:DC44">
    <cfRule type="expression" priority="129" dxfId="3">
      <formula>DC5="Uygun"</formula>
    </cfRule>
    <cfRule type="expression" priority="130" dxfId="0">
      <formula>DC5="Uygun değil"</formula>
    </cfRule>
    <cfRule type="expression" priority="131" dxfId="1">
      <formula>DC5="Kısmen"</formula>
    </cfRule>
  </conditionalFormatting>
  <conditionalFormatting sqref="DD5:DD44">
    <cfRule type="expression" priority="132" dxfId="3">
      <formula>DD5="Var"</formula>
    </cfRule>
    <cfRule type="expression" priority="133" dxfId="0">
      <formula>DD5="Yok"</formula>
    </cfRule>
  </conditionalFormatting>
  <conditionalFormatting sqref="DE5:DE44">
    <cfRule type="expression" priority="134" dxfId="3">
      <formula>DE5="Uygun"</formula>
    </cfRule>
    <cfRule type="expression" priority="135" dxfId="0">
      <formula>DE5="Uygun değil"</formula>
    </cfRule>
    <cfRule type="expression" priority="136" dxfId="1">
      <formula>DE5="Kısmen"</formula>
    </cfRule>
  </conditionalFormatting>
  <conditionalFormatting sqref="DF5:DF44">
    <cfRule type="expression" priority="137" dxfId="3">
      <formula>DF5="Var"</formula>
    </cfRule>
    <cfRule type="expression" priority="138" dxfId="0">
      <formula>DF5="Yok"</formula>
    </cfRule>
  </conditionalFormatting>
  <conditionalFormatting sqref="DG5:DG44">
    <cfRule type="expression" priority="139" dxfId="3">
      <formula>DG5="Güncel"</formula>
    </cfRule>
    <cfRule type="expression" priority="140" dxfId="0">
      <formula>OR(DG5="Güncel değil",DG5="Yok")</formula>
    </cfRule>
  </conditionalFormatting>
  <conditionalFormatting sqref="DI5:DI44">
    <cfRule type="expression" priority="141" dxfId="3">
      <formula>DI5="Güncel"</formula>
    </cfRule>
    <cfRule type="expression" priority="142" dxfId="0">
      <formula>OR(DI5="Güncel değil",DI5="Yok")</formula>
    </cfRule>
  </conditionalFormatting>
  <conditionalFormatting sqref="DJ5:DJ44">
    <cfRule type="expression" priority="143" dxfId="3">
      <formula>OR(DJ5="Yapıldı",DJ5="Kapsam dışı")</formula>
    </cfRule>
    <cfRule type="expression" priority="144" dxfId="0">
      <formula>DJ5="Yapılmadı"</formula>
    </cfRule>
  </conditionalFormatting>
  <conditionalFormatting sqref="DK5:DK44">
    <cfRule type="expression" priority="145" dxfId="3">
      <formula>OR(DK5="Yapıldı",DK5="Kapsam dışı")</formula>
    </cfRule>
    <cfRule type="expression" priority="146" dxfId="0">
      <formula>DK5="Yapılmadı"</formula>
    </cfRule>
  </conditionalFormatting>
  <conditionalFormatting sqref="DM5:DM44">
    <cfRule type="expression" priority="147" dxfId="3">
      <formula>OR(DM5="Yapıldı",DM5="Kapsam dışı")</formula>
    </cfRule>
    <cfRule type="expression" priority="148" dxfId="0">
      <formula>DM5="Yapılmadı"</formula>
    </cfRule>
  </conditionalFormatting>
  <conditionalFormatting sqref="DQ5:DQ44">
    <cfRule type="expression" priority="149" dxfId="3">
      <formula>DQ5="Var"</formula>
    </cfRule>
    <cfRule type="expression" priority="150" dxfId="1">
      <formula>DQ5="Yok"</formula>
    </cfRule>
  </conditionalFormatting>
  <conditionalFormatting sqref="DR5:DR44">
    <cfRule type="expression" priority="151" dxfId="3">
      <formula>OR(DR5="Yapıldı",DR5="Kapsam dışı")</formula>
    </cfRule>
    <cfRule type="expression" priority="152" dxfId="0">
      <formula>DR5="Yapılmadı"</formula>
    </cfRule>
  </conditionalFormatting>
  <conditionalFormatting sqref="DT5:DT44">
    <cfRule type="expression" priority="153" dxfId="3">
      <formula>DT5="Uygun"</formula>
    </cfRule>
    <cfRule type="expression" priority="154" dxfId="0">
      <formula>DT5="Uygun değil"</formula>
    </cfRule>
    <cfRule type="expression" priority="155" dxfId="1">
      <formula>DT5="Kısmen"</formula>
    </cfRule>
  </conditionalFormatting>
  <conditionalFormatting sqref="DU5:DU44">
    <cfRule type="expression" priority="156" dxfId="3">
      <formula>DU5="Var"</formula>
    </cfRule>
    <cfRule type="expression" priority="157" dxfId="0">
      <formula>DU5="Yok"</formula>
    </cfRule>
  </conditionalFormatting>
  <conditionalFormatting sqref="DV5:DV44">
    <cfRule type="expression" priority="158" dxfId="3">
      <formula>DV5="Gerekli değil"</formula>
    </cfRule>
    <cfRule type="expression" priority="159" dxfId="1">
      <formula>OR(DV5="Gerekli",DV5="Değerlendirilmedi")</formula>
    </cfRule>
  </conditionalFormatting>
  <conditionalFormatting sqref="DW5:DW44">
    <cfRule type="expression" priority="160" dxfId="3">
      <formula>DW5="Mevcut"</formula>
    </cfRule>
    <cfRule type="expression" priority="161" dxfId="0">
      <formula>OR(DW5="Yok",DW5="Süresi dolmuş")</formula>
    </cfRule>
  </conditionalFormatting>
  <conditionalFormatting sqref="DX5:DX44">
    <cfRule type="expression" priority="162" dxfId="3">
      <formula>DX5="Yok"</formula>
    </cfRule>
    <cfRule type="expression" priority="163" dxfId="1">
      <formula>OR(DX5="Var",DX5="Değerlendirilmedi")</formula>
    </cfRule>
  </conditionalFormatting>
  <conditionalFormatting sqref="EA5:EA44">
    <cfRule type="expression" priority="164" dxfId="3">
      <formula>EA5="Kapsam dışı"</formula>
    </cfRule>
    <cfRule type="expression" priority="165" dxfId="1">
      <formula>OR(EA5="Kapsam içi",EA5="Değerlendirilmedi")</formula>
    </cfRule>
  </conditionalFormatting>
  <conditionalFormatting sqref="EB5:EB44">
    <cfRule type="expression" priority="166" dxfId="3">
      <formula>EB5="Kapsam dışı"</formula>
    </cfRule>
    <cfRule type="expression" priority="167" dxfId="1">
      <formula>OR(EB5="Alt seviye",EB5="Üst seviye")</formula>
    </cfRule>
  </conditionalFormatting>
  <conditionalFormatting sqref="EC5:EC44">
    <cfRule type="expression" priority="168" dxfId="3">
      <formula>OR(EC5="Yapıldı",EC5="Kapsam dışı")</formula>
    </cfRule>
    <cfRule type="expression" priority="169" dxfId="0">
      <formula>EC5="Yapılmadı"</formula>
    </cfRule>
  </conditionalFormatting>
  <conditionalFormatting sqref="EE5:EE44">
    <cfRule type="expression" priority="170" dxfId="3">
      <formula>EE5="Güncel"</formula>
    </cfRule>
    <cfRule type="expression" priority="171" dxfId="0">
      <formula>OR(EE5="Güncel değil",EE5="Bildirim yok")</formula>
    </cfRule>
  </conditionalFormatting>
  <conditionalFormatting sqref="EI5:EI44">
    <cfRule type="expression" priority="172" dxfId="0">
      <formula>AND(ISNUMBER(EI5),EI5&lt;TODAY())</formula>
    </cfRule>
    <cfRule type="expression" priority="173" dxfId="1">
      <formula>AND(ISNUMBER(EI5),EI5&gt;=TODAY(),EI5&lt;=TODAY()+45)</formula>
    </cfRule>
  </conditionalFormatting>
  <conditionalFormatting sqref="EJ5:EJ44">
    <cfRule type="expression" priority="174" dxfId="3">
      <formula>EJ5="Tamam"</formula>
    </cfRule>
    <cfRule type="expression" priority="175" dxfId="0">
      <formula>OR(EJ5="Yok",EJ5="Eksik")</formula>
    </cfRule>
  </conditionalFormatting>
  <conditionalFormatting sqref="EL5:EL44">
    <cfRule type="expression" priority="176" dxfId="0">
      <formula>AND(ISNUMBER(EL5),EL5&lt;TODAY())</formula>
    </cfRule>
    <cfRule type="expression" priority="177" dxfId="1">
      <formula>AND(ISNUMBER(EL5),EL5&gt;=TODAY(),EL5&lt;=TODAY()+45)</formula>
    </cfRule>
  </conditionalFormatting>
  <conditionalFormatting sqref="EM5:EM44">
    <cfRule type="expression" priority="178" dxfId="3">
      <formula>EM5="Kapatıldı"</formula>
    </cfRule>
    <cfRule type="expression" priority="179" dxfId="0">
      <formula>EM5="Açık"</formula>
    </cfRule>
    <cfRule type="expression" priority="180" dxfId="1">
      <formula>EM5="Kısmen"</formula>
    </cfRule>
  </conditionalFormatting>
  <conditionalFormatting sqref="EO5:EO44">
    <cfRule type="expression" priority="181" dxfId="0">
      <formula>AND(ISNUMBER(EO5),EO5&lt;TODAY())</formula>
    </cfRule>
    <cfRule type="expression" priority="182" dxfId="1">
      <formula>AND(ISNUMBER(EO5),EO5&gt;=TODAY(),EO5&lt;=TODAY()+45)</formula>
    </cfRule>
  </conditionalFormatting>
  <conditionalFormatting sqref="EP5:EP44">
    <cfRule type="expression" priority="183" dxfId="3">
      <formula>EP5="Tamam"</formula>
    </cfRule>
    <cfRule type="expression" priority="184" dxfId="0">
      <formula>OR(EP5="Yok",EP5="Eksik")</formula>
    </cfRule>
  </conditionalFormatting>
  <conditionalFormatting sqref="ES5:ES44">
    <cfRule type="expression" priority="185" dxfId="0">
      <formula>AND(ISNUMBER(ES5),ES5&lt;TODAY())</formula>
    </cfRule>
    <cfRule type="expression" priority="186" dxfId="1">
      <formula>AND(ISNUMBER(ES5),ES5&gt;=TODAY(),ES5&lt;=TODAY()+45)</formula>
    </cfRule>
  </conditionalFormatting>
  <conditionalFormatting sqref="EX5:EX44">
    <cfRule type="expression" priority="187" dxfId="3">
      <formula>EX5="Yok"</formula>
    </cfRule>
    <cfRule type="expression" priority="188" dxfId="0">
      <formula>EX5="Var"</formula>
    </cfRule>
  </conditionalFormatting>
  <conditionalFormatting sqref="EY5:EY44">
    <cfRule type="expression" priority="189" dxfId="3">
      <formula>EY5="Yok"</formula>
    </cfRule>
    <cfRule type="expression" priority="190" dxfId="0">
      <formula>EY5="Var"</formula>
    </cfRule>
  </conditionalFormatting>
  <conditionalFormatting sqref="FA5:FA44">
    <cfRule type="expression" priority="191" dxfId="0">
      <formula>AND(ISNUMBER(FA5),FA5&lt;TODAY())</formula>
    </cfRule>
    <cfRule type="expression" priority="192" dxfId="1">
      <formula>AND(ISNUMBER(FA5),FA5&gt;=TODAY(),FA5&lt;=TODAY()+45)</formula>
    </cfRule>
  </conditionalFormatting>
  <conditionalFormatting sqref="FB5:FB44">
    <cfRule type="expression" priority="193" dxfId="0">
      <formula>AND(ISNUMBER(FB5),FB5&lt;TODAY())</formula>
    </cfRule>
    <cfRule type="expression" priority="194" dxfId="1">
      <formula>AND(ISNUMBER(FB5),FB5&gt;=TODAY(),FB5&lt;=TODAY()+45)</formula>
    </cfRule>
  </conditionalFormatting>
  <conditionalFormatting sqref="FD5:FD44">
    <cfRule type="expression" priority="195" dxfId="0">
      <formula>AND(ISNUMBER(FD5),FD5&lt;TODAY())</formula>
    </cfRule>
    <cfRule type="expression" priority="196" dxfId="1">
      <formula>AND(ISNUMBER(FD5),FD5&gt;=TODAY(),FD5&lt;=TODAY()+45)</formula>
    </cfRule>
  </conditionalFormatting>
  <conditionalFormatting sqref="FE5:FE44">
    <cfRule type="expression" priority="197" dxfId="2">
      <formula>FE5="Tarih girilmedi"</formula>
    </cfRule>
  </conditionalFormatting>
  <conditionalFormatting sqref="FF5:FF44">
    <cfRule type="expression" priority="198" dxfId="0">
      <formula>AND(ISNUMBER(FF5),FF5&lt;TODAY())</formula>
    </cfRule>
    <cfRule type="expression" priority="199" dxfId="1">
      <formula>AND(ISNUMBER(FF5),FF5&gt;=TODAY(),FF5&lt;=TODAY()+45)</formula>
    </cfRule>
  </conditionalFormatting>
  <conditionalFormatting sqref="FG5:FG44">
    <cfRule type="expression" priority="200" dxfId="2">
      <formula>FG5="Tarih girilmedi"</formula>
    </cfRule>
  </conditionalFormatting>
  <conditionalFormatting sqref="FH5:FH44">
    <cfRule type="expression" priority="201" dxfId="0">
      <formula>AND(ISNUMBER(FH5),FH5&lt;TODAY())</formula>
    </cfRule>
    <cfRule type="expression" priority="202" dxfId="1">
      <formula>AND(ISNUMBER(FH5),FH5&gt;=TODAY(),FH5&lt;=TODAY()+45)</formula>
    </cfRule>
  </conditionalFormatting>
  <conditionalFormatting sqref="FI5:FI44">
    <cfRule type="expression" priority="203" dxfId="2">
      <formula>FI5="Tarih girilmedi"</formula>
    </cfRule>
  </conditionalFormatting>
  <conditionalFormatting sqref="FJ5:FJ44">
    <cfRule type="expression" priority="204" dxfId="0">
      <formula>AND(ISNUMBER(FJ5),FJ5&lt;TODAY())</formula>
    </cfRule>
    <cfRule type="expression" priority="205" dxfId="1">
      <formula>AND(ISNUMBER(FJ5),FJ5&gt;=TODAY(),FJ5&lt;=TODAY()+45)</formula>
    </cfRule>
  </conditionalFormatting>
  <conditionalFormatting sqref="FK5:FK44">
    <cfRule type="expression" priority="206" dxfId="2">
      <formula>FK5="Tarih girilmedi"</formula>
    </cfRule>
  </conditionalFormatting>
  <conditionalFormatting sqref="FL5:FL44">
    <cfRule type="expression" priority="207" dxfId="0">
      <formula>AND(ISNUMBER(FL5),FL5&lt;TODAY())</formula>
    </cfRule>
    <cfRule type="expression" priority="208" dxfId="1">
      <formula>AND(ISNUMBER(FL5),FL5&gt;=TODAY(),FL5&lt;=TODAY()+45)</formula>
    </cfRule>
  </conditionalFormatting>
  <conditionalFormatting sqref="FM5:FM44">
    <cfRule type="expression" priority="209" dxfId="2">
      <formula>FM5="Tarih girilmedi"</formula>
    </cfRule>
  </conditionalFormatting>
  <conditionalFormatting sqref="FN5:FN44">
    <cfRule type="expression" priority="210" dxfId="0">
      <formula>AND(ISNUMBER(FN5),FN5&lt;TODAY())</formula>
    </cfRule>
    <cfRule type="expression" priority="211" dxfId="1">
      <formula>AND(ISNUMBER(FN5),FN5&gt;=TODAY(),FN5&lt;=TODAY()+45)</formula>
    </cfRule>
  </conditionalFormatting>
  <conditionalFormatting sqref="C5:C44">
    <cfRule type="cellIs" priority="212" operator="greaterThan" dxfId="0">
      <formula>0</formula>
    </cfRule>
    <cfRule type="cellIs" priority="213" operator="equal" dxfId="3">
      <formula>0</formula>
    </cfRule>
  </conditionalFormatting>
  <conditionalFormatting sqref="B5:B44">
    <cfRule type="expression" priority="214" dxfId="4">
      <formula>$C5&gt;0</formula>
    </cfRule>
  </conditionalFormatting>
  <conditionalFormatting sqref="F5:F44">
    <cfRule type="expression" priority="215" dxfId="0">
      <formula>AND(ISNUMBER(F5),F5&lt;0)</formula>
    </cfRule>
    <cfRule type="expression" priority="216" dxfId="1">
      <formula>AND(ISNUMBER(F5),F5&gt;=0,F5&lt;=30)</formula>
    </cfRule>
    <cfRule type="expression" priority="217" dxfId="5">
      <formula>AND(ISNUMBER(F5),F5&gt;30,F5&lt;=90)</formula>
    </cfRule>
  </conditionalFormatting>
  <conditionalFormatting sqref="E5:E44">
    <cfRule type="expression" priority="218" dxfId="0">
      <formula>AND(ISNUMBER(E5),E5&lt;TODAY())</formula>
    </cfRule>
    <cfRule type="expression" priority="219" dxfId="1">
      <formula>AND(ISNUMBER(E5),E5&gt;=TODAY(),E5&lt;=TODAY()+30)</formula>
    </cfRule>
    <cfRule type="expression" priority="220" dxfId="5">
      <formula>AND(ISNUMBER(E5),E5&gt;TODAY()+30,E5&lt;=TODAY()+90)</formula>
    </cfRule>
  </conditionalFormatting>
  <dataValidations count="34">
    <dataValidation sqref="G5:G44" showDropDown="0" showInputMessage="0" showErrorMessage="0" allowBlank="1" type="list">
      <formula1>=Oncelik</formula1>
    </dataValidation>
    <dataValidation sqref="H5:H44" showDropDown="0" showInputMessage="0" showErrorMessage="0" allowBlank="1" type="list">
      <formula1>=Dosya</formula1>
    </dataValidation>
    <dataValidation sqref="I5:I44" showDropDown="0" showInputMessage="0" showErrorMessage="0" allowBlank="1" type="list">
      <formula1>=Iller</formula1>
    </dataValidation>
    <dataValidation sqref="AF5:AF44" showDropDown="0" showInputMessage="0" showErrorMessage="0" allowBlank="1" type="list">
      <formula1>=Mulkiyet</formula1>
    </dataValidation>
    <dataValidation sqref="AG5:AG44 DW5:DW44" showDropDown="0" showInputMessage="0" showErrorMessage="0" allowBlank="1" type="list">
      <formula1>=Mevcut</formula1>
    </dataValidation>
    <dataValidation sqref="AM5:AM44" showDropDown="0" showInputMessage="0" showErrorMessage="0" allowBlank="1" type="list">
      <formula1>=Siklik</formula1>
    </dataValidation>
    <dataValidation sqref="AP5:AP44 AR5:AR44 AT5:AT44 AU5:AU44 BU5:BU44 CB5:CB44 CF5:CF44 CI5:CI44 CL5:CL44 CN5:CN44 CO5:CO44 CU5:CU44 CY5:CY44 CZ5:CZ44 DD5:DD44 DF5:DF44 DQ5:DQ44 DU5:DU44 EX5:EX44 EY5:EY44" showDropDown="0" showInputMessage="0" showErrorMessage="0" allowBlank="1" type="list">
      <formula1>=VarYok</formula1>
    </dataValidation>
    <dataValidation sqref="AQ5:AQ44 AS5:AS44 AV5:AV44 BZ5:BZ44 DG5:DG44 DI5:DI44" showDropDown="0" showInputMessage="0" showErrorMessage="0" allowBlank="1" type="list">
      <formula1>=Guncel</formula1>
    </dataValidation>
    <dataValidation sqref="AW5:AW44 BE5:BE44 BF5:BF44 CA5:CA44" showDropDown="0" showInputMessage="0" showErrorMessage="0" allowBlank="1" type="list">
      <formula1>=Degisim</formula1>
    </dataValidation>
    <dataValidation sqref="AY5:AY44" showDropDown="0" showInputMessage="0" showErrorMessage="0" allowBlank="1" type="list">
      <formula1>=CedVar</formula1>
    </dataValidation>
    <dataValidation sqref="AZ5:AZ44" showDropDown="0" showInputMessage="0" showErrorMessage="0" allowBlank="1" type="list">
      <formula1>=CedTur</formula1>
    </dataValidation>
    <dataValidation sqref="BC5:BC44" showDropDown="0" showInputMessage="0" showErrorMessage="0" allowBlank="1" type="list">
      <formula1>=CedEk</formula1>
    </dataValidation>
    <dataValidation sqref="BD5:BD44" showDropDown="0" showInputMessage="0" showErrorMessage="0" allowBlank="1" type="list">
      <formula1>=Taahhut</formula1>
    </dataValidation>
    <dataValidation sqref="BG5:BG44" showDropDown="0" showInputMessage="0" showErrorMessage="0" allowBlank="1" type="list">
      <formula1>=IzinGorus</formula1>
    </dataValidation>
    <dataValidation sqref="BI5:BI44" showDropDown="0" showInputMessage="0" showErrorMessage="0" allowBlank="1" type="list">
      <formula1>=IzinEk</formula1>
    </dataValidation>
    <dataValidation sqref="BJ5:BJ44" showDropDown="0" showInputMessage="0" showErrorMessage="0" allowBlank="1" type="list">
      <formula1>=IzinVar</formula1>
    </dataValidation>
    <dataValidation sqref="BN5:BN44" showDropDown="0" showInputMessage="0" showErrorMessage="0" allowBlank="1" type="list">
      <formula1>=Yenileme</formula1>
    </dataValidation>
    <dataValidation sqref="BP5:BP44" showDropDown="0" showInputMessage="0" showErrorMessage="0" allowBlank="1" type="list">
      <formula1>=Gfb</formula1>
    </dataValidation>
    <dataValidation sqref="BV5:BV44" showDropDown="0" showInputMessage="0" showErrorMessage="0" allowBlank="1" type="whole" operator="greaterThanOrEqual">
      <formula1>0</formula1>
    </dataValidation>
    <dataValidation sqref="BY5:BY44" showDropDown="0" showInputMessage="0" showErrorMessage="0" allowBlank="1" type="list">
      <formula1>=Rapor</formula1>
    </dataValidation>
    <dataValidation sqref="CH5:CH44" showDropDown="0" showInputMessage="0" showErrorMessage="0" allowBlank="1" type="whole" operator="greaterThanOrEqual">
      <formula1>0</formula1>
    </dataValidation>
    <dataValidation sqref="CR5:CR44 DA5:DA44 DB5:DB44 DC5:DC44 DE5:DE44 DT5:DT44" showDropDown="0" showInputMessage="0" showErrorMessage="0" allowBlank="1" type="list">
      <formula1>=Uygun</formula1>
    </dataValidation>
    <dataValidation sqref="CS5:CS44" showDropDown="0" showInputMessage="0" showErrorMessage="0" allowBlank="1" type="list">
      <formula1>=HatAyri</formula1>
    </dataValidation>
    <dataValidation sqref="CX5:CX44" showDropDown="0" showInputMessage="0" showErrorMessage="0" allowBlank="1" type="list">
      <formula1>=SifirKontrol</formula1>
    </dataValidation>
    <dataValidation sqref="DJ5:DJ44 DK5:DK44 DM5:DM44 DR5:DR44 EC5:EC44" showDropDown="0" showInputMessage="0" showErrorMessage="0" allowBlank="1" type="list">
      <formula1>=Beyan</formula1>
    </dataValidation>
    <dataValidation sqref="DN5:DN44" showDropDown="0" showInputMessage="0" showErrorMessage="0" allowBlank="1" type="whole" operator="between">
      <formula1>2015</formula1>
      <formula2>2040</formula2>
    </dataValidation>
    <dataValidation sqref="DV5:DV44" showDropDown="0" showInputMessage="0" showErrorMessage="0" allowBlank="1" type="list">
      <formula1>=Gerekli</formula1>
    </dataValidation>
    <dataValidation sqref="DX5:DX44" showDropDown="0" showInputMessage="0" showErrorMessage="0" allowBlank="1" type="list">
      <formula1>=Gekap</formula1>
    </dataValidation>
    <dataValidation sqref="EA5:EA44" showDropDown="0" showInputMessage="0" showErrorMessage="0" allowBlank="1" type="list">
      <formula1>=BekraKapsam</formula1>
    </dataValidation>
    <dataValidation sqref="EB5:EB44" showDropDown="0" showInputMessage="0" showErrorMessage="0" allowBlank="1" type="list">
      <formula1>=BekraSeviye</formula1>
    </dataValidation>
    <dataValidation sqref="EE5:EE44" showDropDown="0" showInputMessage="0" showErrorMessage="0" allowBlank="1" type="list">
      <formula1>=BekraGuncel</formula1>
    </dataValidation>
    <dataValidation sqref="EJ5:EJ44 EP5:EP44" showDropDown="0" showInputMessage="0" showErrorMessage="0" allowBlank="1" type="list">
      <formula1>=Tutanak</formula1>
    </dataValidation>
    <dataValidation sqref="EM5:EM44" showDropDown="0" showInputMessage="0" showErrorMessage="0" allowBlank="1" type="list">
      <formula1>=Kapanis</formula1>
    </dataValidation>
    <dataValidation sqref="ER5:ER44" showDropDown="0" showInputMessage="0" showErrorMessage="0" allowBlank="1" type="whole" operator="greaterThanOrEqual">
      <formula1>0</formula1>
    </dataValidation>
  </dataValidations>
  <pageMargins left="0.4" right="0.4" top="0.45" bottom="0.45" header="0.2" footer="0.25"/>
  <pageSetup orientation="landscape" paperSize="8" fitToHeight="0" fitToWidth="1"/>
  <headerFooter>
    <oddHeader/>
    <oddFooter>&amp;LÇevre danışmanlığı firma paneli&amp;RSayfa &amp;P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1:G764"/>
  <sheetViews>
    <sheetView showGridLines="0" zoomScale="12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26" customWidth="1" min="3" max="3"/>
    <col width="14" customWidth="1" min="4" max="4"/>
    <col width="12" customWidth="1" min="5" max="5"/>
    <col width="16" customWidth="1" min="6" max="6"/>
    <col width="16" customWidth="1" min="7" max="7"/>
  </cols>
  <sheetData>
    <row r="1" ht="30" customHeight="1">
      <c r="A1" s="52" t="inlineStr">
        <is>
          <t>YAKLAŞAN VE GECİKEN İŞLER</t>
        </is>
      </c>
      <c r="B1" s="53" t="n"/>
      <c r="C1" s="53" t="n"/>
      <c r="D1" s="53" t="n"/>
      <c r="E1" s="53" t="n"/>
      <c r="F1" s="53" t="n"/>
      <c r="G1" s="53" t="n"/>
    </row>
    <row r="2" ht="24" customHeight="1">
      <c r="A2" s="54" t="inlineStr">
        <is>
          <t>Süresi geçen</t>
        </is>
      </c>
      <c r="B2" s="55">
        <f>COUNTIF(F5:F764,"Süresi geçti")</f>
        <v/>
      </c>
      <c r="C2" s="56" t="inlineStr">
        <is>
          <t>30 gün içinde</t>
        </is>
      </c>
      <c r="D2" s="57">
        <f>COUNTIF(F5:F764,"30 gün içinde")</f>
        <v/>
      </c>
      <c r="E2" s="58" t="inlineStr">
        <is>
          <t>90 gün içinde</t>
        </is>
      </c>
      <c r="F2" s="59">
        <f>COUNTIF(F5:F764,"90 gün içinde")</f>
        <v/>
      </c>
      <c r="G2" s="60" t="inlineStr">
        <is>
          <t>Durum sütunundan süzün. Boş satırlar tarihi girilmemiş işlerdir.</t>
        </is>
      </c>
    </row>
    <row r="3" ht="8" customHeight="1"/>
    <row r="4" ht="22" customHeight="1">
      <c r="A4" s="13" t="inlineStr">
        <is>
          <t>Firma</t>
        </is>
      </c>
      <c r="B4" s="13" t="inlineStr">
        <is>
          <t>İl</t>
        </is>
      </c>
      <c r="C4" s="13" t="inlineStr">
        <is>
          <t>İş</t>
        </is>
      </c>
      <c r="D4" s="13" t="inlineStr">
        <is>
          <t>Tarih</t>
        </is>
      </c>
      <c r="E4" s="13" t="inlineStr">
        <is>
          <t>Kalan gün</t>
        </is>
      </c>
      <c r="F4" s="13" t="inlineStr">
        <is>
          <t>Durum</t>
        </is>
      </c>
      <c r="G4" s="13" t="inlineStr">
        <is>
          <t>Dosya durumu</t>
        </is>
      </c>
    </row>
    <row r="5" ht="18" customHeight="1">
      <c r="A5" s="61">
        <f>IF(Firmalar!$B$5="","",Firmalar!$B$5)</f>
        <v/>
      </c>
      <c r="B5" s="61">
        <f>IF(Firmalar!$B$5="","",Firmalar!$I$5)</f>
        <v/>
      </c>
      <c r="C5" s="61" t="inlineStr">
        <is>
          <t>Çevre izni bitiş</t>
        </is>
      </c>
      <c r="D5" s="62">
        <f>IF(Firmalar!$B$5="","",Firmalar!$FO$5)</f>
        <v/>
      </c>
      <c r="E5" s="63">
        <f>IF(OR(A5="",D5=""),"",D5-TODAY())</f>
        <v/>
      </c>
      <c r="F5" s="64">
        <f>IF(OR(A5="",D5=""),"",IF(D5&lt;TODAY(),"Süresi geçti",IF(D5&lt;=TODAY()+30,"30 gün içinde",IF(D5&lt;=TODAY()+90,"90 gün içinde","İleride"))))</f>
        <v/>
      </c>
      <c r="G5" s="64">
        <f>IF(A5="","",Firmalar!$H$5)</f>
        <v/>
      </c>
    </row>
    <row r="6" ht="18" customHeight="1">
      <c r="A6" s="61">
        <f>IF(Firmalar!$B$5="","",Firmalar!$B$5)</f>
        <v/>
      </c>
      <c r="B6" s="61">
        <f>IF(Firmalar!$B$5="","",Firmalar!$I$5)</f>
        <v/>
      </c>
      <c r="C6" s="61" t="inlineStr">
        <is>
          <t>Çevre izni başvurusu</t>
        </is>
      </c>
      <c r="D6" s="62">
        <f>IF(Firmalar!$B$5="","",Firmalar!$FP$5)</f>
        <v/>
      </c>
      <c r="E6" s="63">
        <f>IF(OR(A6="",D6=""),"",D6-TODAY())</f>
        <v/>
      </c>
      <c r="F6" s="64">
        <f>IF(OR(A6="",D6=""),"",IF(D6&lt;TODAY(),"Süresi geçti",IF(D6&lt;=TODAY()+30,"30 gün içinde",IF(D6&lt;=TODAY()+90,"90 gün içinde","İleride"))))</f>
        <v/>
      </c>
      <c r="G6" s="64">
        <f>IF(A6="","",Firmalar!$H$5)</f>
        <v/>
      </c>
    </row>
    <row r="7" ht="18" customHeight="1">
      <c r="A7" s="61">
        <f>IF(Firmalar!$B$5="","",Firmalar!$B$5)</f>
        <v/>
      </c>
      <c r="B7" s="61">
        <f>IF(Firmalar!$B$5="","",Firmalar!$I$5)</f>
        <v/>
      </c>
      <c r="C7" s="61" t="inlineStr">
        <is>
          <t>GFB bitiş</t>
        </is>
      </c>
      <c r="D7" s="62">
        <f>IF(Firmalar!$B$5="","",Firmalar!$FQ$5)</f>
        <v/>
      </c>
      <c r="E7" s="63">
        <f>IF(OR(A7="",D7=""),"",D7-TODAY())</f>
        <v/>
      </c>
      <c r="F7" s="64">
        <f>IF(OR(A7="",D7=""),"",IF(D7&lt;TODAY(),"Süresi geçti",IF(D7&lt;=TODAY()+30,"30 gün içinde",IF(D7&lt;=TODAY()+90,"90 gün içinde","İleride"))))</f>
        <v/>
      </c>
      <c r="G7" s="64">
        <f>IF(A7="","",Firmalar!$H$5)</f>
        <v/>
      </c>
    </row>
    <row r="8" ht="18" customHeight="1">
      <c r="A8" s="61">
        <f>IF(Firmalar!$B$5="","",Firmalar!$B$5)</f>
        <v/>
      </c>
      <c r="B8" s="61">
        <f>IF(Firmalar!$B$5="","",Firmalar!$I$5)</f>
        <v/>
      </c>
      <c r="C8" s="61" t="inlineStr">
        <is>
          <t>Sözleşme bitiş</t>
        </is>
      </c>
      <c r="D8" s="62">
        <f>IF(Firmalar!$B$5="","",Firmalar!$FR$5)</f>
        <v/>
      </c>
      <c r="E8" s="63">
        <f>IF(OR(A8="",D8=""),"",D8-TODAY())</f>
        <v/>
      </c>
      <c r="F8" s="64">
        <f>IF(OR(A8="",D8=""),"",IF(D8&lt;TODAY(),"Süresi geçti",IF(D8&lt;=TODAY()+30,"30 gün içinde",IF(D8&lt;=TODAY()+90,"90 gün içinde","İleride"))))</f>
        <v/>
      </c>
      <c r="G8" s="64">
        <f>IF(A8="","",Firmalar!$H$5)</f>
        <v/>
      </c>
    </row>
    <row r="9" ht="18" customHeight="1">
      <c r="A9" s="61">
        <f>IF(Firmalar!$B$5="","",Firmalar!$B$5)</f>
        <v/>
      </c>
      <c r="B9" s="61">
        <f>IF(Firmalar!$B$5="","",Firmalar!$I$5)</f>
        <v/>
      </c>
      <c r="C9" s="61" t="inlineStr">
        <is>
          <t>Sıfır Atık bitiş</t>
        </is>
      </c>
      <c r="D9" s="62">
        <f>IF(Firmalar!$B$5="","",Firmalar!$FS$5)</f>
        <v/>
      </c>
      <c r="E9" s="63">
        <f>IF(OR(A9="",D9=""),"",D9-TODAY())</f>
        <v/>
      </c>
      <c r="F9" s="64">
        <f>IF(OR(A9="",D9=""),"",IF(D9&lt;TODAY(),"Süresi geçti",IF(D9&lt;=TODAY()+30,"30 gün içinde",IF(D9&lt;=TODAY()+90,"90 gün içinde","İleride"))))</f>
        <v/>
      </c>
      <c r="G9" s="64">
        <f>IF(A9="","",Firmalar!$H$5)</f>
        <v/>
      </c>
    </row>
    <row r="10" ht="18" customHeight="1">
      <c r="A10" s="61">
        <f>IF(Firmalar!$B$5="","",Firmalar!$B$5)</f>
        <v/>
      </c>
      <c r="B10" s="61">
        <f>IF(Firmalar!$B$5="","",Firmalar!$I$5)</f>
        <v/>
      </c>
      <c r="C10" s="61" t="inlineStr">
        <is>
          <t>Atık planı bitiş</t>
        </is>
      </c>
      <c r="D10" s="62">
        <f>IF(Firmalar!$B$5="","",Firmalar!$FT$5)</f>
        <v/>
      </c>
      <c r="E10" s="63">
        <f>IF(OR(A10="",D10=""),"",D10-TODAY())</f>
        <v/>
      </c>
      <c r="F10" s="64">
        <f>IF(OR(A10="",D10=""),"",IF(D10&lt;TODAY(),"Süresi geçti",IF(D10&lt;=TODAY()+30,"30 gün içinde",IF(D10&lt;=TODAY()+90,"90 gün içinde","İleride"))))</f>
        <v/>
      </c>
      <c r="G10" s="64">
        <f>IF(A10="","",Firmalar!$H$5)</f>
        <v/>
      </c>
    </row>
    <row r="11" ht="18" customHeight="1">
      <c r="A11" s="61">
        <f>IF(Firmalar!$B$5="","",Firmalar!$B$5)</f>
        <v/>
      </c>
      <c r="B11" s="61">
        <f>IF(Firmalar!$B$5="","",Firmalar!$I$5)</f>
        <v/>
      </c>
      <c r="C11" s="61" t="inlineStr">
        <is>
          <t>Emisyon teyidi</t>
        </is>
      </c>
      <c r="D11" s="62">
        <f>IF(Firmalar!$B$5="","",Firmalar!$FU$5)</f>
        <v/>
      </c>
      <c r="E11" s="63">
        <f>IF(OR(A11="",D11=""),"",D11-TODAY())</f>
        <v/>
      </c>
      <c r="F11" s="64">
        <f>IF(OR(A11="",D11=""),"",IF(D11&lt;TODAY(),"Süresi geçti",IF(D11&lt;=TODAY()+30,"30 gün içinde",IF(D11&lt;=TODAY()+90,"90 gün içinde","İleride"))))</f>
        <v/>
      </c>
      <c r="G11" s="64">
        <f>IF(A11="","",Firmalar!$H$5)</f>
        <v/>
      </c>
    </row>
    <row r="12" ht="18" customHeight="1">
      <c r="A12" s="61">
        <f>IF(Firmalar!$B$5="","",Firmalar!$B$5)</f>
        <v/>
      </c>
      <c r="B12" s="61">
        <f>IF(Firmalar!$B$5="","",Firmalar!$I$5)</f>
        <v/>
      </c>
      <c r="C12" s="61" t="inlineStr">
        <is>
          <t>Emisyon ölçümü</t>
        </is>
      </c>
      <c r="D12" s="62">
        <f>IF(Firmalar!$B$5="","",Firmalar!$FV$5)</f>
        <v/>
      </c>
      <c r="E12" s="63">
        <f>IF(OR(A12="",D12=""),"",D12-TODAY())</f>
        <v/>
      </c>
      <c r="F12" s="64">
        <f>IF(OR(A12="",D12=""),"",IF(D12&lt;TODAY(),"Süresi geçti",IF(D12&lt;=TODAY()+30,"30 gün içinde",IF(D12&lt;=TODAY()+90,"90 gün içinde","İleride"))))</f>
        <v/>
      </c>
      <c r="G12" s="64">
        <f>IF(A12="","",Firmalar!$H$5)</f>
        <v/>
      </c>
    </row>
    <row r="13" ht="18" customHeight="1">
      <c r="A13" s="61">
        <f>IF(Firmalar!$B$5="","",Firmalar!$B$5)</f>
        <v/>
      </c>
      <c r="B13" s="61">
        <f>IF(Firmalar!$B$5="","",Firmalar!$I$5)</f>
        <v/>
      </c>
      <c r="C13" s="61" t="inlineStr">
        <is>
          <t>İç tetkik</t>
        </is>
      </c>
      <c r="D13" s="62">
        <f>IF(Firmalar!$B$5="","",Firmalar!$FW$5)</f>
        <v/>
      </c>
      <c r="E13" s="63">
        <f>IF(OR(A13="",D13=""),"",D13-TODAY())</f>
        <v/>
      </c>
      <c r="F13" s="64">
        <f>IF(OR(A13="",D13=""),"",IF(D13&lt;TODAY(),"Süresi geçti",IF(D13&lt;=TODAY()+30,"30 gün içinde",IF(D13&lt;=TODAY()+90,"90 gün içinde","İleride"))))</f>
        <v/>
      </c>
      <c r="G13" s="64">
        <f>IF(A13="","",Firmalar!$H$5)</f>
        <v/>
      </c>
    </row>
    <row r="14" ht="18" customHeight="1">
      <c r="A14" s="61">
        <f>IF(Firmalar!$B$5="","",Firmalar!$B$5)</f>
        <v/>
      </c>
      <c r="B14" s="61">
        <f>IF(Firmalar!$B$5="","",Firmalar!$I$5)</f>
        <v/>
      </c>
      <c r="C14" s="61" t="inlineStr">
        <is>
          <t>İç tetkik planı</t>
        </is>
      </c>
      <c r="D14" s="62">
        <f>IF(Firmalar!$B$5="","",Firmalar!$FX$5)</f>
        <v/>
      </c>
      <c r="E14" s="63">
        <f>IF(OR(A14="",D14=""),"",D14-TODAY())</f>
        <v/>
      </c>
      <c r="F14" s="64">
        <f>IF(OR(A14="",D14=""),"",IF(D14&lt;TODAY(),"Süresi geçti",IF(D14&lt;=TODAY()+30,"30 gün içinde",IF(D14&lt;=TODAY()+90,"90 gün içinde","İleride"))))</f>
        <v/>
      </c>
      <c r="G14" s="64">
        <f>IF(A14="","",Firmalar!$H$5)</f>
        <v/>
      </c>
    </row>
    <row r="15" ht="18" customHeight="1">
      <c r="A15" s="61">
        <f>IF(Firmalar!$B$5="","",Firmalar!$B$5)</f>
        <v/>
      </c>
      <c r="B15" s="61">
        <f>IF(Firmalar!$B$5="","",Firmalar!$I$5)</f>
        <v/>
      </c>
      <c r="C15" s="61" t="inlineStr">
        <is>
          <t>Çevre eğitimi</t>
        </is>
      </c>
      <c r="D15" s="62">
        <f>IF(Firmalar!$B$5="","",Firmalar!$FY$5)</f>
        <v/>
      </c>
      <c r="E15" s="63">
        <f>IF(OR(A15="",D15=""),"",D15-TODAY())</f>
        <v/>
      </c>
      <c r="F15" s="64">
        <f>IF(OR(A15="",D15=""),"",IF(D15&lt;TODAY(),"Süresi geçti",IF(D15&lt;=TODAY()+30,"30 gün içinde",IF(D15&lt;=TODAY()+90,"90 gün içinde","İleride"))))</f>
        <v/>
      </c>
      <c r="G15" s="64">
        <f>IF(A15="","",Firmalar!$H$5)</f>
        <v/>
      </c>
    </row>
    <row r="16" ht="18" customHeight="1">
      <c r="A16" s="61">
        <f>IF(Firmalar!$B$5="","",Firmalar!$B$5)</f>
        <v/>
      </c>
      <c r="B16" s="61">
        <f>IF(Firmalar!$B$5="","",Firmalar!$I$5)</f>
        <v/>
      </c>
      <c r="C16" s="61" t="inlineStr">
        <is>
          <t>Eğitim planı</t>
        </is>
      </c>
      <c r="D16" s="62">
        <f>IF(Firmalar!$B$5="","",Firmalar!$FZ$5)</f>
        <v/>
      </c>
      <c r="E16" s="63">
        <f>IF(OR(A16="",D16=""),"",D16-TODAY())</f>
        <v/>
      </c>
      <c r="F16" s="64">
        <f>IF(OR(A16="",D16=""),"",IF(D16&lt;TODAY(),"Süresi geçti",IF(D16&lt;=TODAY()+30,"30 gün içinde",IF(D16&lt;=TODAY()+90,"90 gün içinde","İleride"))))</f>
        <v/>
      </c>
      <c r="G16" s="64">
        <f>IF(A16="","",Firmalar!$H$5)</f>
        <v/>
      </c>
    </row>
    <row r="17" ht="18" customHeight="1">
      <c r="A17" s="61">
        <f>IF(Firmalar!$B$5="","",Firmalar!$B$5)</f>
        <v/>
      </c>
      <c r="B17" s="61">
        <f>IF(Firmalar!$B$5="","",Firmalar!$I$5)</f>
        <v/>
      </c>
      <c r="C17" s="61" t="inlineStr">
        <is>
          <t>Kanal belgesi bitiş</t>
        </is>
      </c>
      <c r="D17" s="62">
        <f>IF(Firmalar!$B$5="","",Firmalar!$GA$5)</f>
        <v/>
      </c>
      <c r="E17" s="63">
        <f>IF(OR(A17="",D17=""),"",D17-TODAY())</f>
        <v/>
      </c>
      <c r="F17" s="64">
        <f>IF(OR(A17="",D17=""),"",IF(D17&lt;TODAY(),"Süresi geçti",IF(D17&lt;=TODAY()+30,"30 gün içinde",IF(D17&lt;=TODAY()+90,"90 gün içinde","İleride"))))</f>
        <v/>
      </c>
      <c r="G17" s="64">
        <f>IF(A17="","",Firmalar!$H$5)</f>
        <v/>
      </c>
    </row>
    <row r="18" ht="18" customHeight="1">
      <c r="A18" s="61">
        <f>IF(Firmalar!$B$5="","",Firmalar!$B$5)</f>
        <v/>
      </c>
      <c r="B18" s="61">
        <f>IF(Firmalar!$B$5="","",Firmalar!$I$5)</f>
        <v/>
      </c>
      <c r="C18" s="61" t="inlineStr">
        <is>
          <t>Deşarj izni bitiş</t>
        </is>
      </c>
      <c r="D18" s="62">
        <f>IF(Firmalar!$B$5="","",Firmalar!$GB$5)</f>
        <v/>
      </c>
      <c r="E18" s="63">
        <f>IF(OR(A18="",D18=""),"",D18-TODAY())</f>
        <v/>
      </c>
      <c r="F18" s="64">
        <f>IF(OR(A18="",D18=""),"",IF(D18&lt;TODAY(),"Süresi geçti",IF(D18&lt;=TODAY()+30,"30 gün içinde",IF(D18&lt;=TODAY()+90,"90 gün içinde","İleride"))))</f>
        <v/>
      </c>
      <c r="G18" s="64">
        <f>IF(A18="","",Firmalar!$H$5)</f>
        <v/>
      </c>
    </row>
    <row r="19" ht="18" customHeight="1">
      <c r="A19" s="61">
        <f>IF(Firmalar!$B$5="","",Firmalar!$B$5)</f>
        <v/>
      </c>
      <c r="B19" s="61">
        <f>IF(Firmalar!$B$5="","",Firmalar!$I$5)</f>
        <v/>
      </c>
      <c r="C19" s="61" t="inlineStr">
        <is>
          <t>Atıksu analizi</t>
        </is>
      </c>
      <c r="D19" s="62">
        <f>IF(Firmalar!$B$5="","",Firmalar!$GC$5)</f>
        <v/>
      </c>
      <c r="E19" s="63">
        <f>IF(OR(A19="",D19=""),"",D19-TODAY())</f>
        <v/>
      </c>
      <c r="F19" s="64">
        <f>IF(OR(A19="",D19=""),"",IF(D19&lt;TODAY(),"Süresi geçti",IF(D19&lt;=TODAY()+30,"30 gün içinde",IF(D19&lt;=TODAY()+90,"90 gün içinde","İleride"))))</f>
        <v/>
      </c>
      <c r="G19" s="64">
        <f>IF(A19="","",Firmalar!$H$5)</f>
        <v/>
      </c>
    </row>
    <row r="20" ht="18" customHeight="1">
      <c r="A20" s="61">
        <f>IF(Firmalar!$B$5="","",Firmalar!$B$5)</f>
        <v/>
      </c>
      <c r="B20" s="61">
        <f>IF(Firmalar!$B$5="","",Firmalar!$I$5)</f>
        <v/>
      </c>
      <c r="C20" s="61" t="inlineStr">
        <is>
          <t>Saha ziyareti</t>
        </is>
      </c>
      <c r="D20" s="62">
        <f>IF(Firmalar!$B$5="","",Firmalar!$GD$5)</f>
        <v/>
      </c>
      <c r="E20" s="63">
        <f>IF(OR(A20="",D20=""),"",D20-TODAY())</f>
        <v/>
      </c>
      <c r="F20" s="64">
        <f>IF(OR(A20="",D20=""),"",IF(D20&lt;TODAY(),"Süresi geçti",IF(D20&lt;=TODAY()+30,"30 gün içinde",IF(D20&lt;=TODAY()+90,"90 gün içinde","İleride"))))</f>
        <v/>
      </c>
      <c r="G20" s="64">
        <f>IF(A20="","",Firmalar!$H$5)</f>
        <v/>
      </c>
    </row>
    <row r="21" ht="18" customHeight="1">
      <c r="A21" s="61">
        <f>IF(Firmalar!$B$5="","",Firmalar!$B$5)</f>
        <v/>
      </c>
      <c r="B21" s="61">
        <f>IF(Firmalar!$B$5="","",Firmalar!$I$5)</f>
        <v/>
      </c>
      <c r="C21" s="61" t="inlineStr">
        <is>
          <t>Resmî yazı cevabı</t>
        </is>
      </c>
      <c r="D21" s="62">
        <f>IF(Firmalar!$B$5="","",Firmalar!$GE$5)</f>
        <v/>
      </c>
      <c r="E21" s="63">
        <f>IF(OR(A21="",D21=""),"",D21-TODAY())</f>
        <v/>
      </c>
      <c r="F21" s="64">
        <f>IF(OR(A21="",D21=""),"",IF(D21&lt;TODAY(),"Süresi geçti",IF(D21&lt;=TODAY()+30,"30 gün içinde",IF(D21&lt;=TODAY()+90,"90 gün içinde","İleride"))))</f>
        <v/>
      </c>
      <c r="G21" s="64">
        <f>IF(A21="","",Firmalar!$H$5)</f>
        <v/>
      </c>
    </row>
    <row r="22" ht="18" customHeight="1">
      <c r="A22" s="61">
        <f>IF(Firmalar!$B$5="","",Firmalar!$B$5)</f>
        <v/>
      </c>
      <c r="B22" s="61">
        <f>IF(Firmalar!$B$5="","",Firmalar!$I$5)</f>
        <v/>
      </c>
      <c r="C22" s="61" t="inlineStr">
        <is>
          <t>Uygunsuzluk kapanışı</t>
        </is>
      </c>
      <c r="D22" s="62">
        <f>IF(Firmalar!$B$5="","",Firmalar!$GF$5)</f>
        <v/>
      </c>
      <c r="E22" s="63">
        <f>IF(OR(A22="",D22=""),"",D22-TODAY())</f>
        <v/>
      </c>
      <c r="F22" s="64">
        <f>IF(OR(A22="",D22=""),"",IF(D22&lt;TODAY(),"Süresi geçti",IF(D22&lt;=TODAY()+30,"30 gün içinde",IF(D22&lt;=TODAY()+90,"90 gün içinde","İleride"))))</f>
        <v/>
      </c>
      <c r="G22" s="64">
        <f>IF(A22="","",Firmalar!$H$5)</f>
        <v/>
      </c>
    </row>
    <row r="23" ht="18" customHeight="1">
      <c r="A23" s="61">
        <f>IF(Firmalar!$B$5="","",Firmalar!$B$5)</f>
        <v/>
      </c>
      <c r="B23" s="61">
        <f>IF(Firmalar!$B$5="","",Firmalar!$I$5)</f>
        <v/>
      </c>
      <c r="C23" s="61" t="inlineStr">
        <is>
          <t>Öncelikli işlem</t>
        </is>
      </c>
      <c r="D23" s="62">
        <f>IF(Firmalar!$B$5="","",Firmalar!$GG$5)</f>
        <v/>
      </c>
      <c r="E23" s="63">
        <f>IF(OR(A23="",D23=""),"",D23-TODAY())</f>
        <v/>
      </c>
      <c r="F23" s="64">
        <f>IF(OR(A23="",D23=""),"",IF(D23&lt;TODAY(),"Süresi geçti",IF(D23&lt;=TODAY()+30,"30 gün içinde",IF(D23&lt;=TODAY()+90,"90 gün içinde","İleride"))))</f>
        <v/>
      </c>
      <c r="G23" s="64">
        <f>IF(A23="","",Firmalar!$H$5)</f>
        <v/>
      </c>
    </row>
    <row r="24" ht="18" customHeight="1">
      <c r="A24" s="61">
        <f>IF(Firmalar!$B$6="","",Firmalar!$B$6)</f>
        <v/>
      </c>
      <c r="B24" s="61">
        <f>IF(Firmalar!$B$6="","",Firmalar!$I$6)</f>
        <v/>
      </c>
      <c r="C24" s="61" t="inlineStr">
        <is>
          <t>Çevre izni bitiş</t>
        </is>
      </c>
      <c r="D24" s="62">
        <f>IF(Firmalar!$B$6="","",Firmalar!$FO$6)</f>
        <v/>
      </c>
      <c r="E24" s="63">
        <f>IF(OR(A24="",D24=""),"",D24-TODAY())</f>
        <v/>
      </c>
      <c r="F24" s="64">
        <f>IF(OR(A24="",D24=""),"",IF(D24&lt;TODAY(),"Süresi geçti",IF(D24&lt;=TODAY()+30,"30 gün içinde",IF(D24&lt;=TODAY()+90,"90 gün içinde","İleride"))))</f>
        <v/>
      </c>
      <c r="G24" s="64">
        <f>IF(A24="","",Firmalar!$H$6)</f>
        <v/>
      </c>
    </row>
    <row r="25" ht="18" customHeight="1">
      <c r="A25" s="61">
        <f>IF(Firmalar!$B$6="","",Firmalar!$B$6)</f>
        <v/>
      </c>
      <c r="B25" s="61">
        <f>IF(Firmalar!$B$6="","",Firmalar!$I$6)</f>
        <v/>
      </c>
      <c r="C25" s="61" t="inlineStr">
        <is>
          <t>Çevre izni başvurusu</t>
        </is>
      </c>
      <c r="D25" s="62">
        <f>IF(Firmalar!$B$6="","",Firmalar!$FP$6)</f>
        <v/>
      </c>
      <c r="E25" s="63">
        <f>IF(OR(A25="",D25=""),"",D25-TODAY())</f>
        <v/>
      </c>
      <c r="F25" s="64">
        <f>IF(OR(A25="",D25=""),"",IF(D25&lt;TODAY(),"Süresi geçti",IF(D25&lt;=TODAY()+30,"30 gün içinde",IF(D25&lt;=TODAY()+90,"90 gün içinde","İleride"))))</f>
        <v/>
      </c>
      <c r="G25" s="64">
        <f>IF(A25="","",Firmalar!$H$6)</f>
        <v/>
      </c>
    </row>
    <row r="26" ht="18" customHeight="1">
      <c r="A26" s="61">
        <f>IF(Firmalar!$B$6="","",Firmalar!$B$6)</f>
        <v/>
      </c>
      <c r="B26" s="61">
        <f>IF(Firmalar!$B$6="","",Firmalar!$I$6)</f>
        <v/>
      </c>
      <c r="C26" s="61" t="inlineStr">
        <is>
          <t>GFB bitiş</t>
        </is>
      </c>
      <c r="D26" s="62">
        <f>IF(Firmalar!$B$6="","",Firmalar!$FQ$6)</f>
        <v/>
      </c>
      <c r="E26" s="63">
        <f>IF(OR(A26="",D26=""),"",D26-TODAY())</f>
        <v/>
      </c>
      <c r="F26" s="64">
        <f>IF(OR(A26="",D26=""),"",IF(D26&lt;TODAY(),"Süresi geçti",IF(D26&lt;=TODAY()+30,"30 gün içinde",IF(D26&lt;=TODAY()+90,"90 gün içinde","İleride"))))</f>
        <v/>
      </c>
      <c r="G26" s="64">
        <f>IF(A26="","",Firmalar!$H$6)</f>
        <v/>
      </c>
    </row>
    <row r="27" ht="18" customHeight="1">
      <c r="A27" s="61">
        <f>IF(Firmalar!$B$6="","",Firmalar!$B$6)</f>
        <v/>
      </c>
      <c r="B27" s="61">
        <f>IF(Firmalar!$B$6="","",Firmalar!$I$6)</f>
        <v/>
      </c>
      <c r="C27" s="61" t="inlineStr">
        <is>
          <t>Sözleşme bitiş</t>
        </is>
      </c>
      <c r="D27" s="62">
        <f>IF(Firmalar!$B$6="","",Firmalar!$FR$6)</f>
        <v/>
      </c>
      <c r="E27" s="63">
        <f>IF(OR(A27="",D27=""),"",D27-TODAY())</f>
        <v/>
      </c>
      <c r="F27" s="64">
        <f>IF(OR(A27="",D27=""),"",IF(D27&lt;TODAY(),"Süresi geçti",IF(D27&lt;=TODAY()+30,"30 gün içinde",IF(D27&lt;=TODAY()+90,"90 gün içinde","İleride"))))</f>
        <v/>
      </c>
      <c r="G27" s="64">
        <f>IF(A27="","",Firmalar!$H$6)</f>
        <v/>
      </c>
    </row>
    <row r="28" ht="18" customHeight="1">
      <c r="A28" s="61">
        <f>IF(Firmalar!$B$6="","",Firmalar!$B$6)</f>
        <v/>
      </c>
      <c r="B28" s="61">
        <f>IF(Firmalar!$B$6="","",Firmalar!$I$6)</f>
        <v/>
      </c>
      <c r="C28" s="61" t="inlineStr">
        <is>
          <t>Sıfır Atık bitiş</t>
        </is>
      </c>
      <c r="D28" s="62">
        <f>IF(Firmalar!$B$6="","",Firmalar!$FS$6)</f>
        <v/>
      </c>
      <c r="E28" s="63">
        <f>IF(OR(A28="",D28=""),"",D28-TODAY())</f>
        <v/>
      </c>
      <c r="F28" s="64">
        <f>IF(OR(A28="",D28=""),"",IF(D28&lt;TODAY(),"Süresi geçti",IF(D28&lt;=TODAY()+30,"30 gün içinde",IF(D28&lt;=TODAY()+90,"90 gün içinde","İleride"))))</f>
        <v/>
      </c>
      <c r="G28" s="64">
        <f>IF(A28="","",Firmalar!$H$6)</f>
        <v/>
      </c>
    </row>
    <row r="29" ht="18" customHeight="1">
      <c r="A29" s="61">
        <f>IF(Firmalar!$B$6="","",Firmalar!$B$6)</f>
        <v/>
      </c>
      <c r="B29" s="61">
        <f>IF(Firmalar!$B$6="","",Firmalar!$I$6)</f>
        <v/>
      </c>
      <c r="C29" s="61" t="inlineStr">
        <is>
          <t>Atık planı bitiş</t>
        </is>
      </c>
      <c r="D29" s="62">
        <f>IF(Firmalar!$B$6="","",Firmalar!$FT$6)</f>
        <v/>
      </c>
      <c r="E29" s="63">
        <f>IF(OR(A29="",D29=""),"",D29-TODAY())</f>
        <v/>
      </c>
      <c r="F29" s="64">
        <f>IF(OR(A29="",D29=""),"",IF(D29&lt;TODAY(),"Süresi geçti",IF(D29&lt;=TODAY()+30,"30 gün içinde",IF(D29&lt;=TODAY()+90,"90 gün içinde","İleride"))))</f>
        <v/>
      </c>
      <c r="G29" s="64">
        <f>IF(A29="","",Firmalar!$H$6)</f>
        <v/>
      </c>
    </row>
    <row r="30" ht="18" customHeight="1">
      <c r="A30" s="61">
        <f>IF(Firmalar!$B$6="","",Firmalar!$B$6)</f>
        <v/>
      </c>
      <c r="B30" s="61">
        <f>IF(Firmalar!$B$6="","",Firmalar!$I$6)</f>
        <v/>
      </c>
      <c r="C30" s="61" t="inlineStr">
        <is>
          <t>Emisyon teyidi</t>
        </is>
      </c>
      <c r="D30" s="62">
        <f>IF(Firmalar!$B$6="","",Firmalar!$FU$6)</f>
        <v/>
      </c>
      <c r="E30" s="63">
        <f>IF(OR(A30="",D30=""),"",D30-TODAY())</f>
        <v/>
      </c>
      <c r="F30" s="64">
        <f>IF(OR(A30="",D30=""),"",IF(D30&lt;TODAY(),"Süresi geçti",IF(D30&lt;=TODAY()+30,"30 gün içinde",IF(D30&lt;=TODAY()+90,"90 gün içinde","İleride"))))</f>
        <v/>
      </c>
      <c r="G30" s="64">
        <f>IF(A30="","",Firmalar!$H$6)</f>
        <v/>
      </c>
    </row>
    <row r="31" ht="18" customHeight="1">
      <c r="A31" s="61">
        <f>IF(Firmalar!$B$6="","",Firmalar!$B$6)</f>
        <v/>
      </c>
      <c r="B31" s="61">
        <f>IF(Firmalar!$B$6="","",Firmalar!$I$6)</f>
        <v/>
      </c>
      <c r="C31" s="61" t="inlineStr">
        <is>
          <t>Emisyon ölçümü</t>
        </is>
      </c>
      <c r="D31" s="62">
        <f>IF(Firmalar!$B$6="","",Firmalar!$FV$6)</f>
        <v/>
      </c>
      <c r="E31" s="63">
        <f>IF(OR(A31="",D31=""),"",D31-TODAY())</f>
        <v/>
      </c>
      <c r="F31" s="64">
        <f>IF(OR(A31="",D31=""),"",IF(D31&lt;TODAY(),"Süresi geçti",IF(D31&lt;=TODAY()+30,"30 gün içinde",IF(D31&lt;=TODAY()+90,"90 gün içinde","İleride"))))</f>
        <v/>
      </c>
      <c r="G31" s="64">
        <f>IF(A31="","",Firmalar!$H$6)</f>
        <v/>
      </c>
    </row>
    <row r="32" ht="18" customHeight="1">
      <c r="A32" s="61">
        <f>IF(Firmalar!$B$6="","",Firmalar!$B$6)</f>
        <v/>
      </c>
      <c r="B32" s="61">
        <f>IF(Firmalar!$B$6="","",Firmalar!$I$6)</f>
        <v/>
      </c>
      <c r="C32" s="61" t="inlineStr">
        <is>
          <t>İç tetkik</t>
        </is>
      </c>
      <c r="D32" s="62">
        <f>IF(Firmalar!$B$6="","",Firmalar!$FW$6)</f>
        <v/>
      </c>
      <c r="E32" s="63">
        <f>IF(OR(A32="",D32=""),"",D32-TODAY())</f>
        <v/>
      </c>
      <c r="F32" s="64">
        <f>IF(OR(A32="",D32=""),"",IF(D32&lt;TODAY(),"Süresi geçti",IF(D32&lt;=TODAY()+30,"30 gün içinde",IF(D32&lt;=TODAY()+90,"90 gün içinde","İleride"))))</f>
        <v/>
      </c>
      <c r="G32" s="64">
        <f>IF(A32="","",Firmalar!$H$6)</f>
        <v/>
      </c>
    </row>
    <row r="33" ht="18" customHeight="1">
      <c r="A33" s="61">
        <f>IF(Firmalar!$B$6="","",Firmalar!$B$6)</f>
        <v/>
      </c>
      <c r="B33" s="61">
        <f>IF(Firmalar!$B$6="","",Firmalar!$I$6)</f>
        <v/>
      </c>
      <c r="C33" s="61" t="inlineStr">
        <is>
          <t>İç tetkik planı</t>
        </is>
      </c>
      <c r="D33" s="62">
        <f>IF(Firmalar!$B$6="","",Firmalar!$FX$6)</f>
        <v/>
      </c>
      <c r="E33" s="63">
        <f>IF(OR(A33="",D33=""),"",D33-TODAY())</f>
        <v/>
      </c>
      <c r="F33" s="64">
        <f>IF(OR(A33="",D33=""),"",IF(D33&lt;TODAY(),"Süresi geçti",IF(D33&lt;=TODAY()+30,"30 gün içinde",IF(D33&lt;=TODAY()+90,"90 gün içinde","İleride"))))</f>
        <v/>
      </c>
      <c r="G33" s="64">
        <f>IF(A33="","",Firmalar!$H$6)</f>
        <v/>
      </c>
    </row>
    <row r="34" ht="18" customHeight="1">
      <c r="A34" s="61">
        <f>IF(Firmalar!$B$6="","",Firmalar!$B$6)</f>
        <v/>
      </c>
      <c r="B34" s="61">
        <f>IF(Firmalar!$B$6="","",Firmalar!$I$6)</f>
        <v/>
      </c>
      <c r="C34" s="61" t="inlineStr">
        <is>
          <t>Çevre eğitimi</t>
        </is>
      </c>
      <c r="D34" s="62">
        <f>IF(Firmalar!$B$6="","",Firmalar!$FY$6)</f>
        <v/>
      </c>
      <c r="E34" s="63">
        <f>IF(OR(A34="",D34=""),"",D34-TODAY())</f>
        <v/>
      </c>
      <c r="F34" s="64">
        <f>IF(OR(A34="",D34=""),"",IF(D34&lt;TODAY(),"Süresi geçti",IF(D34&lt;=TODAY()+30,"30 gün içinde",IF(D34&lt;=TODAY()+90,"90 gün içinde","İleride"))))</f>
        <v/>
      </c>
      <c r="G34" s="64">
        <f>IF(A34="","",Firmalar!$H$6)</f>
        <v/>
      </c>
    </row>
    <row r="35" ht="18" customHeight="1">
      <c r="A35" s="61">
        <f>IF(Firmalar!$B$6="","",Firmalar!$B$6)</f>
        <v/>
      </c>
      <c r="B35" s="61">
        <f>IF(Firmalar!$B$6="","",Firmalar!$I$6)</f>
        <v/>
      </c>
      <c r="C35" s="61" t="inlineStr">
        <is>
          <t>Eğitim planı</t>
        </is>
      </c>
      <c r="D35" s="62">
        <f>IF(Firmalar!$B$6="","",Firmalar!$FZ$6)</f>
        <v/>
      </c>
      <c r="E35" s="63">
        <f>IF(OR(A35="",D35=""),"",D35-TODAY())</f>
        <v/>
      </c>
      <c r="F35" s="64">
        <f>IF(OR(A35="",D35=""),"",IF(D35&lt;TODAY(),"Süresi geçti",IF(D35&lt;=TODAY()+30,"30 gün içinde",IF(D35&lt;=TODAY()+90,"90 gün içinde","İleride"))))</f>
        <v/>
      </c>
      <c r="G35" s="64">
        <f>IF(A35="","",Firmalar!$H$6)</f>
        <v/>
      </c>
    </row>
    <row r="36" ht="18" customHeight="1">
      <c r="A36" s="61">
        <f>IF(Firmalar!$B$6="","",Firmalar!$B$6)</f>
        <v/>
      </c>
      <c r="B36" s="61">
        <f>IF(Firmalar!$B$6="","",Firmalar!$I$6)</f>
        <v/>
      </c>
      <c r="C36" s="61" t="inlineStr">
        <is>
          <t>Kanal belgesi bitiş</t>
        </is>
      </c>
      <c r="D36" s="62">
        <f>IF(Firmalar!$B$6="","",Firmalar!$GA$6)</f>
        <v/>
      </c>
      <c r="E36" s="63">
        <f>IF(OR(A36="",D36=""),"",D36-TODAY())</f>
        <v/>
      </c>
      <c r="F36" s="64">
        <f>IF(OR(A36="",D36=""),"",IF(D36&lt;TODAY(),"Süresi geçti",IF(D36&lt;=TODAY()+30,"30 gün içinde",IF(D36&lt;=TODAY()+90,"90 gün içinde","İleride"))))</f>
        <v/>
      </c>
      <c r="G36" s="64">
        <f>IF(A36="","",Firmalar!$H$6)</f>
        <v/>
      </c>
    </row>
    <row r="37" ht="18" customHeight="1">
      <c r="A37" s="61">
        <f>IF(Firmalar!$B$6="","",Firmalar!$B$6)</f>
        <v/>
      </c>
      <c r="B37" s="61">
        <f>IF(Firmalar!$B$6="","",Firmalar!$I$6)</f>
        <v/>
      </c>
      <c r="C37" s="61" t="inlineStr">
        <is>
          <t>Deşarj izni bitiş</t>
        </is>
      </c>
      <c r="D37" s="62">
        <f>IF(Firmalar!$B$6="","",Firmalar!$GB$6)</f>
        <v/>
      </c>
      <c r="E37" s="63">
        <f>IF(OR(A37="",D37=""),"",D37-TODAY())</f>
        <v/>
      </c>
      <c r="F37" s="64">
        <f>IF(OR(A37="",D37=""),"",IF(D37&lt;TODAY(),"Süresi geçti",IF(D37&lt;=TODAY()+30,"30 gün içinde",IF(D37&lt;=TODAY()+90,"90 gün içinde","İleride"))))</f>
        <v/>
      </c>
      <c r="G37" s="64">
        <f>IF(A37="","",Firmalar!$H$6)</f>
        <v/>
      </c>
    </row>
    <row r="38" ht="18" customHeight="1">
      <c r="A38" s="61">
        <f>IF(Firmalar!$B$6="","",Firmalar!$B$6)</f>
        <v/>
      </c>
      <c r="B38" s="61">
        <f>IF(Firmalar!$B$6="","",Firmalar!$I$6)</f>
        <v/>
      </c>
      <c r="C38" s="61" t="inlineStr">
        <is>
          <t>Atıksu analizi</t>
        </is>
      </c>
      <c r="D38" s="62">
        <f>IF(Firmalar!$B$6="","",Firmalar!$GC$6)</f>
        <v/>
      </c>
      <c r="E38" s="63">
        <f>IF(OR(A38="",D38=""),"",D38-TODAY())</f>
        <v/>
      </c>
      <c r="F38" s="64">
        <f>IF(OR(A38="",D38=""),"",IF(D38&lt;TODAY(),"Süresi geçti",IF(D38&lt;=TODAY()+30,"30 gün içinde",IF(D38&lt;=TODAY()+90,"90 gün içinde","İleride"))))</f>
        <v/>
      </c>
      <c r="G38" s="64">
        <f>IF(A38="","",Firmalar!$H$6)</f>
        <v/>
      </c>
    </row>
    <row r="39" ht="18" customHeight="1">
      <c r="A39" s="61">
        <f>IF(Firmalar!$B$6="","",Firmalar!$B$6)</f>
        <v/>
      </c>
      <c r="B39" s="61">
        <f>IF(Firmalar!$B$6="","",Firmalar!$I$6)</f>
        <v/>
      </c>
      <c r="C39" s="61" t="inlineStr">
        <is>
          <t>Saha ziyareti</t>
        </is>
      </c>
      <c r="D39" s="62">
        <f>IF(Firmalar!$B$6="","",Firmalar!$GD$6)</f>
        <v/>
      </c>
      <c r="E39" s="63">
        <f>IF(OR(A39="",D39=""),"",D39-TODAY())</f>
        <v/>
      </c>
      <c r="F39" s="64">
        <f>IF(OR(A39="",D39=""),"",IF(D39&lt;TODAY(),"Süresi geçti",IF(D39&lt;=TODAY()+30,"30 gün içinde",IF(D39&lt;=TODAY()+90,"90 gün içinde","İleride"))))</f>
        <v/>
      </c>
      <c r="G39" s="64">
        <f>IF(A39="","",Firmalar!$H$6)</f>
        <v/>
      </c>
    </row>
    <row r="40" ht="18" customHeight="1">
      <c r="A40" s="61">
        <f>IF(Firmalar!$B$6="","",Firmalar!$B$6)</f>
        <v/>
      </c>
      <c r="B40" s="61">
        <f>IF(Firmalar!$B$6="","",Firmalar!$I$6)</f>
        <v/>
      </c>
      <c r="C40" s="61" t="inlineStr">
        <is>
          <t>Resmî yazı cevabı</t>
        </is>
      </c>
      <c r="D40" s="62">
        <f>IF(Firmalar!$B$6="","",Firmalar!$GE$6)</f>
        <v/>
      </c>
      <c r="E40" s="63">
        <f>IF(OR(A40="",D40=""),"",D40-TODAY())</f>
        <v/>
      </c>
      <c r="F40" s="64">
        <f>IF(OR(A40="",D40=""),"",IF(D40&lt;TODAY(),"Süresi geçti",IF(D40&lt;=TODAY()+30,"30 gün içinde",IF(D40&lt;=TODAY()+90,"90 gün içinde","İleride"))))</f>
        <v/>
      </c>
      <c r="G40" s="64">
        <f>IF(A40="","",Firmalar!$H$6)</f>
        <v/>
      </c>
    </row>
    <row r="41" ht="18" customHeight="1">
      <c r="A41" s="61">
        <f>IF(Firmalar!$B$6="","",Firmalar!$B$6)</f>
        <v/>
      </c>
      <c r="B41" s="61">
        <f>IF(Firmalar!$B$6="","",Firmalar!$I$6)</f>
        <v/>
      </c>
      <c r="C41" s="61" t="inlineStr">
        <is>
          <t>Uygunsuzluk kapanışı</t>
        </is>
      </c>
      <c r="D41" s="62">
        <f>IF(Firmalar!$B$6="","",Firmalar!$GF$6)</f>
        <v/>
      </c>
      <c r="E41" s="63">
        <f>IF(OR(A41="",D41=""),"",D41-TODAY())</f>
        <v/>
      </c>
      <c r="F41" s="64">
        <f>IF(OR(A41="",D41=""),"",IF(D41&lt;TODAY(),"Süresi geçti",IF(D41&lt;=TODAY()+30,"30 gün içinde",IF(D41&lt;=TODAY()+90,"90 gün içinde","İleride"))))</f>
        <v/>
      </c>
      <c r="G41" s="64">
        <f>IF(A41="","",Firmalar!$H$6)</f>
        <v/>
      </c>
    </row>
    <row r="42" ht="18" customHeight="1">
      <c r="A42" s="61">
        <f>IF(Firmalar!$B$6="","",Firmalar!$B$6)</f>
        <v/>
      </c>
      <c r="B42" s="61">
        <f>IF(Firmalar!$B$6="","",Firmalar!$I$6)</f>
        <v/>
      </c>
      <c r="C42" s="61" t="inlineStr">
        <is>
          <t>Öncelikli işlem</t>
        </is>
      </c>
      <c r="D42" s="62">
        <f>IF(Firmalar!$B$6="","",Firmalar!$GG$6)</f>
        <v/>
      </c>
      <c r="E42" s="63">
        <f>IF(OR(A42="",D42=""),"",D42-TODAY())</f>
        <v/>
      </c>
      <c r="F42" s="64">
        <f>IF(OR(A42="",D42=""),"",IF(D42&lt;TODAY(),"Süresi geçti",IF(D42&lt;=TODAY()+30,"30 gün içinde",IF(D42&lt;=TODAY()+90,"90 gün içinde","İleride"))))</f>
        <v/>
      </c>
      <c r="G42" s="64">
        <f>IF(A42="","",Firmalar!$H$6)</f>
        <v/>
      </c>
    </row>
    <row r="43" ht="18" customHeight="1">
      <c r="A43" s="61">
        <f>IF(Firmalar!$B$7="","",Firmalar!$B$7)</f>
        <v/>
      </c>
      <c r="B43" s="61">
        <f>IF(Firmalar!$B$7="","",Firmalar!$I$7)</f>
        <v/>
      </c>
      <c r="C43" s="61" t="inlineStr">
        <is>
          <t>Çevre izni bitiş</t>
        </is>
      </c>
      <c r="D43" s="62">
        <f>IF(Firmalar!$B$7="","",Firmalar!$FO$7)</f>
        <v/>
      </c>
      <c r="E43" s="63">
        <f>IF(OR(A43="",D43=""),"",D43-TODAY())</f>
        <v/>
      </c>
      <c r="F43" s="64">
        <f>IF(OR(A43="",D43=""),"",IF(D43&lt;TODAY(),"Süresi geçti",IF(D43&lt;=TODAY()+30,"30 gün içinde",IF(D43&lt;=TODAY()+90,"90 gün içinde","İleride"))))</f>
        <v/>
      </c>
      <c r="G43" s="64">
        <f>IF(A43="","",Firmalar!$H$7)</f>
        <v/>
      </c>
    </row>
    <row r="44" ht="18" customHeight="1">
      <c r="A44" s="61">
        <f>IF(Firmalar!$B$7="","",Firmalar!$B$7)</f>
        <v/>
      </c>
      <c r="B44" s="61">
        <f>IF(Firmalar!$B$7="","",Firmalar!$I$7)</f>
        <v/>
      </c>
      <c r="C44" s="61" t="inlineStr">
        <is>
          <t>Çevre izni başvurusu</t>
        </is>
      </c>
      <c r="D44" s="62">
        <f>IF(Firmalar!$B$7="","",Firmalar!$FP$7)</f>
        <v/>
      </c>
      <c r="E44" s="63">
        <f>IF(OR(A44="",D44=""),"",D44-TODAY())</f>
        <v/>
      </c>
      <c r="F44" s="64">
        <f>IF(OR(A44="",D44=""),"",IF(D44&lt;TODAY(),"Süresi geçti",IF(D44&lt;=TODAY()+30,"30 gün içinde",IF(D44&lt;=TODAY()+90,"90 gün içinde","İleride"))))</f>
        <v/>
      </c>
      <c r="G44" s="64">
        <f>IF(A44="","",Firmalar!$H$7)</f>
        <v/>
      </c>
    </row>
    <row r="45" ht="18" customHeight="1">
      <c r="A45" s="61">
        <f>IF(Firmalar!$B$7="","",Firmalar!$B$7)</f>
        <v/>
      </c>
      <c r="B45" s="61">
        <f>IF(Firmalar!$B$7="","",Firmalar!$I$7)</f>
        <v/>
      </c>
      <c r="C45" s="61" t="inlineStr">
        <is>
          <t>GFB bitiş</t>
        </is>
      </c>
      <c r="D45" s="62">
        <f>IF(Firmalar!$B$7="","",Firmalar!$FQ$7)</f>
        <v/>
      </c>
      <c r="E45" s="63">
        <f>IF(OR(A45="",D45=""),"",D45-TODAY())</f>
        <v/>
      </c>
      <c r="F45" s="64">
        <f>IF(OR(A45="",D45=""),"",IF(D45&lt;TODAY(),"Süresi geçti",IF(D45&lt;=TODAY()+30,"30 gün içinde",IF(D45&lt;=TODAY()+90,"90 gün içinde","İleride"))))</f>
        <v/>
      </c>
      <c r="G45" s="64">
        <f>IF(A45="","",Firmalar!$H$7)</f>
        <v/>
      </c>
    </row>
    <row r="46" ht="18" customHeight="1">
      <c r="A46" s="61">
        <f>IF(Firmalar!$B$7="","",Firmalar!$B$7)</f>
        <v/>
      </c>
      <c r="B46" s="61">
        <f>IF(Firmalar!$B$7="","",Firmalar!$I$7)</f>
        <v/>
      </c>
      <c r="C46" s="61" t="inlineStr">
        <is>
          <t>Sözleşme bitiş</t>
        </is>
      </c>
      <c r="D46" s="62">
        <f>IF(Firmalar!$B$7="","",Firmalar!$FR$7)</f>
        <v/>
      </c>
      <c r="E46" s="63">
        <f>IF(OR(A46="",D46=""),"",D46-TODAY())</f>
        <v/>
      </c>
      <c r="F46" s="64">
        <f>IF(OR(A46="",D46=""),"",IF(D46&lt;TODAY(),"Süresi geçti",IF(D46&lt;=TODAY()+30,"30 gün içinde",IF(D46&lt;=TODAY()+90,"90 gün içinde","İleride"))))</f>
        <v/>
      </c>
      <c r="G46" s="64">
        <f>IF(A46="","",Firmalar!$H$7)</f>
        <v/>
      </c>
    </row>
    <row r="47" ht="18" customHeight="1">
      <c r="A47" s="61">
        <f>IF(Firmalar!$B$7="","",Firmalar!$B$7)</f>
        <v/>
      </c>
      <c r="B47" s="61">
        <f>IF(Firmalar!$B$7="","",Firmalar!$I$7)</f>
        <v/>
      </c>
      <c r="C47" s="61" t="inlineStr">
        <is>
          <t>Sıfır Atık bitiş</t>
        </is>
      </c>
      <c r="D47" s="62">
        <f>IF(Firmalar!$B$7="","",Firmalar!$FS$7)</f>
        <v/>
      </c>
      <c r="E47" s="63">
        <f>IF(OR(A47="",D47=""),"",D47-TODAY())</f>
        <v/>
      </c>
      <c r="F47" s="64">
        <f>IF(OR(A47="",D47=""),"",IF(D47&lt;TODAY(),"Süresi geçti",IF(D47&lt;=TODAY()+30,"30 gün içinde",IF(D47&lt;=TODAY()+90,"90 gün içinde","İleride"))))</f>
        <v/>
      </c>
      <c r="G47" s="64">
        <f>IF(A47="","",Firmalar!$H$7)</f>
        <v/>
      </c>
    </row>
    <row r="48" ht="18" customHeight="1">
      <c r="A48" s="61">
        <f>IF(Firmalar!$B$7="","",Firmalar!$B$7)</f>
        <v/>
      </c>
      <c r="B48" s="61">
        <f>IF(Firmalar!$B$7="","",Firmalar!$I$7)</f>
        <v/>
      </c>
      <c r="C48" s="61" t="inlineStr">
        <is>
          <t>Atık planı bitiş</t>
        </is>
      </c>
      <c r="D48" s="62">
        <f>IF(Firmalar!$B$7="","",Firmalar!$FT$7)</f>
        <v/>
      </c>
      <c r="E48" s="63">
        <f>IF(OR(A48="",D48=""),"",D48-TODAY())</f>
        <v/>
      </c>
      <c r="F48" s="64">
        <f>IF(OR(A48="",D48=""),"",IF(D48&lt;TODAY(),"Süresi geçti",IF(D48&lt;=TODAY()+30,"30 gün içinde",IF(D48&lt;=TODAY()+90,"90 gün içinde","İleride"))))</f>
        <v/>
      </c>
      <c r="G48" s="64">
        <f>IF(A48="","",Firmalar!$H$7)</f>
        <v/>
      </c>
    </row>
    <row r="49" ht="18" customHeight="1">
      <c r="A49" s="61">
        <f>IF(Firmalar!$B$7="","",Firmalar!$B$7)</f>
        <v/>
      </c>
      <c r="B49" s="61">
        <f>IF(Firmalar!$B$7="","",Firmalar!$I$7)</f>
        <v/>
      </c>
      <c r="C49" s="61" t="inlineStr">
        <is>
          <t>Emisyon teyidi</t>
        </is>
      </c>
      <c r="D49" s="62">
        <f>IF(Firmalar!$B$7="","",Firmalar!$FU$7)</f>
        <v/>
      </c>
      <c r="E49" s="63">
        <f>IF(OR(A49="",D49=""),"",D49-TODAY())</f>
        <v/>
      </c>
      <c r="F49" s="64">
        <f>IF(OR(A49="",D49=""),"",IF(D49&lt;TODAY(),"Süresi geçti",IF(D49&lt;=TODAY()+30,"30 gün içinde",IF(D49&lt;=TODAY()+90,"90 gün içinde","İleride"))))</f>
        <v/>
      </c>
      <c r="G49" s="64">
        <f>IF(A49="","",Firmalar!$H$7)</f>
        <v/>
      </c>
    </row>
    <row r="50" ht="18" customHeight="1">
      <c r="A50" s="61">
        <f>IF(Firmalar!$B$7="","",Firmalar!$B$7)</f>
        <v/>
      </c>
      <c r="B50" s="61">
        <f>IF(Firmalar!$B$7="","",Firmalar!$I$7)</f>
        <v/>
      </c>
      <c r="C50" s="61" t="inlineStr">
        <is>
          <t>Emisyon ölçümü</t>
        </is>
      </c>
      <c r="D50" s="62">
        <f>IF(Firmalar!$B$7="","",Firmalar!$FV$7)</f>
        <v/>
      </c>
      <c r="E50" s="63">
        <f>IF(OR(A50="",D50=""),"",D50-TODAY())</f>
        <v/>
      </c>
      <c r="F50" s="64">
        <f>IF(OR(A50="",D50=""),"",IF(D50&lt;TODAY(),"Süresi geçti",IF(D50&lt;=TODAY()+30,"30 gün içinde",IF(D50&lt;=TODAY()+90,"90 gün içinde","İleride"))))</f>
        <v/>
      </c>
      <c r="G50" s="64">
        <f>IF(A50="","",Firmalar!$H$7)</f>
        <v/>
      </c>
    </row>
    <row r="51" ht="18" customHeight="1">
      <c r="A51" s="61">
        <f>IF(Firmalar!$B$7="","",Firmalar!$B$7)</f>
        <v/>
      </c>
      <c r="B51" s="61">
        <f>IF(Firmalar!$B$7="","",Firmalar!$I$7)</f>
        <v/>
      </c>
      <c r="C51" s="61" t="inlineStr">
        <is>
          <t>İç tetkik</t>
        </is>
      </c>
      <c r="D51" s="62">
        <f>IF(Firmalar!$B$7="","",Firmalar!$FW$7)</f>
        <v/>
      </c>
      <c r="E51" s="63">
        <f>IF(OR(A51="",D51=""),"",D51-TODAY())</f>
        <v/>
      </c>
      <c r="F51" s="64">
        <f>IF(OR(A51="",D51=""),"",IF(D51&lt;TODAY(),"Süresi geçti",IF(D51&lt;=TODAY()+30,"30 gün içinde",IF(D51&lt;=TODAY()+90,"90 gün içinde","İleride"))))</f>
        <v/>
      </c>
      <c r="G51" s="64">
        <f>IF(A51="","",Firmalar!$H$7)</f>
        <v/>
      </c>
    </row>
    <row r="52" ht="18" customHeight="1">
      <c r="A52" s="61">
        <f>IF(Firmalar!$B$7="","",Firmalar!$B$7)</f>
        <v/>
      </c>
      <c r="B52" s="61">
        <f>IF(Firmalar!$B$7="","",Firmalar!$I$7)</f>
        <v/>
      </c>
      <c r="C52" s="61" t="inlineStr">
        <is>
          <t>İç tetkik planı</t>
        </is>
      </c>
      <c r="D52" s="62">
        <f>IF(Firmalar!$B$7="","",Firmalar!$FX$7)</f>
        <v/>
      </c>
      <c r="E52" s="63">
        <f>IF(OR(A52="",D52=""),"",D52-TODAY())</f>
        <v/>
      </c>
      <c r="F52" s="64">
        <f>IF(OR(A52="",D52=""),"",IF(D52&lt;TODAY(),"Süresi geçti",IF(D52&lt;=TODAY()+30,"30 gün içinde",IF(D52&lt;=TODAY()+90,"90 gün içinde","İleride"))))</f>
        <v/>
      </c>
      <c r="G52" s="64">
        <f>IF(A52="","",Firmalar!$H$7)</f>
        <v/>
      </c>
    </row>
    <row r="53" ht="18" customHeight="1">
      <c r="A53" s="61">
        <f>IF(Firmalar!$B$7="","",Firmalar!$B$7)</f>
        <v/>
      </c>
      <c r="B53" s="61">
        <f>IF(Firmalar!$B$7="","",Firmalar!$I$7)</f>
        <v/>
      </c>
      <c r="C53" s="61" t="inlineStr">
        <is>
          <t>Çevre eğitimi</t>
        </is>
      </c>
      <c r="D53" s="62">
        <f>IF(Firmalar!$B$7="","",Firmalar!$FY$7)</f>
        <v/>
      </c>
      <c r="E53" s="63">
        <f>IF(OR(A53="",D53=""),"",D53-TODAY())</f>
        <v/>
      </c>
      <c r="F53" s="64">
        <f>IF(OR(A53="",D53=""),"",IF(D53&lt;TODAY(),"Süresi geçti",IF(D53&lt;=TODAY()+30,"30 gün içinde",IF(D53&lt;=TODAY()+90,"90 gün içinde","İleride"))))</f>
        <v/>
      </c>
      <c r="G53" s="64">
        <f>IF(A53="","",Firmalar!$H$7)</f>
        <v/>
      </c>
    </row>
    <row r="54" ht="18" customHeight="1">
      <c r="A54" s="61">
        <f>IF(Firmalar!$B$7="","",Firmalar!$B$7)</f>
        <v/>
      </c>
      <c r="B54" s="61">
        <f>IF(Firmalar!$B$7="","",Firmalar!$I$7)</f>
        <v/>
      </c>
      <c r="C54" s="61" t="inlineStr">
        <is>
          <t>Eğitim planı</t>
        </is>
      </c>
      <c r="D54" s="62">
        <f>IF(Firmalar!$B$7="","",Firmalar!$FZ$7)</f>
        <v/>
      </c>
      <c r="E54" s="63">
        <f>IF(OR(A54="",D54=""),"",D54-TODAY())</f>
        <v/>
      </c>
      <c r="F54" s="64">
        <f>IF(OR(A54="",D54=""),"",IF(D54&lt;TODAY(),"Süresi geçti",IF(D54&lt;=TODAY()+30,"30 gün içinde",IF(D54&lt;=TODAY()+90,"90 gün içinde","İleride"))))</f>
        <v/>
      </c>
      <c r="G54" s="64">
        <f>IF(A54="","",Firmalar!$H$7)</f>
        <v/>
      </c>
    </row>
    <row r="55" ht="18" customHeight="1">
      <c r="A55" s="61">
        <f>IF(Firmalar!$B$7="","",Firmalar!$B$7)</f>
        <v/>
      </c>
      <c r="B55" s="61">
        <f>IF(Firmalar!$B$7="","",Firmalar!$I$7)</f>
        <v/>
      </c>
      <c r="C55" s="61" t="inlineStr">
        <is>
          <t>Kanal belgesi bitiş</t>
        </is>
      </c>
      <c r="D55" s="62">
        <f>IF(Firmalar!$B$7="","",Firmalar!$GA$7)</f>
        <v/>
      </c>
      <c r="E55" s="63">
        <f>IF(OR(A55="",D55=""),"",D55-TODAY())</f>
        <v/>
      </c>
      <c r="F55" s="64">
        <f>IF(OR(A55="",D55=""),"",IF(D55&lt;TODAY(),"Süresi geçti",IF(D55&lt;=TODAY()+30,"30 gün içinde",IF(D55&lt;=TODAY()+90,"90 gün içinde","İleride"))))</f>
        <v/>
      </c>
      <c r="G55" s="64">
        <f>IF(A55="","",Firmalar!$H$7)</f>
        <v/>
      </c>
    </row>
    <row r="56" ht="18" customHeight="1">
      <c r="A56" s="61">
        <f>IF(Firmalar!$B$7="","",Firmalar!$B$7)</f>
        <v/>
      </c>
      <c r="B56" s="61">
        <f>IF(Firmalar!$B$7="","",Firmalar!$I$7)</f>
        <v/>
      </c>
      <c r="C56" s="61" t="inlineStr">
        <is>
          <t>Deşarj izni bitiş</t>
        </is>
      </c>
      <c r="D56" s="62">
        <f>IF(Firmalar!$B$7="","",Firmalar!$GB$7)</f>
        <v/>
      </c>
      <c r="E56" s="63">
        <f>IF(OR(A56="",D56=""),"",D56-TODAY())</f>
        <v/>
      </c>
      <c r="F56" s="64">
        <f>IF(OR(A56="",D56=""),"",IF(D56&lt;TODAY(),"Süresi geçti",IF(D56&lt;=TODAY()+30,"30 gün içinde",IF(D56&lt;=TODAY()+90,"90 gün içinde","İleride"))))</f>
        <v/>
      </c>
      <c r="G56" s="64">
        <f>IF(A56="","",Firmalar!$H$7)</f>
        <v/>
      </c>
    </row>
    <row r="57" ht="18" customHeight="1">
      <c r="A57" s="61">
        <f>IF(Firmalar!$B$7="","",Firmalar!$B$7)</f>
        <v/>
      </c>
      <c r="B57" s="61">
        <f>IF(Firmalar!$B$7="","",Firmalar!$I$7)</f>
        <v/>
      </c>
      <c r="C57" s="61" t="inlineStr">
        <is>
          <t>Atıksu analizi</t>
        </is>
      </c>
      <c r="D57" s="62">
        <f>IF(Firmalar!$B$7="","",Firmalar!$GC$7)</f>
        <v/>
      </c>
      <c r="E57" s="63">
        <f>IF(OR(A57="",D57=""),"",D57-TODAY())</f>
        <v/>
      </c>
      <c r="F57" s="64">
        <f>IF(OR(A57="",D57=""),"",IF(D57&lt;TODAY(),"Süresi geçti",IF(D57&lt;=TODAY()+30,"30 gün içinde",IF(D57&lt;=TODAY()+90,"90 gün içinde","İleride"))))</f>
        <v/>
      </c>
      <c r="G57" s="64">
        <f>IF(A57="","",Firmalar!$H$7)</f>
        <v/>
      </c>
    </row>
    <row r="58" ht="18" customHeight="1">
      <c r="A58" s="61">
        <f>IF(Firmalar!$B$7="","",Firmalar!$B$7)</f>
        <v/>
      </c>
      <c r="B58" s="61">
        <f>IF(Firmalar!$B$7="","",Firmalar!$I$7)</f>
        <v/>
      </c>
      <c r="C58" s="61" t="inlineStr">
        <is>
          <t>Saha ziyareti</t>
        </is>
      </c>
      <c r="D58" s="62">
        <f>IF(Firmalar!$B$7="","",Firmalar!$GD$7)</f>
        <v/>
      </c>
      <c r="E58" s="63">
        <f>IF(OR(A58="",D58=""),"",D58-TODAY())</f>
        <v/>
      </c>
      <c r="F58" s="64">
        <f>IF(OR(A58="",D58=""),"",IF(D58&lt;TODAY(),"Süresi geçti",IF(D58&lt;=TODAY()+30,"30 gün içinde",IF(D58&lt;=TODAY()+90,"90 gün içinde","İleride"))))</f>
        <v/>
      </c>
      <c r="G58" s="64">
        <f>IF(A58="","",Firmalar!$H$7)</f>
        <v/>
      </c>
    </row>
    <row r="59" ht="18" customHeight="1">
      <c r="A59" s="61">
        <f>IF(Firmalar!$B$7="","",Firmalar!$B$7)</f>
        <v/>
      </c>
      <c r="B59" s="61">
        <f>IF(Firmalar!$B$7="","",Firmalar!$I$7)</f>
        <v/>
      </c>
      <c r="C59" s="61" t="inlineStr">
        <is>
          <t>Resmî yazı cevabı</t>
        </is>
      </c>
      <c r="D59" s="62">
        <f>IF(Firmalar!$B$7="","",Firmalar!$GE$7)</f>
        <v/>
      </c>
      <c r="E59" s="63">
        <f>IF(OR(A59="",D59=""),"",D59-TODAY())</f>
        <v/>
      </c>
      <c r="F59" s="64">
        <f>IF(OR(A59="",D59=""),"",IF(D59&lt;TODAY(),"Süresi geçti",IF(D59&lt;=TODAY()+30,"30 gün içinde",IF(D59&lt;=TODAY()+90,"90 gün içinde","İleride"))))</f>
        <v/>
      </c>
      <c r="G59" s="64">
        <f>IF(A59="","",Firmalar!$H$7)</f>
        <v/>
      </c>
    </row>
    <row r="60" ht="18" customHeight="1">
      <c r="A60" s="61">
        <f>IF(Firmalar!$B$7="","",Firmalar!$B$7)</f>
        <v/>
      </c>
      <c r="B60" s="61">
        <f>IF(Firmalar!$B$7="","",Firmalar!$I$7)</f>
        <v/>
      </c>
      <c r="C60" s="61" t="inlineStr">
        <is>
          <t>Uygunsuzluk kapanışı</t>
        </is>
      </c>
      <c r="D60" s="62">
        <f>IF(Firmalar!$B$7="","",Firmalar!$GF$7)</f>
        <v/>
      </c>
      <c r="E60" s="63">
        <f>IF(OR(A60="",D60=""),"",D60-TODAY())</f>
        <v/>
      </c>
      <c r="F60" s="64">
        <f>IF(OR(A60="",D60=""),"",IF(D60&lt;TODAY(),"Süresi geçti",IF(D60&lt;=TODAY()+30,"30 gün içinde",IF(D60&lt;=TODAY()+90,"90 gün içinde","İleride"))))</f>
        <v/>
      </c>
      <c r="G60" s="64">
        <f>IF(A60="","",Firmalar!$H$7)</f>
        <v/>
      </c>
    </row>
    <row r="61" ht="18" customHeight="1">
      <c r="A61" s="61">
        <f>IF(Firmalar!$B$7="","",Firmalar!$B$7)</f>
        <v/>
      </c>
      <c r="B61" s="61">
        <f>IF(Firmalar!$B$7="","",Firmalar!$I$7)</f>
        <v/>
      </c>
      <c r="C61" s="61" t="inlineStr">
        <is>
          <t>Öncelikli işlem</t>
        </is>
      </c>
      <c r="D61" s="62">
        <f>IF(Firmalar!$B$7="","",Firmalar!$GG$7)</f>
        <v/>
      </c>
      <c r="E61" s="63">
        <f>IF(OR(A61="",D61=""),"",D61-TODAY())</f>
        <v/>
      </c>
      <c r="F61" s="64">
        <f>IF(OR(A61="",D61=""),"",IF(D61&lt;TODAY(),"Süresi geçti",IF(D61&lt;=TODAY()+30,"30 gün içinde",IF(D61&lt;=TODAY()+90,"90 gün içinde","İleride"))))</f>
        <v/>
      </c>
      <c r="G61" s="64">
        <f>IF(A61="","",Firmalar!$H$7)</f>
        <v/>
      </c>
    </row>
    <row r="62" ht="18" customHeight="1">
      <c r="A62" s="61">
        <f>IF(Firmalar!$B$8="","",Firmalar!$B$8)</f>
        <v/>
      </c>
      <c r="B62" s="61">
        <f>IF(Firmalar!$B$8="","",Firmalar!$I$8)</f>
        <v/>
      </c>
      <c r="C62" s="61" t="inlineStr">
        <is>
          <t>Çevre izni bitiş</t>
        </is>
      </c>
      <c r="D62" s="62">
        <f>IF(Firmalar!$B$8="","",Firmalar!$FO$8)</f>
        <v/>
      </c>
      <c r="E62" s="63">
        <f>IF(OR(A62="",D62=""),"",D62-TODAY())</f>
        <v/>
      </c>
      <c r="F62" s="64">
        <f>IF(OR(A62="",D62=""),"",IF(D62&lt;TODAY(),"Süresi geçti",IF(D62&lt;=TODAY()+30,"30 gün içinde",IF(D62&lt;=TODAY()+90,"90 gün içinde","İleride"))))</f>
        <v/>
      </c>
      <c r="G62" s="64">
        <f>IF(A62="","",Firmalar!$H$8)</f>
        <v/>
      </c>
    </row>
    <row r="63" ht="18" customHeight="1">
      <c r="A63" s="61">
        <f>IF(Firmalar!$B$8="","",Firmalar!$B$8)</f>
        <v/>
      </c>
      <c r="B63" s="61">
        <f>IF(Firmalar!$B$8="","",Firmalar!$I$8)</f>
        <v/>
      </c>
      <c r="C63" s="61" t="inlineStr">
        <is>
          <t>Çevre izni başvurusu</t>
        </is>
      </c>
      <c r="D63" s="62">
        <f>IF(Firmalar!$B$8="","",Firmalar!$FP$8)</f>
        <v/>
      </c>
      <c r="E63" s="63">
        <f>IF(OR(A63="",D63=""),"",D63-TODAY())</f>
        <v/>
      </c>
      <c r="F63" s="64">
        <f>IF(OR(A63="",D63=""),"",IF(D63&lt;TODAY(),"Süresi geçti",IF(D63&lt;=TODAY()+30,"30 gün içinde",IF(D63&lt;=TODAY()+90,"90 gün içinde","İleride"))))</f>
        <v/>
      </c>
      <c r="G63" s="64">
        <f>IF(A63="","",Firmalar!$H$8)</f>
        <v/>
      </c>
    </row>
    <row r="64" ht="18" customHeight="1">
      <c r="A64" s="61">
        <f>IF(Firmalar!$B$8="","",Firmalar!$B$8)</f>
        <v/>
      </c>
      <c r="B64" s="61">
        <f>IF(Firmalar!$B$8="","",Firmalar!$I$8)</f>
        <v/>
      </c>
      <c r="C64" s="61" t="inlineStr">
        <is>
          <t>GFB bitiş</t>
        </is>
      </c>
      <c r="D64" s="62">
        <f>IF(Firmalar!$B$8="","",Firmalar!$FQ$8)</f>
        <v/>
      </c>
      <c r="E64" s="63">
        <f>IF(OR(A64="",D64=""),"",D64-TODAY())</f>
        <v/>
      </c>
      <c r="F64" s="64">
        <f>IF(OR(A64="",D64=""),"",IF(D64&lt;TODAY(),"Süresi geçti",IF(D64&lt;=TODAY()+30,"30 gün içinde",IF(D64&lt;=TODAY()+90,"90 gün içinde","İleride"))))</f>
        <v/>
      </c>
      <c r="G64" s="64">
        <f>IF(A64="","",Firmalar!$H$8)</f>
        <v/>
      </c>
    </row>
    <row r="65" ht="18" customHeight="1">
      <c r="A65" s="61">
        <f>IF(Firmalar!$B$8="","",Firmalar!$B$8)</f>
        <v/>
      </c>
      <c r="B65" s="61">
        <f>IF(Firmalar!$B$8="","",Firmalar!$I$8)</f>
        <v/>
      </c>
      <c r="C65" s="61" t="inlineStr">
        <is>
          <t>Sözleşme bitiş</t>
        </is>
      </c>
      <c r="D65" s="62">
        <f>IF(Firmalar!$B$8="","",Firmalar!$FR$8)</f>
        <v/>
      </c>
      <c r="E65" s="63">
        <f>IF(OR(A65="",D65=""),"",D65-TODAY())</f>
        <v/>
      </c>
      <c r="F65" s="64">
        <f>IF(OR(A65="",D65=""),"",IF(D65&lt;TODAY(),"Süresi geçti",IF(D65&lt;=TODAY()+30,"30 gün içinde",IF(D65&lt;=TODAY()+90,"90 gün içinde","İleride"))))</f>
        <v/>
      </c>
      <c r="G65" s="64">
        <f>IF(A65="","",Firmalar!$H$8)</f>
        <v/>
      </c>
    </row>
    <row r="66" ht="18" customHeight="1">
      <c r="A66" s="61">
        <f>IF(Firmalar!$B$8="","",Firmalar!$B$8)</f>
        <v/>
      </c>
      <c r="B66" s="61">
        <f>IF(Firmalar!$B$8="","",Firmalar!$I$8)</f>
        <v/>
      </c>
      <c r="C66" s="61" t="inlineStr">
        <is>
          <t>Sıfır Atık bitiş</t>
        </is>
      </c>
      <c r="D66" s="62">
        <f>IF(Firmalar!$B$8="","",Firmalar!$FS$8)</f>
        <v/>
      </c>
      <c r="E66" s="63">
        <f>IF(OR(A66="",D66=""),"",D66-TODAY())</f>
        <v/>
      </c>
      <c r="F66" s="64">
        <f>IF(OR(A66="",D66=""),"",IF(D66&lt;TODAY(),"Süresi geçti",IF(D66&lt;=TODAY()+30,"30 gün içinde",IF(D66&lt;=TODAY()+90,"90 gün içinde","İleride"))))</f>
        <v/>
      </c>
      <c r="G66" s="64">
        <f>IF(A66="","",Firmalar!$H$8)</f>
        <v/>
      </c>
    </row>
    <row r="67" ht="18" customHeight="1">
      <c r="A67" s="61">
        <f>IF(Firmalar!$B$8="","",Firmalar!$B$8)</f>
        <v/>
      </c>
      <c r="B67" s="61">
        <f>IF(Firmalar!$B$8="","",Firmalar!$I$8)</f>
        <v/>
      </c>
      <c r="C67" s="61" t="inlineStr">
        <is>
          <t>Atık planı bitiş</t>
        </is>
      </c>
      <c r="D67" s="62">
        <f>IF(Firmalar!$B$8="","",Firmalar!$FT$8)</f>
        <v/>
      </c>
      <c r="E67" s="63">
        <f>IF(OR(A67="",D67=""),"",D67-TODAY())</f>
        <v/>
      </c>
      <c r="F67" s="64">
        <f>IF(OR(A67="",D67=""),"",IF(D67&lt;TODAY(),"Süresi geçti",IF(D67&lt;=TODAY()+30,"30 gün içinde",IF(D67&lt;=TODAY()+90,"90 gün içinde","İleride"))))</f>
        <v/>
      </c>
      <c r="G67" s="64">
        <f>IF(A67="","",Firmalar!$H$8)</f>
        <v/>
      </c>
    </row>
    <row r="68" ht="18" customHeight="1">
      <c r="A68" s="61">
        <f>IF(Firmalar!$B$8="","",Firmalar!$B$8)</f>
        <v/>
      </c>
      <c r="B68" s="61">
        <f>IF(Firmalar!$B$8="","",Firmalar!$I$8)</f>
        <v/>
      </c>
      <c r="C68" s="61" t="inlineStr">
        <is>
          <t>Emisyon teyidi</t>
        </is>
      </c>
      <c r="D68" s="62">
        <f>IF(Firmalar!$B$8="","",Firmalar!$FU$8)</f>
        <v/>
      </c>
      <c r="E68" s="63">
        <f>IF(OR(A68="",D68=""),"",D68-TODAY())</f>
        <v/>
      </c>
      <c r="F68" s="64">
        <f>IF(OR(A68="",D68=""),"",IF(D68&lt;TODAY(),"Süresi geçti",IF(D68&lt;=TODAY()+30,"30 gün içinde",IF(D68&lt;=TODAY()+90,"90 gün içinde","İleride"))))</f>
        <v/>
      </c>
      <c r="G68" s="64">
        <f>IF(A68="","",Firmalar!$H$8)</f>
        <v/>
      </c>
    </row>
    <row r="69" ht="18" customHeight="1">
      <c r="A69" s="61">
        <f>IF(Firmalar!$B$8="","",Firmalar!$B$8)</f>
        <v/>
      </c>
      <c r="B69" s="61">
        <f>IF(Firmalar!$B$8="","",Firmalar!$I$8)</f>
        <v/>
      </c>
      <c r="C69" s="61" t="inlineStr">
        <is>
          <t>Emisyon ölçümü</t>
        </is>
      </c>
      <c r="D69" s="62">
        <f>IF(Firmalar!$B$8="","",Firmalar!$FV$8)</f>
        <v/>
      </c>
      <c r="E69" s="63">
        <f>IF(OR(A69="",D69=""),"",D69-TODAY())</f>
        <v/>
      </c>
      <c r="F69" s="64">
        <f>IF(OR(A69="",D69=""),"",IF(D69&lt;TODAY(),"Süresi geçti",IF(D69&lt;=TODAY()+30,"30 gün içinde",IF(D69&lt;=TODAY()+90,"90 gün içinde","İleride"))))</f>
        <v/>
      </c>
      <c r="G69" s="64">
        <f>IF(A69="","",Firmalar!$H$8)</f>
        <v/>
      </c>
    </row>
    <row r="70" ht="18" customHeight="1">
      <c r="A70" s="61">
        <f>IF(Firmalar!$B$8="","",Firmalar!$B$8)</f>
        <v/>
      </c>
      <c r="B70" s="61">
        <f>IF(Firmalar!$B$8="","",Firmalar!$I$8)</f>
        <v/>
      </c>
      <c r="C70" s="61" t="inlineStr">
        <is>
          <t>İç tetkik</t>
        </is>
      </c>
      <c r="D70" s="62">
        <f>IF(Firmalar!$B$8="","",Firmalar!$FW$8)</f>
        <v/>
      </c>
      <c r="E70" s="63">
        <f>IF(OR(A70="",D70=""),"",D70-TODAY())</f>
        <v/>
      </c>
      <c r="F70" s="64">
        <f>IF(OR(A70="",D70=""),"",IF(D70&lt;TODAY(),"Süresi geçti",IF(D70&lt;=TODAY()+30,"30 gün içinde",IF(D70&lt;=TODAY()+90,"90 gün içinde","İleride"))))</f>
        <v/>
      </c>
      <c r="G70" s="64">
        <f>IF(A70="","",Firmalar!$H$8)</f>
        <v/>
      </c>
    </row>
    <row r="71" ht="18" customHeight="1">
      <c r="A71" s="61">
        <f>IF(Firmalar!$B$8="","",Firmalar!$B$8)</f>
        <v/>
      </c>
      <c r="B71" s="61">
        <f>IF(Firmalar!$B$8="","",Firmalar!$I$8)</f>
        <v/>
      </c>
      <c r="C71" s="61" t="inlineStr">
        <is>
          <t>İç tetkik planı</t>
        </is>
      </c>
      <c r="D71" s="62">
        <f>IF(Firmalar!$B$8="","",Firmalar!$FX$8)</f>
        <v/>
      </c>
      <c r="E71" s="63">
        <f>IF(OR(A71="",D71=""),"",D71-TODAY())</f>
        <v/>
      </c>
      <c r="F71" s="64">
        <f>IF(OR(A71="",D71=""),"",IF(D71&lt;TODAY(),"Süresi geçti",IF(D71&lt;=TODAY()+30,"30 gün içinde",IF(D71&lt;=TODAY()+90,"90 gün içinde","İleride"))))</f>
        <v/>
      </c>
      <c r="G71" s="64">
        <f>IF(A71="","",Firmalar!$H$8)</f>
        <v/>
      </c>
    </row>
    <row r="72" ht="18" customHeight="1">
      <c r="A72" s="61">
        <f>IF(Firmalar!$B$8="","",Firmalar!$B$8)</f>
        <v/>
      </c>
      <c r="B72" s="61">
        <f>IF(Firmalar!$B$8="","",Firmalar!$I$8)</f>
        <v/>
      </c>
      <c r="C72" s="61" t="inlineStr">
        <is>
          <t>Çevre eğitimi</t>
        </is>
      </c>
      <c r="D72" s="62">
        <f>IF(Firmalar!$B$8="","",Firmalar!$FY$8)</f>
        <v/>
      </c>
      <c r="E72" s="63">
        <f>IF(OR(A72="",D72=""),"",D72-TODAY())</f>
        <v/>
      </c>
      <c r="F72" s="64">
        <f>IF(OR(A72="",D72=""),"",IF(D72&lt;TODAY(),"Süresi geçti",IF(D72&lt;=TODAY()+30,"30 gün içinde",IF(D72&lt;=TODAY()+90,"90 gün içinde","İleride"))))</f>
        <v/>
      </c>
      <c r="G72" s="64">
        <f>IF(A72="","",Firmalar!$H$8)</f>
        <v/>
      </c>
    </row>
    <row r="73" ht="18" customHeight="1">
      <c r="A73" s="61">
        <f>IF(Firmalar!$B$8="","",Firmalar!$B$8)</f>
        <v/>
      </c>
      <c r="B73" s="61">
        <f>IF(Firmalar!$B$8="","",Firmalar!$I$8)</f>
        <v/>
      </c>
      <c r="C73" s="61" t="inlineStr">
        <is>
          <t>Eğitim planı</t>
        </is>
      </c>
      <c r="D73" s="62">
        <f>IF(Firmalar!$B$8="","",Firmalar!$FZ$8)</f>
        <v/>
      </c>
      <c r="E73" s="63">
        <f>IF(OR(A73="",D73=""),"",D73-TODAY())</f>
        <v/>
      </c>
      <c r="F73" s="64">
        <f>IF(OR(A73="",D73=""),"",IF(D73&lt;TODAY(),"Süresi geçti",IF(D73&lt;=TODAY()+30,"30 gün içinde",IF(D73&lt;=TODAY()+90,"90 gün içinde","İleride"))))</f>
        <v/>
      </c>
      <c r="G73" s="64">
        <f>IF(A73="","",Firmalar!$H$8)</f>
        <v/>
      </c>
    </row>
    <row r="74" ht="18" customHeight="1">
      <c r="A74" s="61">
        <f>IF(Firmalar!$B$8="","",Firmalar!$B$8)</f>
        <v/>
      </c>
      <c r="B74" s="61">
        <f>IF(Firmalar!$B$8="","",Firmalar!$I$8)</f>
        <v/>
      </c>
      <c r="C74" s="61" t="inlineStr">
        <is>
          <t>Kanal belgesi bitiş</t>
        </is>
      </c>
      <c r="D74" s="62">
        <f>IF(Firmalar!$B$8="","",Firmalar!$GA$8)</f>
        <v/>
      </c>
      <c r="E74" s="63">
        <f>IF(OR(A74="",D74=""),"",D74-TODAY())</f>
        <v/>
      </c>
      <c r="F74" s="64">
        <f>IF(OR(A74="",D74=""),"",IF(D74&lt;TODAY(),"Süresi geçti",IF(D74&lt;=TODAY()+30,"30 gün içinde",IF(D74&lt;=TODAY()+90,"90 gün içinde","İleride"))))</f>
        <v/>
      </c>
      <c r="G74" s="64">
        <f>IF(A74="","",Firmalar!$H$8)</f>
        <v/>
      </c>
    </row>
    <row r="75" ht="18" customHeight="1">
      <c r="A75" s="61">
        <f>IF(Firmalar!$B$8="","",Firmalar!$B$8)</f>
        <v/>
      </c>
      <c r="B75" s="61">
        <f>IF(Firmalar!$B$8="","",Firmalar!$I$8)</f>
        <v/>
      </c>
      <c r="C75" s="61" t="inlineStr">
        <is>
          <t>Deşarj izni bitiş</t>
        </is>
      </c>
      <c r="D75" s="62">
        <f>IF(Firmalar!$B$8="","",Firmalar!$GB$8)</f>
        <v/>
      </c>
      <c r="E75" s="63">
        <f>IF(OR(A75="",D75=""),"",D75-TODAY())</f>
        <v/>
      </c>
      <c r="F75" s="64">
        <f>IF(OR(A75="",D75=""),"",IF(D75&lt;TODAY(),"Süresi geçti",IF(D75&lt;=TODAY()+30,"30 gün içinde",IF(D75&lt;=TODAY()+90,"90 gün içinde","İleride"))))</f>
        <v/>
      </c>
      <c r="G75" s="64">
        <f>IF(A75="","",Firmalar!$H$8)</f>
        <v/>
      </c>
    </row>
    <row r="76" ht="18" customHeight="1">
      <c r="A76" s="61">
        <f>IF(Firmalar!$B$8="","",Firmalar!$B$8)</f>
        <v/>
      </c>
      <c r="B76" s="61">
        <f>IF(Firmalar!$B$8="","",Firmalar!$I$8)</f>
        <v/>
      </c>
      <c r="C76" s="61" t="inlineStr">
        <is>
          <t>Atıksu analizi</t>
        </is>
      </c>
      <c r="D76" s="62">
        <f>IF(Firmalar!$B$8="","",Firmalar!$GC$8)</f>
        <v/>
      </c>
      <c r="E76" s="63">
        <f>IF(OR(A76="",D76=""),"",D76-TODAY())</f>
        <v/>
      </c>
      <c r="F76" s="64">
        <f>IF(OR(A76="",D76=""),"",IF(D76&lt;TODAY(),"Süresi geçti",IF(D76&lt;=TODAY()+30,"30 gün içinde",IF(D76&lt;=TODAY()+90,"90 gün içinde","İleride"))))</f>
        <v/>
      </c>
      <c r="G76" s="64">
        <f>IF(A76="","",Firmalar!$H$8)</f>
        <v/>
      </c>
    </row>
    <row r="77" ht="18" customHeight="1">
      <c r="A77" s="61">
        <f>IF(Firmalar!$B$8="","",Firmalar!$B$8)</f>
        <v/>
      </c>
      <c r="B77" s="61">
        <f>IF(Firmalar!$B$8="","",Firmalar!$I$8)</f>
        <v/>
      </c>
      <c r="C77" s="61" t="inlineStr">
        <is>
          <t>Saha ziyareti</t>
        </is>
      </c>
      <c r="D77" s="62">
        <f>IF(Firmalar!$B$8="","",Firmalar!$GD$8)</f>
        <v/>
      </c>
      <c r="E77" s="63">
        <f>IF(OR(A77="",D77=""),"",D77-TODAY())</f>
        <v/>
      </c>
      <c r="F77" s="64">
        <f>IF(OR(A77="",D77=""),"",IF(D77&lt;TODAY(),"Süresi geçti",IF(D77&lt;=TODAY()+30,"30 gün içinde",IF(D77&lt;=TODAY()+90,"90 gün içinde","İleride"))))</f>
        <v/>
      </c>
      <c r="G77" s="64">
        <f>IF(A77="","",Firmalar!$H$8)</f>
        <v/>
      </c>
    </row>
    <row r="78" ht="18" customHeight="1">
      <c r="A78" s="61">
        <f>IF(Firmalar!$B$8="","",Firmalar!$B$8)</f>
        <v/>
      </c>
      <c r="B78" s="61">
        <f>IF(Firmalar!$B$8="","",Firmalar!$I$8)</f>
        <v/>
      </c>
      <c r="C78" s="61" t="inlineStr">
        <is>
          <t>Resmî yazı cevabı</t>
        </is>
      </c>
      <c r="D78" s="62">
        <f>IF(Firmalar!$B$8="","",Firmalar!$GE$8)</f>
        <v/>
      </c>
      <c r="E78" s="63">
        <f>IF(OR(A78="",D78=""),"",D78-TODAY())</f>
        <v/>
      </c>
      <c r="F78" s="64">
        <f>IF(OR(A78="",D78=""),"",IF(D78&lt;TODAY(),"Süresi geçti",IF(D78&lt;=TODAY()+30,"30 gün içinde",IF(D78&lt;=TODAY()+90,"90 gün içinde","İleride"))))</f>
        <v/>
      </c>
      <c r="G78" s="64">
        <f>IF(A78="","",Firmalar!$H$8)</f>
        <v/>
      </c>
    </row>
    <row r="79" ht="18" customHeight="1">
      <c r="A79" s="61">
        <f>IF(Firmalar!$B$8="","",Firmalar!$B$8)</f>
        <v/>
      </c>
      <c r="B79" s="61">
        <f>IF(Firmalar!$B$8="","",Firmalar!$I$8)</f>
        <v/>
      </c>
      <c r="C79" s="61" t="inlineStr">
        <is>
          <t>Uygunsuzluk kapanışı</t>
        </is>
      </c>
      <c r="D79" s="62">
        <f>IF(Firmalar!$B$8="","",Firmalar!$GF$8)</f>
        <v/>
      </c>
      <c r="E79" s="63">
        <f>IF(OR(A79="",D79=""),"",D79-TODAY())</f>
        <v/>
      </c>
      <c r="F79" s="64">
        <f>IF(OR(A79="",D79=""),"",IF(D79&lt;TODAY(),"Süresi geçti",IF(D79&lt;=TODAY()+30,"30 gün içinde",IF(D79&lt;=TODAY()+90,"90 gün içinde","İleride"))))</f>
        <v/>
      </c>
      <c r="G79" s="64">
        <f>IF(A79="","",Firmalar!$H$8)</f>
        <v/>
      </c>
    </row>
    <row r="80" ht="18" customHeight="1">
      <c r="A80" s="61">
        <f>IF(Firmalar!$B$8="","",Firmalar!$B$8)</f>
        <v/>
      </c>
      <c r="B80" s="61">
        <f>IF(Firmalar!$B$8="","",Firmalar!$I$8)</f>
        <v/>
      </c>
      <c r="C80" s="61" t="inlineStr">
        <is>
          <t>Öncelikli işlem</t>
        </is>
      </c>
      <c r="D80" s="62">
        <f>IF(Firmalar!$B$8="","",Firmalar!$GG$8)</f>
        <v/>
      </c>
      <c r="E80" s="63">
        <f>IF(OR(A80="",D80=""),"",D80-TODAY())</f>
        <v/>
      </c>
      <c r="F80" s="64">
        <f>IF(OR(A80="",D80=""),"",IF(D80&lt;TODAY(),"Süresi geçti",IF(D80&lt;=TODAY()+30,"30 gün içinde",IF(D80&lt;=TODAY()+90,"90 gün içinde","İleride"))))</f>
        <v/>
      </c>
      <c r="G80" s="64">
        <f>IF(A80="","",Firmalar!$H$8)</f>
        <v/>
      </c>
    </row>
    <row r="81" ht="18" customHeight="1">
      <c r="A81" s="61">
        <f>IF(Firmalar!$B$9="","",Firmalar!$B$9)</f>
        <v/>
      </c>
      <c r="B81" s="61">
        <f>IF(Firmalar!$B$9="","",Firmalar!$I$9)</f>
        <v/>
      </c>
      <c r="C81" s="61" t="inlineStr">
        <is>
          <t>Çevre izni bitiş</t>
        </is>
      </c>
      <c r="D81" s="62">
        <f>IF(Firmalar!$B$9="","",Firmalar!$FO$9)</f>
        <v/>
      </c>
      <c r="E81" s="63">
        <f>IF(OR(A81="",D81=""),"",D81-TODAY())</f>
        <v/>
      </c>
      <c r="F81" s="64">
        <f>IF(OR(A81="",D81=""),"",IF(D81&lt;TODAY(),"Süresi geçti",IF(D81&lt;=TODAY()+30,"30 gün içinde",IF(D81&lt;=TODAY()+90,"90 gün içinde","İleride"))))</f>
        <v/>
      </c>
      <c r="G81" s="64">
        <f>IF(A81="","",Firmalar!$H$9)</f>
        <v/>
      </c>
    </row>
    <row r="82" ht="18" customHeight="1">
      <c r="A82" s="61">
        <f>IF(Firmalar!$B$9="","",Firmalar!$B$9)</f>
        <v/>
      </c>
      <c r="B82" s="61">
        <f>IF(Firmalar!$B$9="","",Firmalar!$I$9)</f>
        <v/>
      </c>
      <c r="C82" s="61" t="inlineStr">
        <is>
          <t>Çevre izni başvurusu</t>
        </is>
      </c>
      <c r="D82" s="62">
        <f>IF(Firmalar!$B$9="","",Firmalar!$FP$9)</f>
        <v/>
      </c>
      <c r="E82" s="63">
        <f>IF(OR(A82="",D82=""),"",D82-TODAY())</f>
        <v/>
      </c>
      <c r="F82" s="64">
        <f>IF(OR(A82="",D82=""),"",IF(D82&lt;TODAY(),"Süresi geçti",IF(D82&lt;=TODAY()+30,"30 gün içinde",IF(D82&lt;=TODAY()+90,"90 gün içinde","İleride"))))</f>
        <v/>
      </c>
      <c r="G82" s="64">
        <f>IF(A82="","",Firmalar!$H$9)</f>
        <v/>
      </c>
    </row>
    <row r="83" ht="18" customHeight="1">
      <c r="A83" s="61">
        <f>IF(Firmalar!$B$9="","",Firmalar!$B$9)</f>
        <v/>
      </c>
      <c r="B83" s="61">
        <f>IF(Firmalar!$B$9="","",Firmalar!$I$9)</f>
        <v/>
      </c>
      <c r="C83" s="61" t="inlineStr">
        <is>
          <t>GFB bitiş</t>
        </is>
      </c>
      <c r="D83" s="62">
        <f>IF(Firmalar!$B$9="","",Firmalar!$FQ$9)</f>
        <v/>
      </c>
      <c r="E83" s="63">
        <f>IF(OR(A83="",D83=""),"",D83-TODAY())</f>
        <v/>
      </c>
      <c r="F83" s="64">
        <f>IF(OR(A83="",D83=""),"",IF(D83&lt;TODAY(),"Süresi geçti",IF(D83&lt;=TODAY()+30,"30 gün içinde",IF(D83&lt;=TODAY()+90,"90 gün içinde","İleride"))))</f>
        <v/>
      </c>
      <c r="G83" s="64">
        <f>IF(A83="","",Firmalar!$H$9)</f>
        <v/>
      </c>
    </row>
    <row r="84" ht="18" customHeight="1">
      <c r="A84" s="61">
        <f>IF(Firmalar!$B$9="","",Firmalar!$B$9)</f>
        <v/>
      </c>
      <c r="B84" s="61">
        <f>IF(Firmalar!$B$9="","",Firmalar!$I$9)</f>
        <v/>
      </c>
      <c r="C84" s="61" t="inlineStr">
        <is>
          <t>Sözleşme bitiş</t>
        </is>
      </c>
      <c r="D84" s="62">
        <f>IF(Firmalar!$B$9="","",Firmalar!$FR$9)</f>
        <v/>
      </c>
      <c r="E84" s="63">
        <f>IF(OR(A84="",D84=""),"",D84-TODAY())</f>
        <v/>
      </c>
      <c r="F84" s="64">
        <f>IF(OR(A84="",D84=""),"",IF(D84&lt;TODAY(),"Süresi geçti",IF(D84&lt;=TODAY()+30,"30 gün içinde",IF(D84&lt;=TODAY()+90,"90 gün içinde","İleride"))))</f>
        <v/>
      </c>
      <c r="G84" s="64">
        <f>IF(A84="","",Firmalar!$H$9)</f>
        <v/>
      </c>
    </row>
    <row r="85" ht="18" customHeight="1">
      <c r="A85" s="61">
        <f>IF(Firmalar!$B$9="","",Firmalar!$B$9)</f>
        <v/>
      </c>
      <c r="B85" s="61">
        <f>IF(Firmalar!$B$9="","",Firmalar!$I$9)</f>
        <v/>
      </c>
      <c r="C85" s="61" t="inlineStr">
        <is>
          <t>Sıfır Atık bitiş</t>
        </is>
      </c>
      <c r="D85" s="62">
        <f>IF(Firmalar!$B$9="","",Firmalar!$FS$9)</f>
        <v/>
      </c>
      <c r="E85" s="63">
        <f>IF(OR(A85="",D85=""),"",D85-TODAY())</f>
        <v/>
      </c>
      <c r="F85" s="64">
        <f>IF(OR(A85="",D85=""),"",IF(D85&lt;TODAY(),"Süresi geçti",IF(D85&lt;=TODAY()+30,"30 gün içinde",IF(D85&lt;=TODAY()+90,"90 gün içinde","İleride"))))</f>
        <v/>
      </c>
      <c r="G85" s="64">
        <f>IF(A85="","",Firmalar!$H$9)</f>
        <v/>
      </c>
    </row>
    <row r="86" ht="18" customHeight="1">
      <c r="A86" s="61">
        <f>IF(Firmalar!$B$9="","",Firmalar!$B$9)</f>
        <v/>
      </c>
      <c r="B86" s="61">
        <f>IF(Firmalar!$B$9="","",Firmalar!$I$9)</f>
        <v/>
      </c>
      <c r="C86" s="61" t="inlineStr">
        <is>
          <t>Atık planı bitiş</t>
        </is>
      </c>
      <c r="D86" s="62">
        <f>IF(Firmalar!$B$9="","",Firmalar!$FT$9)</f>
        <v/>
      </c>
      <c r="E86" s="63">
        <f>IF(OR(A86="",D86=""),"",D86-TODAY())</f>
        <v/>
      </c>
      <c r="F86" s="64">
        <f>IF(OR(A86="",D86=""),"",IF(D86&lt;TODAY(),"Süresi geçti",IF(D86&lt;=TODAY()+30,"30 gün içinde",IF(D86&lt;=TODAY()+90,"90 gün içinde","İleride"))))</f>
        <v/>
      </c>
      <c r="G86" s="64">
        <f>IF(A86="","",Firmalar!$H$9)</f>
        <v/>
      </c>
    </row>
    <row r="87" ht="18" customHeight="1">
      <c r="A87" s="61">
        <f>IF(Firmalar!$B$9="","",Firmalar!$B$9)</f>
        <v/>
      </c>
      <c r="B87" s="61">
        <f>IF(Firmalar!$B$9="","",Firmalar!$I$9)</f>
        <v/>
      </c>
      <c r="C87" s="61" t="inlineStr">
        <is>
          <t>Emisyon teyidi</t>
        </is>
      </c>
      <c r="D87" s="62">
        <f>IF(Firmalar!$B$9="","",Firmalar!$FU$9)</f>
        <v/>
      </c>
      <c r="E87" s="63">
        <f>IF(OR(A87="",D87=""),"",D87-TODAY())</f>
        <v/>
      </c>
      <c r="F87" s="64">
        <f>IF(OR(A87="",D87=""),"",IF(D87&lt;TODAY(),"Süresi geçti",IF(D87&lt;=TODAY()+30,"30 gün içinde",IF(D87&lt;=TODAY()+90,"90 gün içinde","İleride"))))</f>
        <v/>
      </c>
      <c r="G87" s="64">
        <f>IF(A87="","",Firmalar!$H$9)</f>
        <v/>
      </c>
    </row>
    <row r="88" ht="18" customHeight="1">
      <c r="A88" s="61">
        <f>IF(Firmalar!$B$9="","",Firmalar!$B$9)</f>
        <v/>
      </c>
      <c r="B88" s="61">
        <f>IF(Firmalar!$B$9="","",Firmalar!$I$9)</f>
        <v/>
      </c>
      <c r="C88" s="61" t="inlineStr">
        <is>
          <t>Emisyon ölçümü</t>
        </is>
      </c>
      <c r="D88" s="62">
        <f>IF(Firmalar!$B$9="","",Firmalar!$FV$9)</f>
        <v/>
      </c>
      <c r="E88" s="63">
        <f>IF(OR(A88="",D88=""),"",D88-TODAY())</f>
        <v/>
      </c>
      <c r="F88" s="64">
        <f>IF(OR(A88="",D88=""),"",IF(D88&lt;TODAY(),"Süresi geçti",IF(D88&lt;=TODAY()+30,"30 gün içinde",IF(D88&lt;=TODAY()+90,"90 gün içinde","İleride"))))</f>
        <v/>
      </c>
      <c r="G88" s="64">
        <f>IF(A88="","",Firmalar!$H$9)</f>
        <v/>
      </c>
    </row>
    <row r="89" ht="18" customHeight="1">
      <c r="A89" s="61">
        <f>IF(Firmalar!$B$9="","",Firmalar!$B$9)</f>
        <v/>
      </c>
      <c r="B89" s="61">
        <f>IF(Firmalar!$B$9="","",Firmalar!$I$9)</f>
        <v/>
      </c>
      <c r="C89" s="61" t="inlineStr">
        <is>
          <t>İç tetkik</t>
        </is>
      </c>
      <c r="D89" s="62">
        <f>IF(Firmalar!$B$9="","",Firmalar!$FW$9)</f>
        <v/>
      </c>
      <c r="E89" s="63">
        <f>IF(OR(A89="",D89=""),"",D89-TODAY())</f>
        <v/>
      </c>
      <c r="F89" s="64">
        <f>IF(OR(A89="",D89=""),"",IF(D89&lt;TODAY(),"Süresi geçti",IF(D89&lt;=TODAY()+30,"30 gün içinde",IF(D89&lt;=TODAY()+90,"90 gün içinde","İleride"))))</f>
        <v/>
      </c>
      <c r="G89" s="64">
        <f>IF(A89="","",Firmalar!$H$9)</f>
        <v/>
      </c>
    </row>
    <row r="90" ht="18" customHeight="1">
      <c r="A90" s="61">
        <f>IF(Firmalar!$B$9="","",Firmalar!$B$9)</f>
        <v/>
      </c>
      <c r="B90" s="61">
        <f>IF(Firmalar!$B$9="","",Firmalar!$I$9)</f>
        <v/>
      </c>
      <c r="C90" s="61" t="inlineStr">
        <is>
          <t>İç tetkik planı</t>
        </is>
      </c>
      <c r="D90" s="62">
        <f>IF(Firmalar!$B$9="","",Firmalar!$FX$9)</f>
        <v/>
      </c>
      <c r="E90" s="63">
        <f>IF(OR(A90="",D90=""),"",D90-TODAY())</f>
        <v/>
      </c>
      <c r="F90" s="64">
        <f>IF(OR(A90="",D90=""),"",IF(D90&lt;TODAY(),"Süresi geçti",IF(D90&lt;=TODAY()+30,"30 gün içinde",IF(D90&lt;=TODAY()+90,"90 gün içinde","İleride"))))</f>
        <v/>
      </c>
      <c r="G90" s="64">
        <f>IF(A90="","",Firmalar!$H$9)</f>
        <v/>
      </c>
    </row>
    <row r="91" ht="18" customHeight="1">
      <c r="A91" s="61">
        <f>IF(Firmalar!$B$9="","",Firmalar!$B$9)</f>
        <v/>
      </c>
      <c r="B91" s="61">
        <f>IF(Firmalar!$B$9="","",Firmalar!$I$9)</f>
        <v/>
      </c>
      <c r="C91" s="61" t="inlineStr">
        <is>
          <t>Çevre eğitimi</t>
        </is>
      </c>
      <c r="D91" s="62">
        <f>IF(Firmalar!$B$9="","",Firmalar!$FY$9)</f>
        <v/>
      </c>
      <c r="E91" s="63">
        <f>IF(OR(A91="",D91=""),"",D91-TODAY())</f>
        <v/>
      </c>
      <c r="F91" s="64">
        <f>IF(OR(A91="",D91=""),"",IF(D91&lt;TODAY(),"Süresi geçti",IF(D91&lt;=TODAY()+30,"30 gün içinde",IF(D91&lt;=TODAY()+90,"90 gün içinde","İleride"))))</f>
        <v/>
      </c>
      <c r="G91" s="64">
        <f>IF(A91="","",Firmalar!$H$9)</f>
        <v/>
      </c>
    </row>
    <row r="92" ht="18" customHeight="1">
      <c r="A92" s="61">
        <f>IF(Firmalar!$B$9="","",Firmalar!$B$9)</f>
        <v/>
      </c>
      <c r="B92" s="61">
        <f>IF(Firmalar!$B$9="","",Firmalar!$I$9)</f>
        <v/>
      </c>
      <c r="C92" s="61" t="inlineStr">
        <is>
          <t>Eğitim planı</t>
        </is>
      </c>
      <c r="D92" s="62">
        <f>IF(Firmalar!$B$9="","",Firmalar!$FZ$9)</f>
        <v/>
      </c>
      <c r="E92" s="63">
        <f>IF(OR(A92="",D92=""),"",D92-TODAY())</f>
        <v/>
      </c>
      <c r="F92" s="64">
        <f>IF(OR(A92="",D92=""),"",IF(D92&lt;TODAY(),"Süresi geçti",IF(D92&lt;=TODAY()+30,"30 gün içinde",IF(D92&lt;=TODAY()+90,"90 gün içinde","İleride"))))</f>
        <v/>
      </c>
      <c r="G92" s="64">
        <f>IF(A92="","",Firmalar!$H$9)</f>
        <v/>
      </c>
    </row>
    <row r="93" ht="18" customHeight="1">
      <c r="A93" s="61">
        <f>IF(Firmalar!$B$9="","",Firmalar!$B$9)</f>
        <v/>
      </c>
      <c r="B93" s="61">
        <f>IF(Firmalar!$B$9="","",Firmalar!$I$9)</f>
        <v/>
      </c>
      <c r="C93" s="61" t="inlineStr">
        <is>
          <t>Kanal belgesi bitiş</t>
        </is>
      </c>
      <c r="D93" s="62">
        <f>IF(Firmalar!$B$9="","",Firmalar!$GA$9)</f>
        <v/>
      </c>
      <c r="E93" s="63">
        <f>IF(OR(A93="",D93=""),"",D93-TODAY())</f>
        <v/>
      </c>
      <c r="F93" s="64">
        <f>IF(OR(A93="",D93=""),"",IF(D93&lt;TODAY(),"Süresi geçti",IF(D93&lt;=TODAY()+30,"30 gün içinde",IF(D93&lt;=TODAY()+90,"90 gün içinde","İleride"))))</f>
        <v/>
      </c>
      <c r="G93" s="64">
        <f>IF(A93="","",Firmalar!$H$9)</f>
        <v/>
      </c>
    </row>
    <row r="94" ht="18" customHeight="1">
      <c r="A94" s="61">
        <f>IF(Firmalar!$B$9="","",Firmalar!$B$9)</f>
        <v/>
      </c>
      <c r="B94" s="61">
        <f>IF(Firmalar!$B$9="","",Firmalar!$I$9)</f>
        <v/>
      </c>
      <c r="C94" s="61" t="inlineStr">
        <is>
          <t>Deşarj izni bitiş</t>
        </is>
      </c>
      <c r="D94" s="62">
        <f>IF(Firmalar!$B$9="","",Firmalar!$GB$9)</f>
        <v/>
      </c>
      <c r="E94" s="63">
        <f>IF(OR(A94="",D94=""),"",D94-TODAY())</f>
        <v/>
      </c>
      <c r="F94" s="64">
        <f>IF(OR(A94="",D94=""),"",IF(D94&lt;TODAY(),"Süresi geçti",IF(D94&lt;=TODAY()+30,"30 gün içinde",IF(D94&lt;=TODAY()+90,"90 gün içinde","İleride"))))</f>
        <v/>
      </c>
      <c r="G94" s="64">
        <f>IF(A94="","",Firmalar!$H$9)</f>
        <v/>
      </c>
    </row>
    <row r="95" ht="18" customHeight="1">
      <c r="A95" s="61">
        <f>IF(Firmalar!$B$9="","",Firmalar!$B$9)</f>
        <v/>
      </c>
      <c r="B95" s="61">
        <f>IF(Firmalar!$B$9="","",Firmalar!$I$9)</f>
        <v/>
      </c>
      <c r="C95" s="61" t="inlineStr">
        <is>
          <t>Atıksu analizi</t>
        </is>
      </c>
      <c r="D95" s="62">
        <f>IF(Firmalar!$B$9="","",Firmalar!$GC$9)</f>
        <v/>
      </c>
      <c r="E95" s="63">
        <f>IF(OR(A95="",D95=""),"",D95-TODAY())</f>
        <v/>
      </c>
      <c r="F95" s="64">
        <f>IF(OR(A95="",D95=""),"",IF(D95&lt;TODAY(),"Süresi geçti",IF(D95&lt;=TODAY()+30,"30 gün içinde",IF(D95&lt;=TODAY()+90,"90 gün içinde","İleride"))))</f>
        <v/>
      </c>
      <c r="G95" s="64">
        <f>IF(A95="","",Firmalar!$H$9)</f>
        <v/>
      </c>
    </row>
    <row r="96" ht="18" customHeight="1">
      <c r="A96" s="61">
        <f>IF(Firmalar!$B$9="","",Firmalar!$B$9)</f>
        <v/>
      </c>
      <c r="B96" s="61">
        <f>IF(Firmalar!$B$9="","",Firmalar!$I$9)</f>
        <v/>
      </c>
      <c r="C96" s="61" t="inlineStr">
        <is>
          <t>Saha ziyareti</t>
        </is>
      </c>
      <c r="D96" s="62">
        <f>IF(Firmalar!$B$9="","",Firmalar!$GD$9)</f>
        <v/>
      </c>
      <c r="E96" s="63">
        <f>IF(OR(A96="",D96=""),"",D96-TODAY())</f>
        <v/>
      </c>
      <c r="F96" s="64">
        <f>IF(OR(A96="",D96=""),"",IF(D96&lt;TODAY(),"Süresi geçti",IF(D96&lt;=TODAY()+30,"30 gün içinde",IF(D96&lt;=TODAY()+90,"90 gün içinde","İleride"))))</f>
        <v/>
      </c>
      <c r="G96" s="64">
        <f>IF(A96="","",Firmalar!$H$9)</f>
        <v/>
      </c>
    </row>
    <row r="97" ht="18" customHeight="1">
      <c r="A97" s="61">
        <f>IF(Firmalar!$B$9="","",Firmalar!$B$9)</f>
        <v/>
      </c>
      <c r="B97" s="61">
        <f>IF(Firmalar!$B$9="","",Firmalar!$I$9)</f>
        <v/>
      </c>
      <c r="C97" s="61" t="inlineStr">
        <is>
          <t>Resmî yazı cevabı</t>
        </is>
      </c>
      <c r="D97" s="62">
        <f>IF(Firmalar!$B$9="","",Firmalar!$GE$9)</f>
        <v/>
      </c>
      <c r="E97" s="63">
        <f>IF(OR(A97="",D97=""),"",D97-TODAY())</f>
        <v/>
      </c>
      <c r="F97" s="64">
        <f>IF(OR(A97="",D97=""),"",IF(D97&lt;TODAY(),"Süresi geçti",IF(D97&lt;=TODAY()+30,"30 gün içinde",IF(D97&lt;=TODAY()+90,"90 gün içinde","İleride"))))</f>
        <v/>
      </c>
      <c r="G97" s="64">
        <f>IF(A97="","",Firmalar!$H$9)</f>
        <v/>
      </c>
    </row>
    <row r="98" ht="18" customHeight="1">
      <c r="A98" s="61">
        <f>IF(Firmalar!$B$9="","",Firmalar!$B$9)</f>
        <v/>
      </c>
      <c r="B98" s="61">
        <f>IF(Firmalar!$B$9="","",Firmalar!$I$9)</f>
        <v/>
      </c>
      <c r="C98" s="61" t="inlineStr">
        <is>
          <t>Uygunsuzluk kapanışı</t>
        </is>
      </c>
      <c r="D98" s="62">
        <f>IF(Firmalar!$B$9="","",Firmalar!$GF$9)</f>
        <v/>
      </c>
      <c r="E98" s="63">
        <f>IF(OR(A98="",D98=""),"",D98-TODAY())</f>
        <v/>
      </c>
      <c r="F98" s="64">
        <f>IF(OR(A98="",D98=""),"",IF(D98&lt;TODAY(),"Süresi geçti",IF(D98&lt;=TODAY()+30,"30 gün içinde",IF(D98&lt;=TODAY()+90,"90 gün içinde","İleride"))))</f>
        <v/>
      </c>
      <c r="G98" s="64">
        <f>IF(A98="","",Firmalar!$H$9)</f>
        <v/>
      </c>
    </row>
    <row r="99" ht="18" customHeight="1">
      <c r="A99" s="61">
        <f>IF(Firmalar!$B$9="","",Firmalar!$B$9)</f>
        <v/>
      </c>
      <c r="B99" s="61">
        <f>IF(Firmalar!$B$9="","",Firmalar!$I$9)</f>
        <v/>
      </c>
      <c r="C99" s="61" t="inlineStr">
        <is>
          <t>Öncelikli işlem</t>
        </is>
      </c>
      <c r="D99" s="62">
        <f>IF(Firmalar!$B$9="","",Firmalar!$GG$9)</f>
        <v/>
      </c>
      <c r="E99" s="63">
        <f>IF(OR(A99="",D99=""),"",D99-TODAY())</f>
        <v/>
      </c>
      <c r="F99" s="64">
        <f>IF(OR(A99="",D99=""),"",IF(D99&lt;TODAY(),"Süresi geçti",IF(D99&lt;=TODAY()+30,"30 gün içinde",IF(D99&lt;=TODAY()+90,"90 gün içinde","İleride"))))</f>
        <v/>
      </c>
      <c r="G99" s="64">
        <f>IF(A99="","",Firmalar!$H$9)</f>
        <v/>
      </c>
    </row>
    <row r="100" ht="18" customHeight="1">
      <c r="A100" s="61">
        <f>IF(Firmalar!$B$10="","",Firmalar!$B$10)</f>
        <v/>
      </c>
      <c r="B100" s="61">
        <f>IF(Firmalar!$B$10="","",Firmalar!$I$10)</f>
        <v/>
      </c>
      <c r="C100" s="61" t="inlineStr">
        <is>
          <t>Çevre izni bitiş</t>
        </is>
      </c>
      <c r="D100" s="62">
        <f>IF(Firmalar!$B$10="","",Firmalar!$FO$10)</f>
        <v/>
      </c>
      <c r="E100" s="63">
        <f>IF(OR(A100="",D100=""),"",D100-TODAY())</f>
        <v/>
      </c>
      <c r="F100" s="64">
        <f>IF(OR(A100="",D100=""),"",IF(D100&lt;TODAY(),"Süresi geçti",IF(D100&lt;=TODAY()+30,"30 gün içinde",IF(D100&lt;=TODAY()+90,"90 gün içinde","İleride"))))</f>
        <v/>
      </c>
      <c r="G100" s="64">
        <f>IF(A100="","",Firmalar!$H$10)</f>
        <v/>
      </c>
    </row>
    <row r="101" ht="18" customHeight="1">
      <c r="A101" s="61">
        <f>IF(Firmalar!$B$10="","",Firmalar!$B$10)</f>
        <v/>
      </c>
      <c r="B101" s="61">
        <f>IF(Firmalar!$B$10="","",Firmalar!$I$10)</f>
        <v/>
      </c>
      <c r="C101" s="61" t="inlineStr">
        <is>
          <t>Çevre izni başvurusu</t>
        </is>
      </c>
      <c r="D101" s="62">
        <f>IF(Firmalar!$B$10="","",Firmalar!$FP$10)</f>
        <v/>
      </c>
      <c r="E101" s="63">
        <f>IF(OR(A101="",D101=""),"",D101-TODAY())</f>
        <v/>
      </c>
      <c r="F101" s="64">
        <f>IF(OR(A101="",D101=""),"",IF(D101&lt;TODAY(),"Süresi geçti",IF(D101&lt;=TODAY()+30,"30 gün içinde",IF(D101&lt;=TODAY()+90,"90 gün içinde","İleride"))))</f>
        <v/>
      </c>
      <c r="G101" s="64">
        <f>IF(A101="","",Firmalar!$H$10)</f>
        <v/>
      </c>
    </row>
    <row r="102" ht="18" customHeight="1">
      <c r="A102" s="61">
        <f>IF(Firmalar!$B$10="","",Firmalar!$B$10)</f>
        <v/>
      </c>
      <c r="B102" s="61">
        <f>IF(Firmalar!$B$10="","",Firmalar!$I$10)</f>
        <v/>
      </c>
      <c r="C102" s="61" t="inlineStr">
        <is>
          <t>GFB bitiş</t>
        </is>
      </c>
      <c r="D102" s="62">
        <f>IF(Firmalar!$B$10="","",Firmalar!$FQ$10)</f>
        <v/>
      </c>
      <c r="E102" s="63">
        <f>IF(OR(A102="",D102=""),"",D102-TODAY())</f>
        <v/>
      </c>
      <c r="F102" s="64">
        <f>IF(OR(A102="",D102=""),"",IF(D102&lt;TODAY(),"Süresi geçti",IF(D102&lt;=TODAY()+30,"30 gün içinde",IF(D102&lt;=TODAY()+90,"90 gün içinde","İleride"))))</f>
        <v/>
      </c>
      <c r="G102" s="64">
        <f>IF(A102="","",Firmalar!$H$10)</f>
        <v/>
      </c>
    </row>
    <row r="103" ht="18" customHeight="1">
      <c r="A103" s="61">
        <f>IF(Firmalar!$B$10="","",Firmalar!$B$10)</f>
        <v/>
      </c>
      <c r="B103" s="61">
        <f>IF(Firmalar!$B$10="","",Firmalar!$I$10)</f>
        <v/>
      </c>
      <c r="C103" s="61" t="inlineStr">
        <is>
          <t>Sözleşme bitiş</t>
        </is>
      </c>
      <c r="D103" s="62">
        <f>IF(Firmalar!$B$10="","",Firmalar!$FR$10)</f>
        <v/>
      </c>
      <c r="E103" s="63">
        <f>IF(OR(A103="",D103=""),"",D103-TODAY())</f>
        <v/>
      </c>
      <c r="F103" s="64">
        <f>IF(OR(A103="",D103=""),"",IF(D103&lt;TODAY(),"Süresi geçti",IF(D103&lt;=TODAY()+30,"30 gün içinde",IF(D103&lt;=TODAY()+90,"90 gün içinde","İleride"))))</f>
        <v/>
      </c>
      <c r="G103" s="64">
        <f>IF(A103="","",Firmalar!$H$10)</f>
        <v/>
      </c>
    </row>
    <row r="104" ht="18" customHeight="1">
      <c r="A104" s="61">
        <f>IF(Firmalar!$B$10="","",Firmalar!$B$10)</f>
        <v/>
      </c>
      <c r="B104" s="61">
        <f>IF(Firmalar!$B$10="","",Firmalar!$I$10)</f>
        <v/>
      </c>
      <c r="C104" s="61" t="inlineStr">
        <is>
          <t>Sıfır Atık bitiş</t>
        </is>
      </c>
      <c r="D104" s="62">
        <f>IF(Firmalar!$B$10="","",Firmalar!$FS$10)</f>
        <v/>
      </c>
      <c r="E104" s="63">
        <f>IF(OR(A104="",D104=""),"",D104-TODAY())</f>
        <v/>
      </c>
      <c r="F104" s="64">
        <f>IF(OR(A104="",D104=""),"",IF(D104&lt;TODAY(),"Süresi geçti",IF(D104&lt;=TODAY()+30,"30 gün içinde",IF(D104&lt;=TODAY()+90,"90 gün içinde","İleride"))))</f>
        <v/>
      </c>
      <c r="G104" s="64">
        <f>IF(A104="","",Firmalar!$H$10)</f>
        <v/>
      </c>
    </row>
    <row r="105" ht="18" customHeight="1">
      <c r="A105" s="61">
        <f>IF(Firmalar!$B$10="","",Firmalar!$B$10)</f>
        <v/>
      </c>
      <c r="B105" s="61">
        <f>IF(Firmalar!$B$10="","",Firmalar!$I$10)</f>
        <v/>
      </c>
      <c r="C105" s="61" t="inlineStr">
        <is>
          <t>Atık planı bitiş</t>
        </is>
      </c>
      <c r="D105" s="62">
        <f>IF(Firmalar!$B$10="","",Firmalar!$FT$10)</f>
        <v/>
      </c>
      <c r="E105" s="63">
        <f>IF(OR(A105="",D105=""),"",D105-TODAY())</f>
        <v/>
      </c>
      <c r="F105" s="64">
        <f>IF(OR(A105="",D105=""),"",IF(D105&lt;TODAY(),"Süresi geçti",IF(D105&lt;=TODAY()+30,"30 gün içinde",IF(D105&lt;=TODAY()+90,"90 gün içinde","İleride"))))</f>
        <v/>
      </c>
      <c r="G105" s="64">
        <f>IF(A105="","",Firmalar!$H$10)</f>
        <v/>
      </c>
    </row>
    <row r="106" ht="18" customHeight="1">
      <c r="A106" s="61">
        <f>IF(Firmalar!$B$10="","",Firmalar!$B$10)</f>
        <v/>
      </c>
      <c r="B106" s="61">
        <f>IF(Firmalar!$B$10="","",Firmalar!$I$10)</f>
        <v/>
      </c>
      <c r="C106" s="61" t="inlineStr">
        <is>
          <t>Emisyon teyidi</t>
        </is>
      </c>
      <c r="D106" s="62">
        <f>IF(Firmalar!$B$10="","",Firmalar!$FU$10)</f>
        <v/>
      </c>
      <c r="E106" s="63">
        <f>IF(OR(A106="",D106=""),"",D106-TODAY())</f>
        <v/>
      </c>
      <c r="F106" s="64">
        <f>IF(OR(A106="",D106=""),"",IF(D106&lt;TODAY(),"Süresi geçti",IF(D106&lt;=TODAY()+30,"30 gün içinde",IF(D106&lt;=TODAY()+90,"90 gün içinde","İleride"))))</f>
        <v/>
      </c>
      <c r="G106" s="64">
        <f>IF(A106="","",Firmalar!$H$10)</f>
        <v/>
      </c>
    </row>
    <row r="107" ht="18" customHeight="1">
      <c r="A107" s="61">
        <f>IF(Firmalar!$B$10="","",Firmalar!$B$10)</f>
        <v/>
      </c>
      <c r="B107" s="61">
        <f>IF(Firmalar!$B$10="","",Firmalar!$I$10)</f>
        <v/>
      </c>
      <c r="C107" s="61" t="inlineStr">
        <is>
          <t>Emisyon ölçümü</t>
        </is>
      </c>
      <c r="D107" s="62">
        <f>IF(Firmalar!$B$10="","",Firmalar!$FV$10)</f>
        <v/>
      </c>
      <c r="E107" s="63">
        <f>IF(OR(A107="",D107=""),"",D107-TODAY())</f>
        <v/>
      </c>
      <c r="F107" s="64">
        <f>IF(OR(A107="",D107=""),"",IF(D107&lt;TODAY(),"Süresi geçti",IF(D107&lt;=TODAY()+30,"30 gün içinde",IF(D107&lt;=TODAY()+90,"90 gün içinde","İleride"))))</f>
        <v/>
      </c>
      <c r="G107" s="64">
        <f>IF(A107="","",Firmalar!$H$10)</f>
        <v/>
      </c>
    </row>
    <row r="108" ht="18" customHeight="1">
      <c r="A108" s="61">
        <f>IF(Firmalar!$B$10="","",Firmalar!$B$10)</f>
        <v/>
      </c>
      <c r="B108" s="61">
        <f>IF(Firmalar!$B$10="","",Firmalar!$I$10)</f>
        <v/>
      </c>
      <c r="C108" s="61" t="inlineStr">
        <is>
          <t>İç tetkik</t>
        </is>
      </c>
      <c r="D108" s="62">
        <f>IF(Firmalar!$B$10="","",Firmalar!$FW$10)</f>
        <v/>
      </c>
      <c r="E108" s="63">
        <f>IF(OR(A108="",D108=""),"",D108-TODAY())</f>
        <v/>
      </c>
      <c r="F108" s="64">
        <f>IF(OR(A108="",D108=""),"",IF(D108&lt;TODAY(),"Süresi geçti",IF(D108&lt;=TODAY()+30,"30 gün içinde",IF(D108&lt;=TODAY()+90,"90 gün içinde","İleride"))))</f>
        <v/>
      </c>
      <c r="G108" s="64">
        <f>IF(A108="","",Firmalar!$H$10)</f>
        <v/>
      </c>
    </row>
    <row r="109" ht="18" customHeight="1">
      <c r="A109" s="61">
        <f>IF(Firmalar!$B$10="","",Firmalar!$B$10)</f>
        <v/>
      </c>
      <c r="B109" s="61">
        <f>IF(Firmalar!$B$10="","",Firmalar!$I$10)</f>
        <v/>
      </c>
      <c r="C109" s="61" t="inlineStr">
        <is>
          <t>İç tetkik planı</t>
        </is>
      </c>
      <c r="D109" s="62">
        <f>IF(Firmalar!$B$10="","",Firmalar!$FX$10)</f>
        <v/>
      </c>
      <c r="E109" s="63">
        <f>IF(OR(A109="",D109=""),"",D109-TODAY())</f>
        <v/>
      </c>
      <c r="F109" s="64">
        <f>IF(OR(A109="",D109=""),"",IF(D109&lt;TODAY(),"Süresi geçti",IF(D109&lt;=TODAY()+30,"30 gün içinde",IF(D109&lt;=TODAY()+90,"90 gün içinde","İleride"))))</f>
        <v/>
      </c>
      <c r="G109" s="64">
        <f>IF(A109="","",Firmalar!$H$10)</f>
        <v/>
      </c>
    </row>
    <row r="110" ht="18" customHeight="1">
      <c r="A110" s="61">
        <f>IF(Firmalar!$B$10="","",Firmalar!$B$10)</f>
        <v/>
      </c>
      <c r="B110" s="61">
        <f>IF(Firmalar!$B$10="","",Firmalar!$I$10)</f>
        <v/>
      </c>
      <c r="C110" s="61" t="inlineStr">
        <is>
          <t>Çevre eğitimi</t>
        </is>
      </c>
      <c r="D110" s="62">
        <f>IF(Firmalar!$B$10="","",Firmalar!$FY$10)</f>
        <v/>
      </c>
      <c r="E110" s="63">
        <f>IF(OR(A110="",D110=""),"",D110-TODAY())</f>
        <v/>
      </c>
      <c r="F110" s="64">
        <f>IF(OR(A110="",D110=""),"",IF(D110&lt;TODAY(),"Süresi geçti",IF(D110&lt;=TODAY()+30,"30 gün içinde",IF(D110&lt;=TODAY()+90,"90 gün içinde","İleride"))))</f>
        <v/>
      </c>
      <c r="G110" s="64">
        <f>IF(A110="","",Firmalar!$H$10)</f>
        <v/>
      </c>
    </row>
    <row r="111" ht="18" customHeight="1">
      <c r="A111" s="61">
        <f>IF(Firmalar!$B$10="","",Firmalar!$B$10)</f>
        <v/>
      </c>
      <c r="B111" s="61">
        <f>IF(Firmalar!$B$10="","",Firmalar!$I$10)</f>
        <v/>
      </c>
      <c r="C111" s="61" t="inlineStr">
        <is>
          <t>Eğitim planı</t>
        </is>
      </c>
      <c r="D111" s="62">
        <f>IF(Firmalar!$B$10="","",Firmalar!$FZ$10)</f>
        <v/>
      </c>
      <c r="E111" s="63">
        <f>IF(OR(A111="",D111=""),"",D111-TODAY())</f>
        <v/>
      </c>
      <c r="F111" s="64">
        <f>IF(OR(A111="",D111=""),"",IF(D111&lt;TODAY(),"Süresi geçti",IF(D111&lt;=TODAY()+30,"30 gün içinde",IF(D111&lt;=TODAY()+90,"90 gün içinde","İleride"))))</f>
        <v/>
      </c>
      <c r="G111" s="64">
        <f>IF(A111="","",Firmalar!$H$10)</f>
        <v/>
      </c>
    </row>
    <row r="112" ht="18" customHeight="1">
      <c r="A112" s="61">
        <f>IF(Firmalar!$B$10="","",Firmalar!$B$10)</f>
        <v/>
      </c>
      <c r="B112" s="61">
        <f>IF(Firmalar!$B$10="","",Firmalar!$I$10)</f>
        <v/>
      </c>
      <c r="C112" s="61" t="inlineStr">
        <is>
          <t>Kanal belgesi bitiş</t>
        </is>
      </c>
      <c r="D112" s="62">
        <f>IF(Firmalar!$B$10="","",Firmalar!$GA$10)</f>
        <v/>
      </c>
      <c r="E112" s="63">
        <f>IF(OR(A112="",D112=""),"",D112-TODAY())</f>
        <v/>
      </c>
      <c r="F112" s="64">
        <f>IF(OR(A112="",D112=""),"",IF(D112&lt;TODAY(),"Süresi geçti",IF(D112&lt;=TODAY()+30,"30 gün içinde",IF(D112&lt;=TODAY()+90,"90 gün içinde","İleride"))))</f>
        <v/>
      </c>
      <c r="G112" s="64">
        <f>IF(A112="","",Firmalar!$H$10)</f>
        <v/>
      </c>
    </row>
    <row r="113" ht="18" customHeight="1">
      <c r="A113" s="61">
        <f>IF(Firmalar!$B$10="","",Firmalar!$B$10)</f>
        <v/>
      </c>
      <c r="B113" s="61">
        <f>IF(Firmalar!$B$10="","",Firmalar!$I$10)</f>
        <v/>
      </c>
      <c r="C113" s="61" t="inlineStr">
        <is>
          <t>Deşarj izni bitiş</t>
        </is>
      </c>
      <c r="D113" s="62">
        <f>IF(Firmalar!$B$10="","",Firmalar!$GB$10)</f>
        <v/>
      </c>
      <c r="E113" s="63">
        <f>IF(OR(A113="",D113=""),"",D113-TODAY())</f>
        <v/>
      </c>
      <c r="F113" s="64">
        <f>IF(OR(A113="",D113=""),"",IF(D113&lt;TODAY(),"Süresi geçti",IF(D113&lt;=TODAY()+30,"30 gün içinde",IF(D113&lt;=TODAY()+90,"90 gün içinde","İleride"))))</f>
        <v/>
      </c>
      <c r="G113" s="64">
        <f>IF(A113="","",Firmalar!$H$10)</f>
        <v/>
      </c>
    </row>
    <row r="114" ht="18" customHeight="1">
      <c r="A114" s="61">
        <f>IF(Firmalar!$B$10="","",Firmalar!$B$10)</f>
        <v/>
      </c>
      <c r="B114" s="61">
        <f>IF(Firmalar!$B$10="","",Firmalar!$I$10)</f>
        <v/>
      </c>
      <c r="C114" s="61" t="inlineStr">
        <is>
          <t>Atıksu analizi</t>
        </is>
      </c>
      <c r="D114" s="62">
        <f>IF(Firmalar!$B$10="","",Firmalar!$GC$10)</f>
        <v/>
      </c>
      <c r="E114" s="63">
        <f>IF(OR(A114="",D114=""),"",D114-TODAY())</f>
        <v/>
      </c>
      <c r="F114" s="64">
        <f>IF(OR(A114="",D114=""),"",IF(D114&lt;TODAY(),"Süresi geçti",IF(D114&lt;=TODAY()+30,"30 gün içinde",IF(D114&lt;=TODAY()+90,"90 gün içinde","İleride"))))</f>
        <v/>
      </c>
      <c r="G114" s="64">
        <f>IF(A114="","",Firmalar!$H$10)</f>
        <v/>
      </c>
    </row>
    <row r="115" ht="18" customHeight="1">
      <c r="A115" s="61">
        <f>IF(Firmalar!$B$10="","",Firmalar!$B$10)</f>
        <v/>
      </c>
      <c r="B115" s="61">
        <f>IF(Firmalar!$B$10="","",Firmalar!$I$10)</f>
        <v/>
      </c>
      <c r="C115" s="61" t="inlineStr">
        <is>
          <t>Saha ziyareti</t>
        </is>
      </c>
      <c r="D115" s="62">
        <f>IF(Firmalar!$B$10="","",Firmalar!$GD$10)</f>
        <v/>
      </c>
      <c r="E115" s="63">
        <f>IF(OR(A115="",D115=""),"",D115-TODAY())</f>
        <v/>
      </c>
      <c r="F115" s="64">
        <f>IF(OR(A115="",D115=""),"",IF(D115&lt;TODAY(),"Süresi geçti",IF(D115&lt;=TODAY()+30,"30 gün içinde",IF(D115&lt;=TODAY()+90,"90 gün içinde","İleride"))))</f>
        <v/>
      </c>
      <c r="G115" s="64">
        <f>IF(A115="","",Firmalar!$H$10)</f>
        <v/>
      </c>
    </row>
    <row r="116" ht="18" customHeight="1">
      <c r="A116" s="61">
        <f>IF(Firmalar!$B$10="","",Firmalar!$B$10)</f>
        <v/>
      </c>
      <c r="B116" s="61">
        <f>IF(Firmalar!$B$10="","",Firmalar!$I$10)</f>
        <v/>
      </c>
      <c r="C116" s="61" t="inlineStr">
        <is>
          <t>Resmî yazı cevabı</t>
        </is>
      </c>
      <c r="D116" s="62">
        <f>IF(Firmalar!$B$10="","",Firmalar!$GE$10)</f>
        <v/>
      </c>
      <c r="E116" s="63">
        <f>IF(OR(A116="",D116=""),"",D116-TODAY())</f>
        <v/>
      </c>
      <c r="F116" s="64">
        <f>IF(OR(A116="",D116=""),"",IF(D116&lt;TODAY(),"Süresi geçti",IF(D116&lt;=TODAY()+30,"30 gün içinde",IF(D116&lt;=TODAY()+90,"90 gün içinde","İleride"))))</f>
        <v/>
      </c>
      <c r="G116" s="64">
        <f>IF(A116="","",Firmalar!$H$10)</f>
        <v/>
      </c>
    </row>
    <row r="117" ht="18" customHeight="1">
      <c r="A117" s="61">
        <f>IF(Firmalar!$B$10="","",Firmalar!$B$10)</f>
        <v/>
      </c>
      <c r="B117" s="61">
        <f>IF(Firmalar!$B$10="","",Firmalar!$I$10)</f>
        <v/>
      </c>
      <c r="C117" s="61" t="inlineStr">
        <is>
          <t>Uygunsuzluk kapanışı</t>
        </is>
      </c>
      <c r="D117" s="62">
        <f>IF(Firmalar!$B$10="","",Firmalar!$GF$10)</f>
        <v/>
      </c>
      <c r="E117" s="63">
        <f>IF(OR(A117="",D117=""),"",D117-TODAY())</f>
        <v/>
      </c>
      <c r="F117" s="64">
        <f>IF(OR(A117="",D117=""),"",IF(D117&lt;TODAY(),"Süresi geçti",IF(D117&lt;=TODAY()+30,"30 gün içinde",IF(D117&lt;=TODAY()+90,"90 gün içinde","İleride"))))</f>
        <v/>
      </c>
      <c r="G117" s="64">
        <f>IF(A117="","",Firmalar!$H$10)</f>
        <v/>
      </c>
    </row>
    <row r="118" ht="18" customHeight="1">
      <c r="A118" s="61">
        <f>IF(Firmalar!$B$10="","",Firmalar!$B$10)</f>
        <v/>
      </c>
      <c r="B118" s="61">
        <f>IF(Firmalar!$B$10="","",Firmalar!$I$10)</f>
        <v/>
      </c>
      <c r="C118" s="61" t="inlineStr">
        <is>
          <t>Öncelikli işlem</t>
        </is>
      </c>
      <c r="D118" s="62">
        <f>IF(Firmalar!$B$10="","",Firmalar!$GG$10)</f>
        <v/>
      </c>
      <c r="E118" s="63">
        <f>IF(OR(A118="",D118=""),"",D118-TODAY())</f>
        <v/>
      </c>
      <c r="F118" s="64">
        <f>IF(OR(A118="",D118=""),"",IF(D118&lt;TODAY(),"Süresi geçti",IF(D118&lt;=TODAY()+30,"30 gün içinde",IF(D118&lt;=TODAY()+90,"90 gün içinde","İleride"))))</f>
        <v/>
      </c>
      <c r="G118" s="64">
        <f>IF(A118="","",Firmalar!$H$10)</f>
        <v/>
      </c>
    </row>
    <row r="119" ht="18" customHeight="1">
      <c r="A119" s="61">
        <f>IF(Firmalar!$B$11="","",Firmalar!$B$11)</f>
        <v/>
      </c>
      <c r="B119" s="61">
        <f>IF(Firmalar!$B$11="","",Firmalar!$I$11)</f>
        <v/>
      </c>
      <c r="C119" s="61" t="inlineStr">
        <is>
          <t>Çevre izni bitiş</t>
        </is>
      </c>
      <c r="D119" s="62">
        <f>IF(Firmalar!$B$11="","",Firmalar!$FO$11)</f>
        <v/>
      </c>
      <c r="E119" s="63">
        <f>IF(OR(A119="",D119=""),"",D119-TODAY())</f>
        <v/>
      </c>
      <c r="F119" s="64">
        <f>IF(OR(A119="",D119=""),"",IF(D119&lt;TODAY(),"Süresi geçti",IF(D119&lt;=TODAY()+30,"30 gün içinde",IF(D119&lt;=TODAY()+90,"90 gün içinde","İleride"))))</f>
        <v/>
      </c>
      <c r="G119" s="64">
        <f>IF(A119="","",Firmalar!$H$11)</f>
        <v/>
      </c>
    </row>
    <row r="120" ht="18" customHeight="1">
      <c r="A120" s="61">
        <f>IF(Firmalar!$B$11="","",Firmalar!$B$11)</f>
        <v/>
      </c>
      <c r="B120" s="61">
        <f>IF(Firmalar!$B$11="","",Firmalar!$I$11)</f>
        <v/>
      </c>
      <c r="C120" s="61" t="inlineStr">
        <is>
          <t>Çevre izni başvurusu</t>
        </is>
      </c>
      <c r="D120" s="62">
        <f>IF(Firmalar!$B$11="","",Firmalar!$FP$11)</f>
        <v/>
      </c>
      <c r="E120" s="63">
        <f>IF(OR(A120="",D120=""),"",D120-TODAY())</f>
        <v/>
      </c>
      <c r="F120" s="64">
        <f>IF(OR(A120="",D120=""),"",IF(D120&lt;TODAY(),"Süresi geçti",IF(D120&lt;=TODAY()+30,"30 gün içinde",IF(D120&lt;=TODAY()+90,"90 gün içinde","İleride"))))</f>
        <v/>
      </c>
      <c r="G120" s="64">
        <f>IF(A120="","",Firmalar!$H$11)</f>
        <v/>
      </c>
    </row>
    <row r="121" ht="18" customHeight="1">
      <c r="A121" s="61">
        <f>IF(Firmalar!$B$11="","",Firmalar!$B$11)</f>
        <v/>
      </c>
      <c r="B121" s="61">
        <f>IF(Firmalar!$B$11="","",Firmalar!$I$11)</f>
        <v/>
      </c>
      <c r="C121" s="61" t="inlineStr">
        <is>
          <t>GFB bitiş</t>
        </is>
      </c>
      <c r="D121" s="62">
        <f>IF(Firmalar!$B$11="","",Firmalar!$FQ$11)</f>
        <v/>
      </c>
      <c r="E121" s="63">
        <f>IF(OR(A121="",D121=""),"",D121-TODAY())</f>
        <v/>
      </c>
      <c r="F121" s="64">
        <f>IF(OR(A121="",D121=""),"",IF(D121&lt;TODAY(),"Süresi geçti",IF(D121&lt;=TODAY()+30,"30 gün içinde",IF(D121&lt;=TODAY()+90,"90 gün içinde","İleride"))))</f>
        <v/>
      </c>
      <c r="G121" s="64">
        <f>IF(A121="","",Firmalar!$H$11)</f>
        <v/>
      </c>
    </row>
    <row r="122" ht="18" customHeight="1">
      <c r="A122" s="61">
        <f>IF(Firmalar!$B$11="","",Firmalar!$B$11)</f>
        <v/>
      </c>
      <c r="B122" s="61">
        <f>IF(Firmalar!$B$11="","",Firmalar!$I$11)</f>
        <v/>
      </c>
      <c r="C122" s="61" t="inlineStr">
        <is>
          <t>Sözleşme bitiş</t>
        </is>
      </c>
      <c r="D122" s="62">
        <f>IF(Firmalar!$B$11="","",Firmalar!$FR$11)</f>
        <v/>
      </c>
      <c r="E122" s="63">
        <f>IF(OR(A122="",D122=""),"",D122-TODAY())</f>
        <v/>
      </c>
      <c r="F122" s="64">
        <f>IF(OR(A122="",D122=""),"",IF(D122&lt;TODAY(),"Süresi geçti",IF(D122&lt;=TODAY()+30,"30 gün içinde",IF(D122&lt;=TODAY()+90,"90 gün içinde","İleride"))))</f>
        <v/>
      </c>
      <c r="G122" s="64">
        <f>IF(A122="","",Firmalar!$H$11)</f>
        <v/>
      </c>
    </row>
    <row r="123" ht="18" customHeight="1">
      <c r="A123" s="61">
        <f>IF(Firmalar!$B$11="","",Firmalar!$B$11)</f>
        <v/>
      </c>
      <c r="B123" s="61">
        <f>IF(Firmalar!$B$11="","",Firmalar!$I$11)</f>
        <v/>
      </c>
      <c r="C123" s="61" t="inlineStr">
        <is>
          <t>Sıfır Atık bitiş</t>
        </is>
      </c>
      <c r="D123" s="62">
        <f>IF(Firmalar!$B$11="","",Firmalar!$FS$11)</f>
        <v/>
      </c>
      <c r="E123" s="63">
        <f>IF(OR(A123="",D123=""),"",D123-TODAY())</f>
        <v/>
      </c>
      <c r="F123" s="64">
        <f>IF(OR(A123="",D123=""),"",IF(D123&lt;TODAY(),"Süresi geçti",IF(D123&lt;=TODAY()+30,"30 gün içinde",IF(D123&lt;=TODAY()+90,"90 gün içinde","İleride"))))</f>
        <v/>
      </c>
      <c r="G123" s="64">
        <f>IF(A123="","",Firmalar!$H$11)</f>
        <v/>
      </c>
    </row>
    <row r="124" ht="18" customHeight="1">
      <c r="A124" s="61">
        <f>IF(Firmalar!$B$11="","",Firmalar!$B$11)</f>
        <v/>
      </c>
      <c r="B124" s="61">
        <f>IF(Firmalar!$B$11="","",Firmalar!$I$11)</f>
        <v/>
      </c>
      <c r="C124" s="61" t="inlineStr">
        <is>
          <t>Atık planı bitiş</t>
        </is>
      </c>
      <c r="D124" s="62">
        <f>IF(Firmalar!$B$11="","",Firmalar!$FT$11)</f>
        <v/>
      </c>
      <c r="E124" s="63">
        <f>IF(OR(A124="",D124=""),"",D124-TODAY())</f>
        <v/>
      </c>
      <c r="F124" s="64">
        <f>IF(OR(A124="",D124=""),"",IF(D124&lt;TODAY(),"Süresi geçti",IF(D124&lt;=TODAY()+30,"30 gün içinde",IF(D124&lt;=TODAY()+90,"90 gün içinde","İleride"))))</f>
        <v/>
      </c>
      <c r="G124" s="64">
        <f>IF(A124="","",Firmalar!$H$11)</f>
        <v/>
      </c>
    </row>
    <row r="125" ht="18" customHeight="1">
      <c r="A125" s="61">
        <f>IF(Firmalar!$B$11="","",Firmalar!$B$11)</f>
        <v/>
      </c>
      <c r="B125" s="61">
        <f>IF(Firmalar!$B$11="","",Firmalar!$I$11)</f>
        <v/>
      </c>
      <c r="C125" s="61" t="inlineStr">
        <is>
          <t>Emisyon teyidi</t>
        </is>
      </c>
      <c r="D125" s="62">
        <f>IF(Firmalar!$B$11="","",Firmalar!$FU$11)</f>
        <v/>
      </c>
      <c r="E125" s="63">
        <f>IF(OR(A125="",D125=""),"",D125-TODAY())</f>
        <v/>
      </c>
      <c r="F125" s="64">
        <f>IF(OR(A125="",D125=""),"",IF(D125&lt;TODAY(),"Süresi geçti",IF(D125&lt;=TODAY()+30,"30 gün içinde",IF(D125&lt;=TODAY()+90,"90 gün içinde","İleride"))))</f>
        <v/>
      </c>
      <c r="G125" s="64">
        <f>IF(A125="","",Firmalar!$H$11)</f>
        <v/>
      </c>
    </row>
    <row r="126" ht="18" customHeight="1">
      <c r="A126" s="61">
        <f>IF(Firmalar!$B$11="","",Firmalar!$B$11)</f>
        <v/>
      </c>
      <c r="B126" s="61">
        <f>IF(Firmalar!$B$11="","",Firmalar!$I$11)</f>
        <v/>
      </c>
      <c r="C126" s="61" t="inlineStr">
        <is>
          <t>Emisyon ölçümü</t>
        </is>
      </c>
      <c r="D126" s="62">
        <f>IF(Firmalar!$B$11="","",Firmalar!$FV$11)</f>
        <v/>
      </c>
      <c r="E126" s="63">
        <f>IF(OR(A126="",D126=""),"",D126-TODAY())</f>
        <v/>
      </c>
      <c r="F126" s="64">
        <f>IF(OR(A126="",D126=""),"",IF(D126&lt;TODAY(),"Süresi geçti",IF(D126&lt;=TODAY()+30,"30 gün içinde",IF(D126&lt;=TODAY()+90,"90 gün içinde","İleride"))))</f>
        <v/>
      </c>
      <c r="G126" s="64">
        <f>IF(A126="","",Firmalar!$H$11)</f>
        <v/>
      </c>
    </row>
    <row r="127" ht="18" customHeight="1">
      <c r="A127" s="61">
        <f>IF(Firmalar!$B$11="","",Firmalar!$B$11)</f>
        <v/>
      </c>
      <c r="B127" s="61">
        <f>IF(Firmalar!$B$11="","",Firmalar!$I$11)</f>
        <v/>
      </c>
      <c r="C127" s="61" t="inlineStr">
        <is>
          <t>İç tetkik</t>
        </is>
      </c>
      <c r="D127" s="62">
        <f>IF(Firmalar!$B$11="","",Firmalar!$FW$11)</f>
        <v/>
      </c>
      <c r="E127" s="63">
        <f>IF(OR(A127="",D127=""),"",D127-TODAY())</f>
        <v/>
      </c>
      <c r="F127" s="64">
        <f>IF(OR(A127="",D127=""),"",IF(D127&lt;TODAY(),"Süresi geçti",IF(D127&lt;=TODAY()+30,"30 gün içinde",IF(D127&lt;=TODAY()+90,"90 gün içinde","İleride"))))</f>
        <v/>
      </c>
      <c r="G127" s="64">
        <f>IF(A127="","",Firmalar!$H$11)</f>
        <v/>
      </c>
    </row>
    <row r="128" ht="18" customHeight="1">
      <c r="A128" s="61">
        <f>IF(Firmalar!$B$11="","",Firmalar!$B$11)</f>
        <v/>
      </c>
      <c r="B128" s="61">
        <f>IF(Firmalar!$B$11="","",Firmalar!$I$11)</f>
        <v/>
      </c>
      <c r="C128" s="61" t="inlineStr">
        <is>
          <t>İç tetkik planı</t>
        </is>
      </c>
      <c r="D128" s="62">
        <f>IF(Firmalar!$B$11="","",Firmalar!$FX$11)</f>
        <v/>
      </c>
      <c r="E128" s="63">
        <f>IF(OR(A128="",D128=""),"",D128-TODAY())</f>
        <v/>
      </c>
      <c r="F128" s="64">
        <f>IF(OR(A128="",D128=""),"",IF(D128&lt;TODAY(),"Süresi geçti",IF(D128&lt;=TODAY()+30,"30 gün içinde",IF(D128&lt;=TODAY()+90,"90 gün içinde","İleride"))))</f>
        <v/>
      </c>
      <c r="G128" s="64">
        <f>IF(A128="","",Firmalar!$H$11)</f>
        <v/>
      </c>
    </row>
    <row r="129" ht="18" customHeight="1">
      <c r="A129" s="61">
        <f>IF(Firmalar!$B$11="","",Firmalar!$B$11)</f>
        <v/>
      </c>
      <c r="B129" s="61">
        <f>IF(Firmalar!$B$11="","",Firmalar!$I$11)</f>
        <v/>
      </c>
      <c r="C129" s="61" t="inlineStr">
        <is>
          <t>Çevre eğitimi</t>
        </is>
      </c>
      <c r="D129" s="62">
        <f>IF(Firmalar!$B$11="","",Firmalar!$FY$11)</f>
        <v/>
      </c>
      <c r="E129" s="63">
        <f>IF(OR(A129="",D129=""),"",D129-TODAY())</f>
        <v/>
      </c>
      <c r="F129" s="64">
        <f>IF(OR(A129="",D129=""),"",IF(D129&lt;TODAY(),"Süresi geçti",IF(D129&lt;=TODAY()+30,"30 gün içinde",IF(D129&lt;=TODAY()+90,"90 gün içinde","İleride"))))</f>
        <v/>
      </c>
      <c r="G129" s="64">
        <f>IF(A129="","",Firmalar!$H$11)</f>
        <v/>
      </c>
    </row>
    <row r="130" ht="18" customHeight="1">
      <c r="A130" s="61">
        <f>IF(Firmalar!$B$11="","",Firmalar!$B$11)</f>
        <v/>
      </c>
      <c r="B130" s="61">
        <f>IF(Firmalar!$B$11="","",Firmalar!$I$11)</f>
        <v/>
      </c>
      <c r="C130" s="61" t="inlineStr">
        <is>
          <t>Eğitim planı</t>
        </is>
      </c>
      <c r="D130" s="62">
        <f>IF(Firmalar!$B$11="","",Firmalar!$FZ$11)</f>
        <v/>
      </c>
      <c r="E130" s="63">
        <f>IF(OR(A130="",D130=""),"",D130-TODAY())</f>
        <v/>
      </c>
      <c r="F130" s="64">
        <f>IF(OR(A130="",D130=""),"",IF(D130&lt;TODAY(),"Süresi geçti",IF(D130&lt;=TODAY()+30,"30 gün içinde",IF(D130&lt;=TODAY()+90,"90 gün içinde","İleride"))))</f>
        <v/>
      </c>
      <c r="G130" s="64">
        <f>IF(A130="","",Firmalar!$H$11)</f>
        <v/>
      </c>
    </row>
    <row r="131" ht="18" customHeight="1">
      <c r="A131" s="61">
        <f>IF(Firmalar!$B$11="","",Firmalar!$B$11)</f>
        <v/>
      </c>
      <c r="B131" s="61">
        <f>IF(Firmalar!$B$11="","",Firmalar!$I$11)</f>
        <v/>
      </c>
      <c r="C131" s="61" t="inlineStr">
        <is>
          <t>Kanal belgesi bitiş</t>
        </is>
      </c>
      <c r="D131" s="62">
        <f>IF(Firmalar!$B$11="","",Firmalar!$GA$11)</f>
        <v/>
      </c>
      <c r="E131" s="63">
        <f>IF(OR(A131="",D131=""),"",D131-TODAY())</f>
        <v/>
      </c>
      <c r="F131" s="64">
        <f>IF(OR(A131="",D131=""),"",IF(D131&lt;TODAY(),"Süresi geçti",IF(D131&lt;=TODAY()+30,"30 gün içinde",IF(D131&lt;=TODAY()+90,"90 gün içinde","İleride"))))</f>
        <v/>
      </c>
      <c r="G131" s="64">
        <f>IF(A131="","",Firmalar!$H$11)</f>
        <v/>
      </c>
    </row>
    <row r="132" ht="18" customHeight="1">
      <c r="A132" s="61">
        <f>IF(Firmalar!$B$11="","",Firmalar!$B$11)</f>
        <v/>
      </c>
      <c r="B132" s="61">
        <f>IF(Firmalar!$B$11="","",Firmalar!$I$11)</f>
        <v/>
      </c>
      <c r="C132" s="61" t="inlineStr">
        <is>
          <t>Deşarj izni bitiş</t>
        </is>
      </c>
      <c r="D132" s="62">
        <f>IF(Firmalar!$B$11="","",Firmalar!$GB$11)</f>
        <v/>
      </c>
      <c r="E132" s="63">
        <f>IF(OR(A132="",D132=""),"",D132-TODAY())</f>
        <v/>
      </c>
      <c r="F132" s="64">
        <f>IF(OR(A132="",D132=""),"",IF(D132&lt;TODAY(),"Süresi geçti",IF(D132&lt;=TODAY()+30,"30 gün içinde",IF(D132&lt;=TODAY()+90,"90 gün içinde","İleride"))))</f>
        <v/>
      </c>
      <c r="G132" s="64">
        <f>IF(A132="","",Firmalar!$H$11)</f>
        <v/>
      </c>
    </row>
    <row r="133" ht="18" customHeight="1">
      <c r="A133" s="61">
        <f>IF(Firmalar!$B$11="","",Firmalar!$B$11)</f>
        <v/>
      </c>
      <c r="B133" s="61">
        <f>IF(Firmalar!$B$11="","",Firmalar!$I$11)</f>
        <v/>
      </c>
      <c r="C133" s="61" t="inlineStr">
        <is>
          <t>Atıksu analizi</t>
        </is>
      </c>
      <c r="D133" s="62">
        <f>IF(Firmalar!$B$11="","",Firmalar!$GC$11)</f>
        <v/>
      </c>
      <c r="E133" s="63">
        <f>IF(OR(A133="",D133=""),"",D133-TODAY())</f>
        <v/>
      </c>
      <c r="F133" s="64">
        <f>IF(OR(A133="",D133=""),"",IF(D133&lt;TODAY(),"Süresi geçti",IF(D133&lt;=TODAY()+30,"30 gün içinde",IF(D133&lt;=TODAY()+90,"90 gün içinde","İleride"))))</f>
        <v/>
      </c>
      <c r="G133" s="64">
        <f>IF(A133="","",Firmalar!$H$11)</f>
        <v/>
      </c>
    </row>
    <row r="134" ht="18" customHeight="1">
      <c r="A134" s="61">
        <f>IF(Firmalar!$B$11="","",Firmalar!$B$11)</f>
        <v/>
      </c>
      <c r="B134" s="61">
        <f>IF(Firmalar!$B$11="","",Firmalar!$I$11)</f>
        <v/>
      </c>
      <c r="C134" s="61" t="inlineStr">
        <is>
          <t>Saha ziyareti</t>
        </is>
      </c>
      <c r="D134" s="62">
        <f>IF(Firmalar!$B$11="","",Firmalar!$GD$11)</f>
        <v/>
      </c>
      <c r="E134" s="63">
        <f>IF(OR(A134="",D134=""),"",D134-TODAY())</f>
        <v/>
      </c>
      <c r="F134" s="64">
        <f>IF(OR(A134="",D134=""),"",IF(D134&lt;TODAY(),"Süresi geçti",IF(D134&lt;=TODAY()+30,"30 gün içinde",IF(D134&lt;=TODAY()+90,"90 gün içinde","İleride"))))</f>
        <v/>
      </c>
      <c r="G134" s="64">
        <f>IF(A134="","",Firmalar!$H$11)</f>
        <v/>
      </c>
    </row>
    <row r="135" ht="18" customHeight="1">
      <c r="A135" s="61">
        <f>IF(Firmalar!$B$11="","",Firmalar!$B$11)</f>
        <v/>
      </c>
      <c r="B135" s="61">
        <f>IF(Firmalar!$B$11="","",Firmalar!$I$11)</f>
        <v/>
      </c>
      <c r="C135" s="61" t="inlineStr">
        <is>
          <t>Resmî yazı cevabı</t>
        </is>
      </c>
      <c r="D135" s="62">
        <f>IF(Firmalar!$B$11="","",Firmalar!$GE$11)</f>
        <v/>
      </c>
      <c r="E135" s="63">
        <f>IF(OR(A135="",D135=""),"",D135-TODAY())</f>
        <v/>
      </c>
      <c r="F135" s="64">
        <f>IF(OR(A135="",D135=""),"",IF(D135&lt;TODAY(),"Süresi geçti",IF(D135&lt;=TODAY()+30,"30 gün içinde",IF(D135&lt;=TODAY()+90,"90 gün içinde","İleride"))))</f>
        <v/>
      </c>
      <c r="G135" s="64">
        <f>IF(A135="","",Firmalar!$H$11)</f>
        <v/>
      </c>
    </row>
    <row r="136" ht="18" customHeight="1">
      <c r="A136" s="61">
        <f>IF(Firmalar!$B$11="","",Firmalar!$B$11)</f>
        <v/>
      </c>
      <c r="B136" s="61">
        <f>IF(Firmalar!$B$11="","",Firmalar!$I$11)</f>
        <v/>
      </c>
      <c r="C136" s="61" t="inlineStr">
        <is>
          <t>Uygunsuzluk kapanışı</t>
        </is>
      </c>
      <c r="D136" s="62">
        <f>IF(Firmalar!$B$11="","",Firmalar!$GF$11)</f>
        <v/>
      </c>
      <c r="E136" s="63">
        <f>IF(OR(A136="",D136=""),"",D136-TODAY())</f>
        <v/>
      </c>
      <c r="F136" s="64">
        <f>IF(OR(A136="",D136=""),"",IF(D136&lt;TODAY(),"Süresi geçti",IF(D136&lt;=TODAY()+30,"30 gün içinde",IF(D136&lt;=TODAY()+90,"90 gün içinde","İleride"))))</f>
        <v/>
      </c>
      <c r="G136" s="64">
        <f>IF(A136="","",Firmalar!$H$11)</f>
        <v/>
      </c>
    </row>
    <row r="137" ht="18" customHeight="1">
      <c r="A137" s="61">
        <f>IF(Firmalar!$B$11="","",Firmalar!$B$11)</f>
        <v/>
      </c>
      <c r="B137" s="61">
        <f>IF(Firmalar!$B$11="","",Firmalar!$I$11)</f>
        <v/>
      </c>
      <c r="C137" s="61" t="inlineStr">
        <is>
          <t>Öncelikli işlem</t>
        </is>
      </c>
      <c r="D137" s="62">
        <f>IF(Firmalar!$B$11="","",Firmalar!$GG$11)</f>
        <v/>
      </c>
      <c r="E137" s="63">
        <f>IF(OR(A137="",D137=""),"",D137-TODAY())</f>
        <v/>
      </c>
      <c r="F137" s="64">
        <f>IF(OR(A137="",D137=""),"",IF(D137&lt;TODAY(),"Süresi geçti",IF(D137&lt;=TODAY()+30,"30 gün içinde",IF(D137&lt;=TODAY()+90,"90 gün içinde","İleride"))))</f>
        <v/>
      </c>
      <c r="G137" s="64">
        <f>IF(A137="","",Firmalar!$H$11)</f>
        <v/>
      </c>
    </row>
    <row r="138" ht="18" customHeight="1">
      <c r="A138" s="61">
        <f>IF(Firmalar!$B$12="","",Firmalar!$B$12)</f>
        <v/>
      </c>
      <c r="B138" s="61">
        <f>IF(Firmalar!$B$12="","",Firmalar!$I$12)</f>
        <v/>
      </c>
      <c r="C138" s="61" t="inlineStr">
        <is>
          <t>Çevre izni bitiş</t>
        </is>
      </c>
      <c r="D138" s="62">
        <f>IF(Firmalar!$B$12="","",Firmalar!$FO$12)</f>
        <v/>
      </c>
      <c r="E138" s="63">
        <f>IF(OR(A138="",D138=""),"",D138-TODAY())</f>
        <v/>
      </c>
      <c r="F138" s="64">
        <f>IF(OR(A138="",D138=""),"",IF(D138&lt;TODAY(),"Süresi geçti",IF(D138&lt;=TODAY()+30,"30 gün içinde",IF(D138&lt;=TODAY()+90,"90 gün içinde","İleride"))))</f>
        <v/>
      </c>
      <c r="G138" s="64">
        <f>IF(A138="","",Firmalar!$H$12)</f>
        <v/>
      </c>
    </row>
    <row r="139" ht="18" customHeight="1">
      <c r="A139" s="61">
        <f>IF(Firmalar!$B$12="","",Firmalar!$B$12)</f>
        <v/>
      </c>
      <c r="B139" s="61">
        <f>IF(Firmalar!$B$12="","",Firmalar!$I$12)</f>
        <v/>
      </c>
      <c r="C139" s="61" t="inlineStr">
        <is>
          <t>Çevre izni başvurusu</t>
        </is>
      </c>
      <c r="D139" s="62">
        <f>IF(Firmalar!$B$12="","",Firmalar!$FP$12)</f>
        <v/>
      </c>
      <c r="E139" s="63">
        <f>IF(OR(A139="",D139=""),"",D139-TODAY())</f>
        <v/>
      </c>
      <c r="F139" s="64">
        <f>IF(OR(A139="",D139=""),"",IF(D139&lt;TODAY(),"Süresi geçti",IF(D139&lt;=TODAY()+30,"30 gün içinde",IF(D139&lt;=TODAY()+90,"90 gün içinde","İleride"))))</f>
        <v/>
      </c>
      <c r="G139" s="64">
        <f>IF(A139="","",Firmalar!$H$12)</f>
        <v/>
      </c>
    </row>
    <row r="140" ht="18" customHeight="1">
      <c r="A140" s="61">
        <f>IF(Firmalar!$B$12="","",Firmalar!$B$12)</f>
        <v/>
      </c>
      <c r="B140" s="61">
        <f>IF(Firmalar!$B$12="","",Firmalar!$I$12)</f>
        <v/>
      </c>
      <c r="C140" s="61" t="inlineStr">
        <is>
          <t>GFB bitiş</t>
        </is>
      </c>
      <c r="D140" s="62">
        <f>IF(Firmalar!$B$12="","",Firmalar!$FQ$12)</f>
        <v/>
      </c>
      <c r="E140" s="63">
        <f>IF(OR(A140="",D140=""),"",D140-TODAY())</f>
        <v/>
      </c>
      <c r="F140" s="64">
        <f>IF(OR(A140="",D140=""),"",IF(D140&lt;TODAY(),"Süresi geçti",IF(D140&lt;=TODAY()+30,"30 gün içinde",IF(D140&lt;=TODAY()+90,"90 gün içinde","İleride"))))</f>
        <v/>
      </c>
      <c r="G140" s="64">
        <f>IF(A140="","",Firmalar!$H$12)</f>
        <v/>
      </c>
    </row>
    <row r="141" ht="18" customHeight="1">
      <c r="A141" s="61">
        <f>IF(Firmalar!$B$12="","",Firmalar!$B$12)</f>
        <v/>
      </c>
      <c r="B141" s="61">
        <f>IF(Firmalar!$B$12="","",Firmalar!$I$12)</f>
        <v/>
      </c>
      <c r="C141" s="61" t="inlineStr">
        <is>
          <t>Sözleşme bitiş</t>
        </is>
      </c>
      <c r="D141" s="62">
        <f>IF(Firmalar!$B$12="","",Firmalar!$FR$12)</f>
        <v/>
      </c>
      <c r="E141" s="63">
        <f>IF(OR(A141="",D141=""),"",D141-TODAY())</f>
        <v/>
      </c>
      <c r="F141" s="64">
        <f>IF(OR(A141="",D141=""),"",IF(D141&lt;TODAY(),"Süresi geçti",IF(D141&lt;=TODAY()+30,"30 gün içinde",IF(D141&lt;=TODAY()+90,"90 gün içinde","İleride"))))</f>
        <v/>
      </c>
      <c r="G141" s="64">
        <f>IF(A141="","",Firmalar!$H$12)</f>
        <v/>
      </c>
    </row>
    <row r="142" ht="18" customHeight="1">
      <c r="A142" s="61">
        <f>IF(Firmalar!$B$12="","",Firmalar!$B$12)</f>
        <v/>
      </c>
      <c r="B142" s="61">
        <f>IF(Firmalar!$B$12="","",Firmalar!$I$12)</f>
        <v/>
      </c>
      <c r="C142" s="61" t="inlineStr">
        <is>
          <t>Sıfır Atık bitiş</t>
        </is>
      </c>
      <c r="D142" s="62">
        <f>IF(Firmalar!$B$12="","",Firmalar!$FS$12)</f>
        <v/>
      </c>
      <c r="E142" s="63">
        <f>IF(OR(A142="",D142=""),"",D142-TODAY())</f>
        <v/>
      </c>
      <c r="F142" s="64">
        <f>IF(OR(A142="",D142=""),"",IF(D142&lt;TODAY(),"Süresi geçti",IF(D142&lt;=TODAY()+30,"30 gün içinde",IF(D142&lt;=TODAY()+90,"90 gün içinde","İleride"))))</f>
        <v/>
      </c>
      <c r="G142" s="64">
        <f>IF(A142="","",Firmalar!$H$12)</f>
        <v/>
      </c>
    </row>
    <row r="143" ht="18" customHeight="1">
      <c r="A143" s="61">
        <f>IF(Firmalar!$B$12="","",Firmalar!$B$12)</f>
        <v/>
      </c>
      <c r="B143" s="61">
        <f>IF(Firmalar!$B$12="","",Firmalar!$I$12)</f>
        <v/>
      </c>
      <c r="C143" s="61" t="inlineStr">
        <is>
          <t>Atık planı bitiş</t>
        </is>
      </c>
      <c r="D143" s="62">
        <f>IF(Firmalar!$B$12="","",Firmalar!$FT$12)</f>
        <v/>
      </c>
      <c r="E143" s="63">
        <f>IF(OR(A143="",D143=""),"",D143-TODAY())</f>
        <v/>
      </c>
      <c r="F143" s="64">
        <f>IF(OR(A143="",D143=""),"",IF(D143&lt;TODAY(),"Süresi geçti",IF(D143&lt;=TODAY()+30,"30 gün içinde",IF(D143&lt;=TODAY()+90,"90 gün içinde","İleride"))))</f>
        <v/>
      </c>
      <c r="G143" s="64">
        <f>IF(A143="","",Firmalar!$H$12)</f>
        <v/>
      </c>
    </row>
    <row r="144" ht="18" customHeight="1">
      <c r="A144" s="61">
        <f>IF(Firmalar!$B$12="","",Firmalar!$B$12)</f>
        <v/>
      </c>
      <c r="B144" s="61">
        <f>IF(Firmalar!$B$12="","",Firmalar!$I$12)</f>
        <v/>
      </c>
      <c r="C144" s="61" t="inlineStr">
        <is>
          <t>Emisyon teyidi</t>
        </is>
      </c>
      <c r="D144" s="62">
        <f>IF(Firmalar!$B$12="","",Firmalar!$FU$12)</f>
        <v/>
      </c>
      <c r="E144" s="63">
        <f>IF(OR(A144="",D144=""),"",D144-TODAY())</f>
        <v/>
      </c>
      <c r="F144" s="64">
        <f>IF(OR(A144="",D144=""),"",IF(D144&lt;TODAY(),"Süresi geçti",IF(D144&lt;=TODAY()+30,"30 gün içinde",IF(D144&lt;=TODAY()+90,"90 gün içinde","İleride"))))</f>
        <v/>
      </c>
      <c r="G144" s="64">
        <f>IF(A144="","",Firmalar!$H$12)</f>
        <v/>
      </c>
    </row>
    <row r="145" ht="18" customHeight="1">
      <c r="A145" s="61">
        <f>IF(Firmalar!$B$12="","",Firmalar!$B$12)</f>
        <v/>
      </c>
      <c r="B145" s="61">
        <f>IF(Firmalar!$B$12="","",Firmalar!$I$12)</f>
        <v/>
      </c>
      <c r="C145" s="61" t="inlineStr">
        <is>
          <t>Emisyon ölçümü</t>
        </is>
      </c>
      <c r="D145" s="62">
        <f>IF(Firmalar!$B$12="","",Firmalar!$FV$12)</f>
        <v/>
      </c>
      <c r="E145" s="63">
        <f>IF(OR(A145="",D145=""),"",D145-TODAY())</f>
        <v/>
      </c>
      <c r="F145" s="64">
        <f>IF(OR(A145="",D145=""),"",IF(D145&lt;TODAY(),"Süresi geçti",IF(D145&lt;=TODAY()+30,"30 gün içinde",IF(D145&lt;=TODAY()+90,"90 gün içinde","İleride"))))</f>
        <v/>
      </c>
      <c r="G145" s="64">
        <f>IF(A145="","",Firmalar!$H$12)</f>
        <v/>
      </c>
    </row>
    <row r="146" ht="18" customHeight="1">
      <c r="A146" s="61">
        <f>IF(Firmalar!$B$12="","",Firmalar!$B$12)</f>
        <v/>
      </c>
      <c r="B146" s="61">
        <f>IF(Firmalar!$B$12="","",Firmalar!$I$12)</f>
        <v/>
      </c>
      <c r="C146" s="61" t="inlineStr">
        <is>
          <t>İç tetkik</t>
        </is>
      </c>
      <c r="D146" s="62">
        <f>IF(Firmalar!$B$12="","",Firmalar!$FW$12)</f>
        <v/>
      </c>
      <c r="E146" s="63">
        <f>IF(OR(A146="",D146=""),"",D146-TODAY())</f>
        <v/>
      </c>
      <c r="F146" s="64">
        <f>IF(OR(A146="",D146=""),"",IF(D146&lt;TODAY(),"Süresi geçti",IF(D146&lt;=TODAY()+30,"30 gün içinde",IF(D146&lt;=TODAY()+90,"90 gün içinde","İleride"))))</f>
        <v/>
      </c>
      <c r="G146" s="64">
        <f>IF(A146="","",Firmalar!$H$12)</f>
        <v/>
      </c>
    </row>
    <row r="147" ht="18" customHeight="1">
      <c r="A147" s="61">
        <f>IF(Firmalar!$B$12="","",Firmalar!$B$12)</f>
        <v/>
      </c>
      <c r="B147" s="61">
        <f>IF(Firmalar!$B$12="","",Firmalar!$I$12)</f>
        <v/>
      </c>
      <c r="C147" s="61" t="inlineStr">
        <is>
          <t>İç tetkik planı</t>
        </is>
      </c>
      <c r="D147" s="62">
        <f>IF(Firmalar!$B$12="","",Firmalar!$FX$12)</f>
        <v/>
      </c>
      <c r="E147" s="63">
        <f>IF(OR(A147="",D147=""),"",D147-TODAY())</f>
        <v/>
      </c>
      <c r="F147" s="64">
        <f>IF(OR(A147="",D147=""),"",IF(D147&lt;TODAY(),"Süresi geçti",IF(D147&lt;=TODAY()+30,"30 gün içinde",IF(D147&lt;=TODAY()+90,"90 gün içinde","İleride"))))</f>
        <v/>
      </c>
      <c r="G147" s="64">
        <f>IF(A147="","",Firmalar!$H$12)</f>
        <v/>
      </c>
    </row>
    <row r="148" ht="18" customHeight="1">
      <c r="A148" s="61">
        <f>IF(Firmalar!$B$12="","",Firmalar!$B$12)</f>
        <v/>
      </c>
      <c r="B148" s="61">
        <f>IF(Firmalar!$B$12="","",Firmalar!$I$12)</f>
        <v/>
      </c>
      <c r="C148" s="61" t="inlineStr">
        <is>
          <t>Çevre eğitimi</t>
        </is>
      </c>
      <c r="D148" s="62">
        <f>IF(Firmalar!$B$12="","",Firmalar!$FY$12)</f>
        <v/>
      </c>
      <c r="E148" s="63">
        <f>IF(OR(A148="",D148=""),"",D148-TODAY())</f>
        <v/>
      </c>
      <c r="F148" s="64">
        <f>IF(OR(A148="",D148=""),"",IF(D148&lt;TODAY(),"Süresi geçti",IF(D148&lt;=TODAY()+30,"30 gün içinde",IF(D148&lt;=TODAY()+90,"90 gün içinde","İleride"))))</f>
        <v/>
      </c>
      <c r="G148" s="64">
        <f>IF(A148="","",Firmalar!$H$12)</f>
        <v/>
      </c>
    </row>
    <row r="149" ht="18" customHeight="1">
      <c r="A149" s="61">
        <f>IF(Firmalar!$B$12="","",Firmalar!$B$12)</f>
        <v/>
      </c>
      <c r="B149" s="61">
        <f>IF(Firmalar!$B$12="","",Firmalar!$I$12)</f>
        <v/>
      </c>
      <c r="C149" s="61" t="inlineStr">
        <is>
          <t>Eğitim planı</t>
        </is>
      </c>
      <c r="D149" s="62">
        <f>IF(Firmalar!$B$12="","",Firmalar!$FZ$12)</f>
        <v/>
      </c>
      <c r="E149" s="63">
        <f>IF(OR(A149="",D149=""),"",D149-TODAY())</f>
        <v/>
      </c>
      <c r="F149" s="64">
        <f>IF(OR(A149="",D149=""),"",IF(D149&lt;TODAY(),"Süresi geçti",IF(D149&lt;=TODAY()+30,"30 gün içinde",IF(D149&lt;=TODAY()+90,"90 gün içinde","İleride"))))</f>
        <v/>
      </c>
      <c r="G149" s="64">
        <f>IF(A149="","",Firmalar!$H$12)</f>
        <v/>
      </c>
    </row>
    <row r="150" ht="18" customHeight="1">
      <c r="A150" s="61">
        <f>IF(Firmalar!$B$12="","",Firmalar!$B$12)</f>
        <v/>
      </c>
      <c r="B150" s="61">
        <f>IF(Firmalar!$B$12="","",Firmalar!$I$12)</f>
        <v/>
      </c>
      <c r="C150" s="61" t="inlineStr">
        <is>
          <t>Kanal belgesi bitiş</t>
        </is>
      </c>
      <c r="D150" s="62">
        <f>IF(Firmalar!$B$12="","",Firmalar!$GA$12)</f>
        <v/>
      </c>
      <c r="E150" s="63">
        <f>IF(OR(A150="",D150=""),"",D150-TODAY())</f>
        <v/>
      </c>
      <c r="F150" s="64">
        <f>IF(OR(A150="",D150=""),"",IF(D150&lt;TODAY(),"Süresi geçti",IF(D150&lt;=TODAY()+30,"30 gün içinde",IF(D150&lt;=TODAY()+90,"90 gün içinde","İleride"))))</f>
        <v/>
      </c>
      <c r="G150" s="64">
        <f>IF(A150="","",Firmalar!$H$12)</f>
        <v/>
      </c>
    </row>
    <row r="151" ht="18" customHeight="1">
      <c r="A151" s="61">
        <f>IF(Firmalar!$B$12="","",Firmalar!$B$12)</f>
        <v/>
      </c>
      <c r="B151" s="61">
        <f>IF(Firmalar!$B$12="","",Firmalar!$I$12)</f>
        <v/>
      </c>
      <c r="C151" s="61" t="inlineStr">
        <is>
          <t>Deşarj izni bitiş</t>
        </is>
      </c>
      <c r="D151" s="62">
        <f>IF(Firmalar!$B$12="","",Firmalar!$GB$12)</f>
        <v/>
      </c>
      <c r="E151" s="63">
        <f>IF(OR(A151="",D151=""),"",D151-TODAY())</f>
        <v/>
      </c>
      <c r="F151" s="64">
        <f>IF(OR(A151="",D151=""),"",IF(D151&lt;TODAY(),"Süresi geçti",IF(D151&lt;=TODAY()+30,"30 gün içinde",IF(D151&lt;=TODAY()+90,"90 gün içinde","İleride"))))</f>
        <v/>
      </c>
      <c r="G151" s="64">
        <f>IF(A151="","",Firmalar!$H$12)</f>
        <v/>
      </c>
    </row>
    <row r="152" ht="18" customHeight="1">
      <c r="A152" s="61">
        <f>IF(Firmalar!$B$12="","",Firmalar!$B$12)</f>
        <v/>
      </c>
      <c r="B152" s="61">
        <f>IF(Firmalar!$B$12="","",Firmalar!$I$12)</f>
        <v/>
      </c>
      <c r="C152" s="61" t="inlineStr">
        <is>
          <t>Atıksu analizi</t>
        </is>
      </c>
      <c r="D152" s="62">
        <f>IF(Firmalar!$B$12="","",Firmalar!$GC$12)</f>
        <v/>
      </c>
      <c r="E152" s="63">
        <f>IF(OR(A152="",D152=""),"",D152-TODAY())</f>
        <v/>
      </c>
      <c r="F152" s="64">
        <f>IF(OR(A152="",D152=""),"",IF(D152&lt;TODAY(),"Süresi geçti",IF(D152&lt;=TODAY()+30,"30 gün içinde",IF(D152&lt;=TODAY()+90,"90 gün içinde","İleride"))))</f>
        <v/>
      </c>
      <c r="G152" s="64">
        <f>IF(A152="","",Firmalar!$H$12)</f>
        <v/>
      </c>
    </row>
    <row r="153" ht="18" customHeight="1">
      <c r="A153" s="61">
        <f>IF(Firmalar!$B$12="","",Firmalar!$B$12)</f>
        <v/>
      </c>
      <c r="B153" s="61">
        <f>IF(Firmalar!$B$12="","",Firmalar!$I$12)</f>
        <v/>
      </c>
      <c r="C153" s="61" t="inlineStr">
        <is>
          <t>Saha ziyareti</t>
        </is>
      </c>
      <c r="D153" s="62">
        <f>IF(Firmalar!$B$12="","",Firmalar!$GD$12)</f>
        <v/>
      </c>
      <c r="E153" s="63">
        <f>IF(OR(A153="",D153=""),"",D153-TODAY())</f>
        <v/>
      </c>
      <c r="F153" s="64">
        <f>IF(OR(A153="",D153=""),"",IF(D153&lt;TODAY(),"Süresi geçti",IF(D153&lt;=TODAY()+30,"30 gün içinde",IF(D153&lt;=TODAY()+90,"90 gün içinde","İleride"))))</f>
        <v/>
      </c>
      <c r="G153" s="64">
        <f>IF(A153="","",Firmalar!$H$12)</f>
        <v/>
      </c>
    </row>
    <row r="154" ht="18" customHeight="1">
      <c r="A154" s="61">
        <f>IF(Firmalar!$B$12="","",Firmalar!$B$12)</f>
        <v/>
      </c>
      <c r="B154" s="61">
        <f>IF(Firmalar!$B$12="","",Firmalar!$I$12)</f>
        <v/>
      </c>
      <c r="C154" s="61" t="inlineStr">
        <is>
          <t>Resmî yazı cevabı</t>
        </is>
      </c>
      <c r="D154" s="62">
        <f>IF(Firmalar!$B$12="","",Firmalar!$GE$12)</f>
        <v/>
      </c>
      <c r="E154" s="63">
        <f>IF(OR(A154="",D154=""),"",D154-TODAY())</f>
        <v/>
      </c>
      <c r="F154" s="64">
        <f>IF(OR(A154="",D154=""),"",IF(D154&lt;TODAY(),"Süresi geçti",IF(D154&lt;=TODAY()+30,"30 gün içinde",IF(D154&lt;=TODAY()+90,"90 gün içinde","İleride"))))</f>
        <v/>
      </c>
      <c r="G154" s="64">
        <f>IF(A154="","",Firmalar!$H$12)</f>
        <v/>
      </c>
    </row>
    <row r="155" ht="18" customHeight="1">
      <c r="A155" s="61">
        <f>IF(Firmalar!$B$12="","",Firmalar!$B$12)</f>
        <v/>
      </c>
      <c r="B155" s="61">
        <f>IF(Firmalar!$B$12="","",Firmalar!$I$12)</f>
        <v/>
      </c>
      <c r="C155" s="61" t="inlineStr">
        <is>
          <t>Uygunsuzluk kapanışı</t>
        </is>
      </c>
      <c r="D155" s="62">
        <f>IF(Firmalar!$B$12="","",Firmalar!$GF$12)</f>
        <v/>
      </c>
      <c r="E155" s="63">
        <f>IF(OR(A155="",D155=""),"",D155-TODAY())</f>
        <v/>
      </c>
      <c r="F155" s="64">
        <f>IF(OR(A155="",D155=""),"",IF(D155&lt;TODAY(),"Süresi geçti",IF(D155&lt;=TODAY()+30,"30 gün içinde",IF(D155&lt;=TODAY()+90,"90 gün içinde","İleride"))))</f>
        <v/>
      </c>
      <c r="G155" s="64">
        <f>IF(A155="","",Firmalar!$H$12)</f>
        <v/>
      </c>
    </row>
    <row r="156" ht="18" customHeight="1">
      <c r="A156" s="61">
        <f>IF(Firmalar!$B$12="","",Firmalar!$B$12)</f>
        <v/>
      </c>
      <c r="B156" s="61">
        <f>IF(Firmalar!$B$12="","",Firmalar!$I$12)</f>
        <v/>
      </c>
      <c r="C156" s="61" t="inlineStr">
        <is>
          <t>Öncelikli işlem</t>
        </is>
      </c>
      <c r="D156" s="62">
        <f>IF(Firmalar!$B$12="","",Firmalar!$GG$12)</f>
        <v/>
      </c>
      <c r="E156" s="63">
        <f>IF(OR(A156="",D156=""),"",D156-TODAY())</f>
        <v/>
      </c>
      <c r="F156" s="64">
        <f>IF(OR(A156="",D156=""),"",IF(D156&lt;TODAY(),"Süresi geçti",IF(D156&lt;=TODAY()+30,"30 gün içinde",IF(D156&lt;=TODAY()+90,"90 gün içinde","İleride"))))</f>
        <v/>
      </c>
      <c r="G156" s="64">
        <f>IF(A156="","",Firmalar!$H$12)</f>
        <v/>
      </c>
    </row>
    <row r="157" ht="18" customHeight="1">
      <c r="A157" s="61">
        <f>IF(Firmalar!$B$13="","",Firmalar!$B$13)</f>
        <v/>
      </c>
      <c r="B157" s="61">
        <f>IF(Firmalar!$B$13="","",Firmalar!$I$13)</f>
        <v/>
      </c>
      <c r="C157" s="61" t="inlineStr">
        <is>
          <t>Çevre izni bitiş</t>
        </is>
      </c>
      <c r="D157" s="62">
        <f>IF(Firmalar!$B$13="","",Firmalar!$FO$13)</f>
        <v/>
      </c>
      <c r="E157" s="63">
        <f>IF(OR(A157="",D157=""),"",D157-TODAY())</f>
        <v/>
      </c>
      <c r="F157" s="64">
        <f>IF(OR(A157="",D157=""),"",IF(D157&lt;TODAY(),"Süresi geçti",IF(D157&lt;=TODAY()+30,"30 gün içinde",IF(D157&lt;=TODAY()+90,"90 gün içinde","İleride"))))</f>
        <v/>
      </c>
      <c r="G157" s="64">
        <f>IF(A157="","",Firmalar!$H$13)</f>
        <v/>
      </c>
    </row>
    <row r="158" ht="18" customHeight="1">
      <c r="A158" s="61">
        <f>IF(Firmalar!$B$13="","",Firmalar!$B$13)</f>
        <v/>
      </c>
      <c r="B158" s="61">
        <f>IF(Firmalar!$B$13="","",Firmalar!$I$13)</f>
        <v/>
      </c>
      <c r="C158" s="61" t="inlineStr">
        <is>
          <t>Çevre izni başvurusu</t>
        </is>
      </c>
      <c r="D158" s="62">
        <f>IF(Firmalar!$B$13="","",Firmalar!$FP$13)</f>
        <v/>
      </c>
      <c r="E158" s="63">
        <f>IF(OR(A158="",D158=""),"",D158-TODAY())</f>
        <v/>
      </c>
      <c r="F158" s="64">
        <f>IF(OR(A158="",D158=""),"",IF(D158&lt;TODAY(),"Süresi geçti",IF(D158&lt;=TODAY()+30,"30 gün içinde",IF(D158&lt;=TODAY()+90,"90 gün içinde","İleride"))))</f>
        <v/>
      </c>
      <c r="G158" s="64">
        <f>IF(A158="","",Firmalar!$H$13)</f>
        <v/>
      </c>
    </row>
    <row r="159" ht="18" customHeight="1">
      <c r="A159" s="61">
        <f>IF(Firmalar!$B$13="","",Firmalar!$B$13)</f>
        <v/>
      </c>
      <c r="B159" s="61">
        <f>IF(Firmalar!$B$13="","",Firmalar!$I$13)</f>
        <v/>
      </c>
      <c r="C159" s="61" t="inlineStr">
        <is>
          <t>GFB bitiş</t>
        </is>
      </c>
      <c r="D159" s="62">
        <f>IF(Firmalar!$B$13="","",Firmalar!$FQ$13)</f>
        <v/>
      </c>
      <c r="E159" s="63">
        <f>IF(OR(A159="",D159=""),"",D159-TODAY())</f>
        <v/>
      </c>
      <c r="F159" s="64">
        <f>IF(OR(A159="",D159=""),"",IF(D159&lt;TODAY(),"Süresi geçti",IF(D159&lt;=TODAY()+30,"30 gün içinde",IF(D159&lt;=TODAY()+90,"90 gün içinde","İleride"))))</f>
        <v/>
      </c>
      <c r="G159" s="64">
        <f>IF(A159="","",Firmalar!$H$13)</f>
        <v/>
      </c>
    </row>
    <row r="160" ht="18" customHeight="1">
      <c r="A160" s="61">
        <f>IF(Firmalar!$B$13="","",Firmalar!$B$13)</f>
        <v/>
      </c>
      <c r="B160" s="61">
        <f>IF(Firmalar!$B$13="","",Firmalar!$I$13)</f>
        <v/>
      </c>
      <c r="C160" s="61" t="inlineStr">
        <is>
          <t>Sözleşme bitiş</t>
        </is>
      </c>
      <c r="D160" s="62">
        <f>IF(Firmalar!$B$13="","",Firmalar!$FR$13)</f>
        <v/>
      </c>
      <c r="E160" s="63">
        <f>IF(OR(A160="",D160=""),"",D160-TODAY())</f>
        <v/>
      </c>
      <c r="F160" s="64">
        <f>IF(OR(A160="",D160=""),"",IF(D160&lt;TODAY(),"Süresi geçti",IF(D160&lt;=TODAY()+30,"30 gün içinde",IF(D160&lt;=TODAY()+90,"90 gün içinde","İleride"))))</f>
        <v/>
      </c>
      <c r="G160" s="64">
        <f>IF(A160="","",Firmalar!$H$13)</f>
        <v/>
      </c>
    </row>
    <row r="161" ht="18" customHeight="1">
      <c r="A161" s="61">
        <f>IF(Firmalar!$B$13="","",Firmalar!$B$13)</f>
        <v/>
      </c>
      <c r="B161" s="61">
        <f>IF(Firmalar!$B$13="","",Firmalar!$I$13)</f>
        <v/>
      </c>
      <c r="C161" s="61" t="inlineStr">
        <is>
          <t>Sıfır Atık bitiş</t>
        </is>
      </c>
      <c r="D161" s="62">
        <f>IF(Firmalar!$B$13="","",Firmalar!$FS$13)</f>
        <v/>
      </c>
      <c r="E161" s="63">
        <f>IF(OR(A161="",D161=""),"",D161-TODAY())</f>
        <v/>
      </c>
      <c r="F161" s="64">
        <f>IF(OR(A161="",D161=""),"",IF(D161&lt;TODAY(),"Süresi geçti",IF(D161&lt;=TODAY()+30,"30 gün içinde",IF(D161&lt;=TODAY()+90,"90 gün içinde","İleride"))))</f>
        <v/>
      </c>
      <c r="G161" s="64">
        <f>IF(A161="","",Firmalar!$H$13)</f>
        <v/>
      </c>
    </row>
    <row r="162" ht="18" customHeight="1">
      <c r="A162" s="61">
        <f>IF(Firmalar!$B$13="","",Firmalar!$B$13)</f>
        <v/>
      </c>
      <c r="B162" s="61">
        <f>IF(Firmalar!$B$13="","",Firmalar!$I$13)</f>
        <v/>
      </c>
      <c r="C162" s="61" t="inlineStr">
        <is>
          <t>Atık planı bitiş</t>
        </is>
      </c>
      <c r="D162" s="62">
        <f>IF(Firmalar!$B$13="","",Firmalar!$FT$13)</f>
        <v/>
      </c>
      <c r="E162" s="63">
        <f>IF(OR(A162="",D162=""),"",D162-TODAY())</f>
        <v/>
      </c>
      <c r="F162" s="64">
        <f>IF(OR(A162="",D162=""),"",IF(D162&lt;TODAY(),"Süresi geçti",IF(D162&lt;=TODAY()+30,"30 gün içinde",IF(D162&lt;=TODAY()+90,"90 gün içinde","İleride"))))</f>
        <v/>
      </c>
      <c r="G162" s="64">
        <f>IF(A162="","",Firmalar!$H$13)</f>
        <v/>
      </c>
    </row>
    <row r="163" ht="18" customHeight="1">
      <c r="A163" s="61">
        <f>IF(Firmalar!$B$13="","",Firmalar!$B$13)</f>
        <v/>
      </c>
      <c r="B163" s="61">
        <f>IF(Firmalar!$B$13="","",Firmalar!$I$13)</f>
        <v/>
      </c>
      <c r="C163" s="61" t="inlineStr">
        <is>
          <t>Emisyon teyidi</t>
        </is>
      </c>
      <c r="D163" s="62">
        <f>IF(Firmalar!$B$13="","",Firmalar!$FU$13)</f>
        <v/>
      </c>
      <c r="E163" s="63">
        <f>IF(OR(A163="",D163=""),"",D163-TODAY())</f>
        <v/>
      </c>
      <c r="F163" s="64">
        <f>IF(OR(A163="",D163=""),"",IF(D163&lt;TODAY(),"Süresi geçti",IF(D163&lt;=TODAY()+30,"30 gün içinde",IF(D163&lt;=TODAY()+90,"90 gün içinde","İleride"))))</f>
        <v/>
      </c>
      <c r="G163" s="64">
        <f>IF(A163="","",Firmalar!$H$13)</f>
        <v/>
      </c>
    </row>
    <row r="164" ht="18" customHeight="1">
      <c r="A164" s="61">
        <f>IF(Firmalar!$B$13="","",Firmalar!$B$13)</f>
        <v/>
      </c>
      <c r="B164" s="61">
        <f>IF(Firmalar!$B$13="","",Firmalar!$I$13)</f>
        <v/>
      </c>
      <c r="C164" s="61" t="inlineStr">
        <is>
          <t>Emisyon ölçümü</t>
        </is>
      </c>
      <c r="D164" s="62">
        <f>IF(Firmalar!$B$13="","",Firmalar!$FV$13)</f>
        <v/>
      </c>
      <c r="E164" s="63">
        <f>IF(OR(A164="",D164=""),"",D164-TODAY())</f>
        <v/>
      </c>
      <c r="F164" s="64">
        <f>IF(OR(A164="",D164=""),"",IF(D164&lt;TODAY(),"Süresi geçti",IF(D164&lt;=TODAY()+30,"30 gün içinde",IF(D164&lt;=TODAY()+90,"90 gün içinde","İleride"))))</f>
        <v/>
      </c>
      <c r="G164" s="64">
        <f>IF(A164="","",Firmalar!$H$13)</f>
        <v/>
      </c>
    </row>
    <row r="165" ht="18" customHeight="1">
      <c r="A165" s="61">
        <f>IF(Firmalar!$B$13="","",Firmalar!$B$13)</f>
        <v/>
      </c>
      <c r="B165" s="61">
        <f>IF(Firmalar!$B$13="","",Firmalar!$I$13)</f>
        <v/>
      </c>
      <c r="C165" s="61" t="inlineStr">
        <is>
          <t>İç tetkik</t>
        </is>
      </c>
      <c r="D165" s="62">
        <f>IF(Firmalar!$B$13="","",Firmalar!$FW$13)</f>
        <v/>
      </c>
      <c r="E165" s="63">
        <f>IF(OR(A165="",D165=""),"",D165-TODAY())</f>
        <v/>
      </c>
      <c r="F165" s="64">
        <f>IF(OR(A165="",D165=""),"",IF(D165&lt;TODAY(),"Süresi geçti",IF(D165&lt;=TODAY()+30,"30 gün içinde",IF(D165&lt;=TODAY()+90,"90 gün içinde","İleride"))))</f>
        <v/>
      </c>
      <c r="G165" s="64">
        <f>IF(A165="","",Firmalar!$H$13)</f>
        <v/>
      </c>
    </row>
    <row r="166" ht="18" customHeight="1">
      <c r="A166" s="61">
        <f>IF(Firmalar!$B$13="","",Firmalar!$B$13)</f>
        <v/>
      </c>
      <c r="B166" s="61">
        <f>IF(Firmalar!$B$13="","",Firmalar!$I$13)</f>
        <v/>
      </c>
      <c r="C166" s="61" t="inlineStr">
        <is>
          <t>İç tetkik planı</t>
        </is>
      </c>
      <c r="D166" s="62">
        <f>IF(Firmalar!$B$13="","",Firmalar!$FX$13)</f>
        <v/>
      </c>
      <c r="E166" s="63">
        <f>IF(OR(A166="",D166=""),"",D166-TODAY())</f>
        <v/>
      </c>
      <c r="F166" s="64">
        <f>IF(OR(A166="",D166=""),"",IF(D166&lt;TODAY(),"Süresi geçti",IF(D166&lt;=TODAY()+30,"30 gün içinde",IF(D166&lt;=TODAY()+90,"90 gün içinde","İleride"))))</f>
        <v/>
      </c>
      <c r="G166" s="64">
        <f>IF(A166="","",Firmalar!$H$13)</f>
        <v/>
      </c>
    </row>
    <row r="167" ht="18" customHeight="1">
      <c r="A167" s="61">
        <f>IF(Firmalar!$B$13="","",Firmalar!$B$13)</f>
        <v/>
      </c>
      <c r="B167" s="61">
        <f>IF(Firmalar!$B$13="","",Firmalar!$I$13)</f>
        <v/>
      </c>
      <c r="C167" s="61" t="inlineStr">
        <is>
          <t>Çevre eğitimi</t>
        </is>
      </c>
      <c r="D167" s="62">
        <f>IF(Firmalar!$B$13="","",Firmalar!$FY$13)</f>
        <v/>
      </c>
      <c r="E167" s="63">
        <f>IF(OR(A167="",D167=""),"",D167-TODAY())</f>
        <v/>
      </c>
      <c r="F167" s="64">
        <f>IF(OR(A167="",D167=""),"",IF(D167&lt;TODAY(),"Süresi geçti",IF(D167&lt;=TODAY()+30,"30 gün içinde",IF(D167&lt;=TODAY()+90,"90 gün içinde","İleride"))))</f>
        <v/>
      </c>
      <c r="G167" s="64">
        <f>IF(A167="","",Firmalar!$H$13)</f>
        <v/>
      </c>
    </row>
    <row r="168" ht="18" customHeight="1">
      <c r="A168" s="61">
        <f>IF(Firmalar!$B$13="","",Firmalar!$B$13)</f>
        <v/>
      </c>
      <c r="B168" s="61">
        <f>IF(Firmalar!$B$13="","",Firmalar!$I$13)</f>
        <v/>
      </c>
      <c r="C168" s="61" t="inlineStr">
        <is>
          <t>Eğitim planı</t>
        </is>
      </c>
      <c r="D168" s="62">
        <f>IF(Firmalar!$B$13="","",Firmalar!$FZ$13)</f>
        <v/>
      </c>
      <c r="E168" s="63">
        <f>IF(OR(A168="",D168=""),"",D168-TODAY())</f>
        <v/>
      </c>
      <c r="F168" s="64">
        <f>IF(OR(A168="",D168=""),"",IF(D168&lt;TODAY(),"Süresi geçti",IF(D168&lt;=TODAY()+30,"30 gün içinde",IF(D168&lt;=TODAY()+90,"90 gün içinde","İleride"))))</f>
        <v/>
      </c>
      <c r="G168" s="64">
        <f>IF(A168="","",Firmalar!$H$13)</f>
        <v/>
      </c>
    </row>
    <row r="169" ht="18" customHeight="1">
      <c r="A169" s="61">
        <f>IF(Firmalar!$B$13="","",Firmalar!$B$13)</f>
        <v/>
      </c>
      <c r="B169" s="61">
        <f>IF(Firmalar!$B$13="","",Firmalar!$I$13)</f>
        <v/>
      </c>
      <c r="C169" s="61" t="inlineStr">
        <is>
          <t>Kanal belgesi bitiş</t>
        </is>
      </c>
      <c r="D169" s="62">
        <f>IF(Firmalar!$B$13="","",Firmalar!$GA$13)</f>
        <v/>
      </c>
      <c r="E169" s="63">
        <f>IF(OR(A169="",D169=""),"",D169-TODAY())</f>
        <v/>
      </c>
      <c r="F169" s="64">
        <f>IF(OR(A169="",D169=""),"",IF(D169&lt;TODAY(),"Süresi geçti",IF(D169&lt;=TODAY()+30,"30 gün içinde",IF(D169&lt;=TODAY()+90,"90 gün içinde","İleride"))))</f>
        <v/>
      </c>
      <c r="G169" s="64">
        <f>IF(A169="","",Firmalar!$H$13)</f>
        <v/>
      </c>
    </row>
    <row r="170" ht="18" customHeight="1">
      <c r="A170" s="61">
        <f>IF(Firmalar!$B$13="","",Firmalar!$B$13)</f>
        <v/>
      </c>
      <c r="B170" s="61">
        <f>IF(Firmalar!$B$13="","",Firmalar!$I$13)</f>
        <v/>
      </c>
      <c r="C170" s="61" t="inlineStr">
        <is>
          <t>Deşarj izni bitiş</t>
        </is>
      </c>
      <c r="D170" s="62">
        <f>IF(Firmalar!$B$13="","",Firmalar!$GB$13)</f>
        <v/>
      </c>
      <c r="E170" s="63">
        <f>IF(OR(A170="",D170=""),"",D170-TODAY())</f>
        <v/>
      </c>
      <c r="F170" s="64">
        <f>IF(OR(A170="",D170=""),"",IF(D170&lt;TODAY(),"Süresi geçti",IF(D170&lt;=TODAY()+30,"30 gün içinde",IF(D170&lt;=TODAY()+90,"90 gün içinde","İleride"))))</f>
        <v/>
      </c>
      <c r="G170" s="64">
        <f>IF(A170="","",Firmalar!$H$13)</f>
        <v/>
      </c>
    </row>
    <row r="171" ht="18" customHeight="1">
      <c r="A171" s="61">
        <f>IF(Firmalar!$B$13="","",Firmalar!$B$13)</f>
        <v/>
      </c>
      <c r="B171" s="61">
        <f>IF(Firmalar!$B$13="","",Firmalar!$I$13)</f>
        <v/>
      </c>
      <c r="C171" s="61" t="inlineStr">
        <is>
          <t>Atıksu analizi</t>
        </is>
      </c>
      <c r="D171" s="62">
        <f>IF(Firmalar!$B$13="","",Firmalar!$GC$13)</f>
        <v/>
      </c>
      <c r="E171" s="63">
        <f>IF(OR(A171="",D171=""),"",D171-TODAY())</f>
        <v/>
      </c>
      <c r="F171" s="64">
        <f>IF(OR(A171="",D171=""),"",IF(D171&lt;TODAY(),"Süresi geçti",IF(D171&lt;=TODAY()+30,"30 gün içinde",IF(D171&lt;=TODAY()+90,"90 gün içinde","İleride"))))</f>
        <v/>
      </c>
      <c r="G171" s="64">
        <f>IF(A171="","",Firmalar!$H$13)</f>
        <v/>
      </c>
    </row>
    <row r="172" ht="18" customHeight="1">
      <c r="A172" s="61">
        <f>IF(Firmalar!$B$13="","",Firmalar!$B$13)</f>
        <v/>
      </c>
      <c r="B172" s="61">
        <f>IF(Firmalar!$B$13="","",Firmalar!$I$13)</f>
        <v/>
      </c>
      <c r="C172" s="61" t="inlineStr">
        <is>
          <t>Saha ziyareti</t>
        </is>
      </c>
      <c r="D172" s="62">
        <f>IF(Firmalar!$B$13="","",Firmalar!$GD$13)</f>
        <v/>
      </c>
      <c r="E172" s="63">
        <f>IF(OR(A172="",D172=""),"",D172-TODAY())</f>
        <v/>
      </c>
      <c r="F172" s="64">
        <f>IF(OR(A172="",D172=""),"",IF(D172&lt;TODAY(),"Süresi geçti",IF(D172&lt;=TODAY()+30,"30 gün içinde",IF(D172&lt;=TODAY()+90,"90 gün içinde","İleride"))))</f>
        <v/>
      </c>
      <c r="G172" s="64">
        <f>IF(A172="","",Firmalar!$H$13)</f>
        <v/>
      </c>
    </row>
    <row r="173" ht="18" customHeight="1">
      <c r="A173" s="61">
        <f>IF(Firmalar!$B$13="","",Firmalar!$B$13)</f>
        <v/>
      </c>
      <c r="B173" s="61">
        <f>IF(Firmalar!$B$13="","",Firmalar!$I$13)</f>
        <v/>
      </c>
      <c r="C173" s="61" t="inlineStr">
        <is>
          <t>Resmî yazı cevabı</t>
        </is>
      </c>
      <c r="D173" s="62">
        <f>IF(Firmalar!$B$13="","",Firmalar!$GE$13)</f>
        <v/>
      </c>
      <c r="E173" s="63">
        <f>IF(OR(A173="",D173=""),"",D173-TODAY())</f>
        <v/>
      </c>
      <c r="F173" s="64">
        <f>IF(OR(A173="",D173=""),"",IF(D173&lt;TODAY(),"Süresi geçti",IF(D173&lt;=TODAY()+30,"30 gün içinde",IF(D173&lt;=TODAY()+90,"90 gün içinde","İleride"))))</f>
        <v/>
      </c>
      <c r="G173" s="64">
        <f>IF(A173="","",Firmalar!$H$13)</f>
        <v/>
      </c>
    </row>
    <row r="174" ht="18" customHeight="1">
      <c r="A174" s="61">
        <f>IF(Firmalar!$B$13="","",Firmalar!$B$13)</f>
        <v/>
      </c>
      <c r="B174" s="61">
        <f>IF(Firmalar!$B$13="","",Firmalar!$I$13)</f>
        <v/>
      </c>
      <c r="C174" s="61" t="inlineStr">
        <is>
          <t>Uygunsuzluk kapanışı</t>
        </is>
      </c>
      <c r="D174" s="62">
        <f>IF(Firmalar!$B$13="","",Firmalar!$GF$13)</f>
        <v/>
      </c>
      <c r="E174" s="63">
        <f>IF(OR(A174="",D174=""),"",D174-TODAY())</f>
        <v/>
      </c>
      <c r="F174" s="64">
        <f>IF(OR(A174="",D174=""),"",IF(D174&lt;TODAY(),"Süresi geçti",IF(D174&lt;=TODAY()+30,"30 gün içinde",IF(D174&lt;=TODAY()+90,"90 gün içinde","İleride"))))</f>
        <v/>
      </c>
      <c r="G174" s="64">
        <f>IF(A174="","",Firmalar!$H$13)</f>
        <v/>
      </c>
    </row>
    <row r="175" ht="18" customHeight="1">
      <c r="A175" s="61">
        <f>IF(Firmalar!$B$13="","",Firmalar!$B$13)</f>
        <v/>
      </c>
      <c r="B175" s="61">
        <f>IF(Firmalar!$B$13="","",Firmalar!$I$13)</f>
        <v/>
      </c>
      <c r="C175" s="61" t="inlineStr">
        <is>
          <t>Öncelikli işlem</t>
        </is>
      </c>
      <c r="D175" s="62">
        <f>IF(Firmalar!$B$13="","",Firmalar!$GG$13)</f>
        <v/>
      </c>
      <c r="E175" s="63">
        <f>IF(OR(A175="",D175=""),"",D175-TODAY())</f>
        <v/>
      </c>
      <c r="F175" s="64">
        <f>IF(OR(A175="",D175=""),"",IF(D175&lt;TODAY(),"Süresi geçti",IF(D175&lt;=TODAY()+30,"30 gün içinde",IF(D175&lt;=TODAY()+90,"90 gün içinde","İleride"))))</f>
        <v/>
      </c>
      <c r="G175" s="64">
        <f>IF(A175="","",Firmalar!$H$13)</f>
        <v/>
      </c>
    </row>
    <row r="176" ht="18" customHeight="1">
      <c r="A176" s="61">
        <f>IF(Firmalar!$B$14="","",Firmalar!$B$14)</f>
        <v/>
      </c>
      <c r="B176" s="61">
        <f>IF(Firmalar!$B$14="","",Firmalar!$I$14)</f>
        <v/>
      </c>
      <c r="C176" s="61" t="inlineStr">
        <is>
          <t>Çevre izni bitiş</t>
        </is>
      </c>
      <c r="D176" s="62">
        <f>IF(Firmalar!$B$14="","",Firmalar!$FO$14)</f>
        <v/>
      </c>
      <c r="E176" s="63">
        <f>IF(OR(A176="",D176=""),"",D176-TODAY())</f>
        <v/>
      </c>
      <c r="F176" s="64">
        <f>IF(OR(A176="",D176=""),"",IF(D176&lt;TODAY(),"Süresi geçti",IF(D176&lt;=TODAY()+30,"30 gün içinde",IF(D176&lt;=TODAY()+90,"90 gün içinde","İleride"))))</f>
        <v/>
      </c>
      <c r="G176" s="64">
        <f>IF(A176="","",Firmalar!$H$14)</f>
        <v/>
      </c>
    </row>
    <row r="177" ht="18" customHeight="1">
      <c r="A177" s="61">
        <f>IF(Firmalar!$B$14="","",Firmalar!$B$14)</f>
        <v/>
      </c>
      <c r="B177" s="61">
        <f>IF(Firmalar!$B$14="","",Firmalar!$I$14)</f>
        <v/>
      </c>
      <c r="C177" s="61" t="inlineStr">
        <is>
          <t>Çevre izni başvurusu</t>
        </is>
      </c>
      <c r="D177" s="62">
        <f>IF(Firmalar!$B$14="","",Firmalar!$FP$14)</f>
        <v/>
      </c>
      <c r="E177" s="63">
        <f>IF(OR(A177="",D177=""),"",D177-TODAY())</f>
        <v/>
      </c>
      <c r="F177" s="64">
        <f>IF(OR(A177="",D177=""),"",IF(D177&lt;TODAY(),"Süresi geçti",IF(D177&lt;=TODAY()+30,"30 gün içinde",IF(D177&lt;=TODAY()+90,"90 gün içinde","İleride"))))</f>
        <v/>
      </c>
      <c r="G177" s="64">
        <f>IF(A177="","",Firmalar!$H$14)</f>
        <v/>
      </c>
    </row>
    <row r="178" ht="18" customHeight="1">
      <c r="A178" s="61">
        <f>IF(Firmalar!$B$14="","",Firmalar!$B$14)</f>
        <v/>
      </c>
      <c r="B178" s="61">
        <f>IF(Firmalar!$B$14="","",Firmalar!$I$14)</f>
        <v/>
      </c>
      <c r="C178" s="61" t="inlineStr">
        <is>
          <t>GFB bitiş</t>
        </is>
      </c>
      <c r="D178" s="62">
        <f>IF(Firmalar!$B$14="","",Firmalar!$FQ$14)</f>
        <v/>
      </c>
      <c r="E178" s="63">
        <f>IF(OR(A178="",D178=""),"",D178-TODAY())</f>
        <v/>
      </c>
      <c r="F178" s="64">
        <f>IF(OR(A178="",D178=""),"",IF(D178&lt;TODAY(),"Süresi geçti",IF(D178&lt;=TODAY()+30,"30 gün içinde",IF(D178&lt;=TODAY()+90,"90 gün içinde","İleride"))))</f>
        <v/>
      </c>
      <c r="G178" s="64">
        <f>IF(A178="","",Firmalar!$H$14)</f>
        <v/>
      </c>
    </row>
    <row r="179" ht="18" customHeight="1">
      <c r="A179" s="61">
        <f>IF(Firmalar!$B$14="","",Firmalar!$B$14)</f>
        <v/>
      </c>
      <c r="B179" s="61">
        <f>IF(Firmalar!$B$14="","",Firmalar!$I$14)</f>
        <v/>
      </c>
      <c r="C179" s="61" t="inlineStr">
        <is>
          <t>Sözleşme bitiş</t>
        </is>
      </c>
      <c r="D179" s="62">
        <f>IF(Firmalar!$B$14="","",Firmalar!$FR$14)</f>
        <v/>
      </c>
      <c r="E179" s="63">
        <f>IF(OR(A179="",D179=""),"",D179-TODAY())</f>
        <v/>
      </c>
      <c r="F179" s="64">
        <f>IF(OR(A179="",D179=""),"",IF(D179&lt;TODAY(),"Süresi geçti",IF(D179&lt;=TODAY()+30,"30 gün içinde",IF(D179&lt;=TODAY()+90,"90 gün içinde","İleride"))))</f>
        <v/>
      </c>
      <c r="G179" s="64">
        <f>IF(A179="","",Firmalar!$H$14)</f>
        <v/>
      </c>
    </row>
    <row r="180" ht="18" customHeight="1">
      <c r="A180" s="61">
        <f>IF(Firmalar!$B$14="","",Firmalar!$B$14)</f>
        <v/>
      </c>
      <c r="B180" s="61">
        <f>IF(Firmalar!$B$14="","",Firmalar!$I$14)</f>
        <v/>
      </c>
      <c r="C180" s="61" t="inlineStr">
        <is>
          <t>Sıfır Atık bitiş</t>
        </is>
      </c>
      <c r="D180" s="62">
        <f>IF(Firmalar!$B$14="","",Firmalar!$FS$14)</f>
        <v/>
      </c>
      <c r="E180" s="63">
        <f>IF(OR(A180="",D180=""),"",D180-TODAY())</f>
        <v/>
      </c>
      <c r="F180" s="64">
        <f>IF(OR(A180="",D180=""),"",IF(D180&lt;TODAY(),"Süresi geçti",IF(D180&lt;=TODAY()+30,"30 gün içinde",IF(D180&lt;=TODAY()+90,"90 gün içinde","İleride"))))</f>
        <v/>
      </c>
      <c r="G180" s="64">
        <f>IF(A180="","",Firmalar!$H$14)</f>
        <v/>
      </c>
    </row>
    <row r="181" ht="18" customHeight="1">
      <c r="A181" s="61">
        <f>IF(Firmalar!$B$14="","",Firmalar!$B$14)</f>
        <v/>
      </c>
      <c r="B181" s="61">
        <f>IF(Firmalar!$B$14="","",Firmalar!$I$14)</f>
        <v/>
      </c>
      <c r="C181" s="61" t="inlineStr">
        <is>
          <t>Atık planı bitiş</t>
        </is>
      </c>
      <c r="D181" s="62">
        <f>IF(Firmalar!$B$14="","",Firmalar!$FT$14)</f>
        <v/>
      </c>
      <c r="E181" s="63">
        <f>IF(OR(A181="",D181=""),"",D181-TODAY())</f>
        <v/>
      </c>
      <c r="F181" s="64">
        <f>IF(OR(A181="",D181=""),"",IF(D181&lt;TODAY(),"Süresi geçti",IF(D181&lt;=TODAY()+30,"30 gün içinde",IF(D181&lt;=TODAY()+90,"90 gün içinde","İleride"))))</f>
        <v/>
      </c>
      <c r="G181" s="64">
        <f>IF(A181="","",Firmalar!$H$14)</f>
        <v/>
      </c>
    </row>
    <row r="182" ht="18" customHeight="1">
      <c r="A182" s="61">
        <f>IF(Firmalar!$B$14="","",Firmalar!$B$14)</f>
        <v/>
      </c>
      <c r="B182" s="61">
        <f>IF(Firmalar!$B$14="","",Firmalar!$I$14)</f>
        <v/>
      </c>
      <c r="C182" s="61" t="inlineStr">
        <is>
          <t>Emisyon teyidi</t>
        </is>
      </c>
      <c r="D182" s="62">
        <f>IF(Firmalar!$B$14="","",Firmalar!$FU$14)</f>
        <v/>
      </c>
      <c r="E182" s="63">
        <f>IF(OR(A182="",D182=""),"",D182-TODAY())</f>
        <v/>
      </c>
      <c r="F182" s="64">
        <f>IF(OR(A182="",D182=""),"",IF(D182&lt;TODAY(),"Süresi geçti",IF(D182&lt;=TODAY()+30,"30 gün içinde",IF(D182&lt;=TODAY()+90,"90 gün içinde","İleride"))))</f>
        <v/>
      </c>
      <c r="G182" s="64">
        <f>IF(A182="","",Firmalar!$H$14)</f>
        <v/>
      </c>
    </row>
    <row r="183" ht="18" customHeight="1">
      <c r="A183" s="61">
        <f>IF(Firmalar!$B$14="","",Firmalar!$B$14)</f>
        <v/>
      </c>
      <c r="B183" s="61">
        <f>IF(Firmalar!$B$14="","",Firmalar!$I$14)</f>
        <v/>
      </c>
      <c r="C183" s="61" t="inlineStr">
        <is>
          <t>Emisyon ölçümü</t>
        </is>
      </c>
      <c r="D183" s="62">
        <f>IF(Firmalar!$B$14="","",Firmalar!$FV$14)</f>
        <v/>
      </c>
      <c r="E183" s="63">
        <f>IF(OR(A183="",D183=""),"",D183-TODAY())</f>
        <v/>
      </c>
      <c r="F183" s="64">
        <f>IF(OR(A183="",D183=""),"",IF(D183&lt;TODAY(),"Süresi geçti",IF(D183&lt;=TODAY()+30,"30 gün içinde",IF(D183&lt;=TODAY()+90,"90 gün içinde","İleride"))))</f>
        <v/>
      </c>
      <c r="G183" s="64">
        <f>IF(A183="","",Firmalar!$H$14)</f>
        <v/>
      </c>
    </row>
    <row r="184" ht="18" customHeight="1">
      <c r="A184" s="61">
        <f>IF(Firmalar!$B$14="","",Firmalar!$B$14)</f>
        <v/>
      </c>
      <c r="B184" s="61">
        <f>IF(Firmalar!$B$14="","",Firmalar!$I$14)</f>
        <v/>
      </c>
      <c r="C184" s="61" t="inlineStr">
        <is>
          <t>İç tetkik</t>
        </is>
      </c>
      <c r="D184" s="62">
        <f>IF(Firmalar!$B$14="","",Firmalar!$FW$14)</f>
        <v/>
      </c>
      <c r="E184" s="63">
        <f>IF(OR(A184="",D184=""),"",D184-TODAY())</f>
        <v/>
      </c>
      <c r="F184" s="64">
        <f>IF(OR(A184="",D184=""),"",IF(D184&lt;TODAY(),"Süresi geçti",IF(D184&lt;=TODAY()+30,"30 gün içinde",IF(D184&lt;=TODAY()+90,"90 gün içinde","İleride"))))</f>
        <v/>
      </c>
      <c r="G184" s="64">
        <f>IF(A184="","",Firmalar!$H$14)</f>
        <v/>
      </c>
    </row>
    <row r="185" ht="18" customHeight="1">
      <c r="A185" s="61">
        <f>IF(Firmalar!$B$14="","",Firmalar!$B$14)</f>
        <v/>
      </c>
      <c r="B185" s="61">
        <f>IF(Firmalar!$B$14="","",Firmalar!$I$14)</f>
        <v/>
      </c>
      <c r="C185" s="61" t="inlineStr">
        <is>
          <t>İç tetkik planı</t>
        </is>
      </c>
      <c r="D185" s="62">
        <f>IF(Firmalar!$B$14="","",Firmalar!$FX$14)</f>
        <v/>
      </c>
      <c r="E185" s="63">
        <f>IF(OR(A185="",D185=""),"",D185-TODAY())</f>
        <v/>
      </c>
      <c r="F185" s="64">
        <f>IF(OR(A185="",D185=""),"",IF(D185&lt;TODAY(),"Süresi geçti",IF(D185&lt;=TODAY()+30,"30 gün içinde",IF(D185&lt;=TODAY()+90,"90 gün içinde","İleride"))))</f>
        <v/>
      </c>
      <c r="G185" s="64">
        <f>IF(A185="","",Firmalar!$H$14)</f>
        <v/>
      </c>
    </row>
    <row r="186" ht="18" customHeight="1">
      <c r="A186" s="61">
        <f>IF(Firmalar!$B$14="","",Firmalar!$B$14)</f>
        <v/>
      </c>
      <c r="B186" s="61">
        <f>IF(Firmalar!$B$14="","",Firmalar!$I$14)</f>
        <v/>
      </c>
      <c r="C186" s="61" t="inlineStr">
        <is>
          <t>Çevre eğitimi</t>
        </is>
      </c>
      <c r="D186" s="62">
        <f>IF(Firmalar!$B$14="","",Firmalar!$FY$14)</f>
        <v/>
      </c>
      <c r="E186" s="63">
        <f>IF(OR(A186="",D186=""),"",D186-TODAY())</f>
        <v/>
      </c>
      <c r="F186" s="64">
        <f>IF(OR(A186="",D186=""),"",IF(D186&lt;TODAY(),"Süresi geçti",IF(D186&lt;=TODAY()+30,"30 gün içinde",IF(D186&lt;=TODAY()+90,"90 gün içinde","İleride"))))</f>
        <v/>
      </c>
      <c r="G186" s="64">
        <f>IF(A186="","",Firmalar!$H$14)</f>
        <v/>
      </c>
    </row>
    <row r="187" ht="18" customHeight="1">
      <c r="A187" s="61">
        <f>IF(Firmalar!$B$14="","",Firmalar!$B$14)</f>
        <v/>
      </c>
      <c r="B187" s="61">
        <f>IF(Firmalar!$B$14="","",Firmalar!$I$14)</f>
        <v/>
      </c>
      <c r="C187" s="61" t="inlineStr">
        <is>
          <t>Eğitim planı</t>
        </is>
      </c>
      <c r="D187" s="62">
        <f>IF(Firmalar!$B$14="","",Firmalar!$FZ$14)</f>
        <v/>
      </c>
      <c r="E187" s="63">
        <f>IF(OR(A187="",D187=""),"",D187-TODAY())</f>
        <v/>
      </c>
      <c r="F187" s="64">
        <f>IF(OR(A187="",D187=""),"",IF(D187&lt;TODAY(),"Süresi geçti",IF(D187&lt;=TODAY()+30,"30 gün içinde",IF(D187&lt;=TODAY()+90,"90 gün içinde","İleride"))))</f>
        <v/>
      </c>
      <c r="G187" s="64">
        <f>IF(A187="","",Firmalar!$H$14)</f>
        <v/>
      </c>
    </row>
    <row r="188" ht="18" customHeight="1">
      <c r="A188" s="61">
        <f>IF(Firmalar!$B$14="","",Firmalar!$B$14)</f>
        <v/>
      </c>
      <c r="B188" s="61">
        <f>IF(Firmalar!$B$14="","",Firmalar!$I$14)</f>
        <v/>
      </c>
      <c r="C188" s="61" t="inlineStr">
        <is>
          <t>Kanal belgesi bitiş</t>
        </is>
      </c>
      <c r="D188" s="62">
        <f>IF(Firmalar!$B$14="","",Firmalar!$GA$14)</f>
        <v/>
      </c>
      <c r="E188" s="63">
        <f>IF(OR(A188="",D188=""),"",D188-TODAY())</f>
        <v/>
      </c>
      <c r="F188" s="64">
        <f>IF(OR(A188="",D188=""),"",IF(D188&lt;TODAY(),"Süresi geçti",IF(D188&lt;=TODAY()+30,"30 gün içinde",IF(D188&lt;=TODAY()+90,"90 gün içinde","İleride"))))</f>
        <v/>
      </c>
      <c r="G188" s="64">
        <f>IF(A188="","",Firmalar!$H$14)</f>
        <v/>
      </c>
    </row>
    <row r="189" ht="18" customHeight="1">
      <c r="A189" s="61">
        <f>IF(Firmalar!$B$14="","",Firmalar!$B$14)</f>
        <v/>
      </c>
      <c r="B189" s="61">
        <f>IF(Firmalar!$B$14="","",Firmalar!$I$14)</f>
        <v/>
      </c>
      <c r="C189" s="61" t="inlineStr">
        <is>
          <t>Deşarj izni bitiş</t>
        </is>
      </c>
      <c r="D189" s="62">
        <f>IF(Firmalar!$B$14="","",Firmalar!$GB$14)</f>
        <v/>
      </c>
      <c r="E189" s="63">
        <f>IF(OR(A189="",D189=""),"",D189-TODAY())</f>
        <v/>
      </c>
      <c r="F189" s="64">
        <f>IF(OR(A189="",D189=""),"",IF(D189&lt;TODAY(),"Süresi geçti",IF(D189&lt;=TODAY()+30,"30 gün içinde",IF(D189&lt;=TODAY()+90,"90 gün içinde","İleride"))))</f>
        <v/>
      </c>
      <c r="G189" s="64">
        <f>IF(A189="","",Firmalar!$H$14)</f>
        <v/>
      </c>
    </row>
    <row r="190" ht="18" customHeight="1">
      <c r="A190" s="61">
        <f>IF(Firmalar!$B$14="","",Firmalar!$B$14)</f>
        <v/>
      </c>
      <c r="B190" s="61">
        <f>IF(Firmalar!$B$14="","",Firmalar!$I$14)</f>
        <v/>
      </c>
      <c r="C190" s="61" t="inlineStr">
        <is>
          <t>Atıksu analizi</t>
        </is>
      </c>
      <c r="D190" s="62">
        <f>IF(Firmalar!$B$14="","",Firmalar!$GC$14)</f>
        <v/>
      </c>
      <c r="E190" s="63">
        <f>IF(OR(A190="",D190=""),"",D190-TODAY())</f>
        <v/>
      </c>
      <c r="F190" s="64">
        <f>IF(OR(A190="",D190=""),"",IF(D190&lt;TODAY(),"Süresi geçti",IF(D190&lt;=TODAY()+30,"30 gün içinde",IF(D190&lt;=TODAY()+90,"90 gün içinde","İleride"))))</f>
        <v/>
      </c>
      <c r="G190" s="64">
        <f>IF(A190="","",Firmalar!$H$14)</f>
        <v/>
      </c>
    </row>
    <row r="191" ht="18" customHeight="1">
      <c r="A191" s="61">
        <f>IF(Firmalar!$B$14="","",Firmalar!$B$14)</f>
        <v/>
      </c>
      <c r="B191" s="61">
        <f>IF(Firmalar!$B$14="","",Firmalar!$I$14)</f>
        <v/>
      </c>
      <c r="C191" s="61" t="inlineStr">
        <is>
          <t>Saha ziyareti</t>
        </is>
      </c>
      <c r="D191" s="62">
        <f>IF(Firmalar!$B$14="","",Firmalar!$GD$14)</f>
        <v/>
      </c>
      <c r="E191" s="63">
        <f>IF(OR(A191="",D191=""),"",D191-TODAY())</f>
        <v/>
      </c>
      <c r="F191" s="64">
        <f>IF(OR(A191="",D191=""),"",IF(D191&lt;TODAY(),"Süresi geçti",IF(D191&lt;=TODAY()+30,"30 gün içinde",IF(D191&lt;=TODAY()+90,"90 gün içinde","İleride"))))</f>
        <v/>
      </c>
      <c r="G191" s="64">
        <f>IF(A191="","",Firmalar!$H$14)</f>
        <v/>
      </c>
    </row>
    <row r="192" ht="18" customHeight="1">
      <c r="A192" s="61">
        <f>IF(Firmalar!$B$14="","",Firmalar!$B$14)</f>
        <v/>
      </c>
      <c r="B192" s="61">
        <f>IF(Firmalar!$B$14="","",Firmalar!$I$14)</f>
        <v/>
      </c>
      <c r="C192" s="61" t="inlineStr">
        <is>
          <t>Resmî yazı cevabı</t>
        </is>
      </c>
      <c r="D192" s="62">
        <f>IF(Firmalar!$B$14="","",Firmalar!$GE$14)</f>
        <v/>
      </c>
      <c r="E192" s="63">
        <f>IF(OR(A192="",D192=""),"",D192-TODAY())</f>
        <v/>
      </c>
      <c r="F192" s="64">
        <f>IF(OR(A192="",D192=""),"",IF(D192&lt;TODAY(),"Süresi geçti",IF(D192&lt;=TODAY()+30,"30 gün içinde",IF(D192&lt;=TODAY()+90,"90 gün içinde","İleride"))))</f>
        <v/>
      </c>
      <c r="G192" s="64">
        <f>IF(A192="","",Firmalar!$H$14)</f>
        <v/>
      </c>
    </row>
    <row r="193" ht="18" customHeight="1">
      <c r="A193" s="61">
        <f>IF(Firmalar!$B$14="","",Firmalar!$B$14)</f>
        <v/>
      </c>
      <c r="B193" s="61">
        <f>IF(Firmalar!$B$14="","",Firmalar!$I$14)</f>
        <v/>
      </c>
      <c r="C193" s="61" t="inlineStr">
        <is>
          <t>Uygunsuzluk kapanışı</t>
        </is>
      </c>
      <c r="D193" s="62">
        <f>IF(Firmalar!$B$14="","",Firmalar!$GF$14)</f>
        <v/>
      </c>
      <c r="E193" s="63">
        <f>IF(OR(A193="",D193=""),"",D193-TODAY())</f>
        <v/>
      </c>
      <c r="F193" s="64">
        <f>IF(OR(A193="",D193=""),"",IF(D193&lt;TODAY(),"Süresi geçti",IF(D193&lt;=TODAY()+30,"30 gün içinde",IF(D193&lt;=TODAY()+90,"90 gün içinde","İleride"))))</f>
        <v/>
      </c>
      <c r="G193" s="64">
        <f>IF(A193="","",Firmalar!$H$14)</f>
        <v/>
      </c>
    </row>
    <row r="194" ht="18" customHeight="1">
      <c r="A194" s="61">
        <f>IF(Firmalar!$B$14="","",Firmalar!$B$14)</f>
        <v/>
      </c>
      <c r="B194" s="61">
        <f>IF(Firmalar!$B$14="","",Firmalar!$I$14)</f>
        <v/>
      </c>
      <c r="C194" s="61" t="inlineStr">
        <is>
          <t>Öncelikli işlem</t>
        </is>
      </c>
      <c r="D194" s="62">
        <f>IF(Firmalar!$B$14="","",Firmalar!$GG$14)</f>
        <v/>
      </c>
      <c r="E194" s="63">
        <f>IF(OR(A194="",D194=""),"",D194-TODAY())</f>
        <v/>
      </c>
      <c r="F194" s="64">
        <f>IF(OR(A194="",D194=""),"",IF(D194&lt;TODAY(),"Süresi geçti",IF(D194&lt;=TODAY()+30,"30 gün içinde",IF(D194&lt;=TODAY()+90,"90 gün içinde","İleride"))))</f>
        <v/>
      </c>
      <c r="G194" s="64">
        <f>IF(A194="","",Firmalar!$H$14)</f>
        <v/>
      </c>
    </row>
    <row r="195" ht="18" customHeight="1">
      <c r="A195" s="61">
        <f>IF(Firmalar!$B$15="","",Firmalar!$B$15)</f>
        <v/>
      </c>
      <c r="B195" s="61">
        <f>IF(Firmalar!$B$15="","",Firmalar!$I$15)</f>
        <v/>
      </c>
      <c r="C195" s="61" t="inlineStr">
        <is>
          <t>Çevre izni bitiş</t>
        </is>
      </c>
      <c r="D195" s="62">
        <f>IF(Firmalar!$B$15="","",Firmalar!$FO$15)</f>
        <v/>
      </c>
      <c r="E195" s="63">
        <f>IF(OR(A195="",D195=""),"",D195-TODAY())</f>
        <v/>
      </c>
      <c r="F195" s="64">
        <f>IF(OR(A195="",D195=""),"",IF(D195&lt;TODAY(),"Süresi geçti",IF(D195&lt;=TODAY()+30,"30 gün içinde",IF(D195&lt;=TODAY()+90,"90 gün içinde","İleride"))))</f>
        <v/>
      </c>
      <c r="G195" s="64">
        <f>IF(A195="","",Firmalar!$H$15)</f>
        <v/>
      </c>
    </row>
    <row r="196" ht="18" customHeight="1">
      <c r="A196" s="61">
        <f>IF(Firmalar!$B$15="","",Firmalar!$B$15)</f>
        <v/>
      </c>
      <c r="B196" s="61">
        <f>IF(Firmalar!$B$15="","",Firmalar!$I$15)</f>
        <v/>
      </c>
      <c r="C196" s="61" t="inlineStr">
        <is>
          <t>Çevre izni başvurusu</t>
        </is>
      </c>
      <c r="D196" s="62">
        <f>IF(Firmalar!$B$15="","",Firmalar!$FP$15)</f>
        <v/>
      </c>
      <c r="E196" s="63">
        <f>IF(OR(A196="",D196=""),"",D196-TODAY())</f>
        <v/>
      </c>
      <c r="F196" s="64">
        <f>IF(OR(A196="",D196=""),"",IF(D196&lt;TODAY(),"Süresi geçti",IF(D196&lt;=TODAY()+30,"30 gün içinde",IF(D196&lt;=TODAY()+90,"90 gün içinde","İleride"))))</f>
        <v/>
      </c>
      <c r="G196" s="64">
        <f>IF(A196="","",Firmalar!$H$15)</f>
        <v/>
      </c>
    </row>
    <row r="197" ht="18" customHeight="1">
      <c r="A197" s="61">
        <f>IF(Firmalar!$B$15="","",Firmalar!$B$15)</f>
        <v/>
      </c>
      <c r="B197" s="61">
        <f>IF(Firmalar!$B$15="","",Firmalar!$I$15)</f>
        <v/>
      </c>
      <c r="C197" s="61" t="inlineStr">
        <is>
          <t>GFB bitiş</t>
        </is>
      </c>
      <c r="D197" s="62">
        <f>IF(Firmalar!$B$15="","",Firmalar!$FQ$15)</f>
        <v/>
      </c>
      <c r="E197" s="63">
        <f>IF(OR(A197="",D197=""),"",D197-TODAY())</f>
        <v/>
      </c>
      <c r="F197" s="64">
        <f>IF(OR(A197="",D197=""),"",IF(D197&lt;TODAY(),"Süresi geçti",IF(D197&lt;=TODAY()+30,"30 gün içinde",IF(D197&lt;=TODAY()+90,"90 gün içinde","İleride"))))</f>
        <v/>
      </c>
      <c r="G197" s="64">
        <f>IF(A197="","",Firmalar!$H$15)</f>
        <v/>
      </c>
    </row>
    <row r="198" ht="18" customHeight="1">
      <c r="A198" s="61">
        <f>IF(Firmalar!$B$15="","",Firmalar!$B$15)</f>
        <v/>
      </c>
      <c r="B198" s="61">
        <f>IF(Firmalar!$B$15="","",Firmalar!$I$15)</f>
        <v/>
      </c>
      <c r="C198" s="61" t="inlineStr">
        <is>
          <t>Sözleşme bitiş</t>
        </is>
      </c>
      <c r="D198" s="62">
        <f>IF(Firmalar!$B$15="","",Firmalar!$FR$15)</f>
        <v/>
      </c>
      <c r="E198" s="63">
        <f>IF(OR(A198="",D198=""),"",D198-TODAY())</f>
        <v/>
      </c>
      <c r="F198" s="64">
        <f>IF(OR(A198="",D198=""),"",IF(D198&lt;TODAY(),"Süresi geçti",IF(D198&lt;=TODAY()+30,"30 gün içinde",IF(D198&lt;=TODAY()+90,"90 gün içinde","İleride"))))</f>
        <v/>
      </c>
      <c r="G198" s="64">
        <f>IF(A198="","",Firmalar!$H$15)</f>
        <v/>
      </c>
    </row>
    <row r="199" ht="18" customHeight="1">
      <c r="A199" s="61">
        <f>IF(Firmalar!$B$15="","",Firmalar!$B$15)</f>
        <v/>
      </c>
      <c r="B199" s="61">
        <f>IF(Firmalar!$B$15="","",Firmalar!$I$15)</f>
        <v/>
      </c>
      <c r="C199" s="61" t="inlineStr">
        <is>
          <t>Sıfır Atık bitiş</t>
        </is>
      </c>
      <c r="D199" s="62">
        <f>IF(Firmalar!$B$15="","",Firmalar!$FS$15)</f>
        <v/>
      </c>
      <c r="E199" s="63">
        <f>IF(OR(A199="",D199=""),"",D199-TODAY())</f>
        <v/>
      </c>
      <c r="F199" s="64">
        <f>IF(OR(A199="",D199=""),"",IF(D199&lt;TODAY(),"Süresi geçti",IF(D199&lt;=TODAY()+30,"30 gün içinde",IF(D199&lt;=TODAY()+90,"90 gün içinde","İleride"))))</f>
        <v/>
      </c>
      <c r="G199" s="64">
        <f>IF(A199="","",Firmalar!$H$15)</f>
        <v/>
      </c>
    </row>
    <row r="200" ht="18" customHeight="1">
      <c r="A200" s="61">
        <f>IF(Firmalar!$B$15="","",Firmalar!$B$15)</f>
        <v/>
      </c>
      <c r="B200" s="61">
        <f>IF(Firmalar!$B$15="","",Firmalar!$I$15)</f>
        <v/>
      </c>
      <c r="C200" s="61" t="inlineStr">
        <is>
          <t>Atık planı bitiş</t>
        </is>
      </c>
      <c r="D200" s="62">
        <f>IF(Firmalar!$B$15="","",Firmalar!$FT$15)</f>
        <v/>
      </c>
      <c r="E200" s="63">
        <f>IF(OR(A200="",D200=""),"",D200-TODAY())</f>
        <v/>
      </c>
      <c r="F200" s="64">
        <f>IF(OR(A200="",D200=""),"",IF(D200&lt;TODAY(),"Süresi geçti",IF(D200&lt;=TODAY()+30,"30 gün içinde",IF(D200&lt;=TODAY()+90,"90 gün içinde","İleride"))))</f>
        <v/>
      </c>
      <c r="G200" s="64">
        <f>IF(A200="","",Firmalar!$H$15)</f>
        <v/>
      </c>
    </row>
    <row r="201" ht="18" customHeight="1">
      <c r="A201" s="61">
        <f>IF(Firmalar!$B$15="","",Firmalar!$B$15)</f>
        <v/>
      </c>
      <c r="B201" s="61">
        <f>IF(Firmalar!$B$15="","",Firmalar!$I$15)</f>
        <v/>
      </c>
      <c r="C201" s="61" t="inlineStr">
        <is>
          <t>Emisyon teyidi</t>
        </is>
      </c>
      <c r="D201" s="62">
        <f>IF(Firmalar!$B$15="","",Firmalar!$FU$15)</f>
        <v/>
      </c>
      <c r="E201" s="63">
        <f>IF(OR(A201="",D201=""),"",D201-TODAY())</f>
        <v/>
      </c>
      <c r="F201" s="64">
        <f>IF(OR(A201="",D201=""),"",IF(D201&lt;TODAY(),"Süresi geçti",IF(D201&lt;=TODAY()+30,"30 gün içinde",IF(D201&lt;=TODAY()+90,"90 gün içinde","İleride"))))</f>
        <v/>
      </c>
      <c r="G201" s="64">
        <f>IF(A201="","",Firmalar!$H$15)</f>
        <v/>
      </c>
    </row>
    <row r="202" ht="18" customHeight="1">
      <c r="A202" s="61">
        <f>IF(Firmalar!$B$15="","",Firmalar!$B$15)</f>
        <v/>
      </c>
      <c r="B202" s="61">
        <f>IF(Firmalar!$B$15="","",Firmalar!$I$15)</f>
        <v/>
      </c>
      <c r="C202" s="61" t="inlineStr">
        <is>
          <t>Emisyon ölçümü</t>
        </is>
      </c>
      <c r="D202" s="62">
        <f>IF(Firmalar!$B$15="","",Firmalar!$FV$15)</f>
        <v/>
      </c>
      <c r="E202" s="63">
        <f>IF(OR(A202="",D202=""),"",D202-TODAY())</f>
        <v/>
      </c>
      <c r="F202" s="64">
        <f>IF(OR(A202="",D202=""),"",IF(D202&lt;TODAY(),"Süresi geçti",IF(D202&lt;=TODAY()+30,"30 gün içinde",IF(D202&lt;=TODAY()+90,"90 gün içinde","İleride"))))</f>
        <v/>
      </c>
      <c r="G202" s="64">
        <f>IF(A202="","",Firmalar!$H$15)</f>
        <v/>
      </c>
    </row>
    <row r="203" ht="18" customHeight="1">
      <c r="A203" s="61">
        <f>IF(Firmalar!$B$15="","",Firmalar!$B$15)</f>
        <v/>
      </c>
      <c r="B203" s="61">
        <f>IF(Firmalar!$B$15="","",Firmalar!$I$15)</f>
        <v/>
      </c>
      <c r="C203" s="61" t="inlineStr">
        <is>
          <t>İç tetkik</t>
        </is>
      </c>
      <c r="D203" s="62">
        <f>IF(Firmalar!$B$15="","",Firmalar!$FW$15)</f>
        <v/>
      </c>
      <c r="E203" s="63">
        <f>IF(OR(A203="",D203=""),"",D203-TODAY())</f>
        <v/>
      </c>
      <c r="F203" s="64">
        <f>IF(OR(A203="",D203=""),"",IF(D203&lt;TODAY(),"Süresi geçti",IF(D203&lt;=TODAY()+30,"30 gün içinde",IF(D203&lt;=TODAY()+90,"90 gün içinde","İleride"))))</f>
        <v/>
      </c>
      <c r="G203" s="64">
        <f>IF(A203="","",Firmalar!$H$15)</f>
        <v/>
      </c>
    </row>
    <row r="204" ht="18" customHeight="1">
      <c r="A204" s="61">
        <f>IF(Firmalar!$B$15="","",Firmalar!$B$15)</f>
        <v/>
      </c>
      <c r="B204" s="61">
        <f>IF(Firmalar!$B$15="","",Firmalar!$I$15)</f>
        <v/>
      </c>
      <c r="C204" s="61" t="inlineStr">
        <is>
          <t>İç tetkik planı</t>
        </is>
      </c>
      <c r="D204" s="62">
        <f>IF(Firmalar!$B$15="","",Firmalar!$FX$15)</f>
        <v/>
      </c>
      <c r="E204" s="63">
        <f>IF(OR(A204="",D204=""),"",D204-TODAY())</f>
        <v/>
      </c>
      <c r="F204" s="64">
        <f>IF(OR(A204="",D204=""),"",IF(D204&lt;TODAY(),"Süresi geçti",IF(D204&lt;=TODAY()+30,"30 gün içinde",IF(D204&lt;=TODAY()+90,"90 gün içinde","İleride"))))</f>
        <v/>
      </c>
      <c r="G204" s="64">
        <f>IF(A204="","",Firmalar!$H$15)</f>
        <v/>
      </c>
    </row>
    <row r="205" ht="18" customHeight="1">
      <c r="A205" s="61">
        <f>IF(Firmalar!$B$15="","",Firmalar!$B$15)</f>
        <v/>
      </c>
      <c r="B205" s="61">
        <f>IF(Firmalar!$B$15="","",Firmalar!$I$15)</f>
        <v/>
      </c>
      <c r="C205" s="61" t="inlineStr">
        <is>
          <t>Çevre eğitimi</t>
        </is>
      </c>
      <c r="D205" s="62">
        <f>IF(Firmalar!$B$15="","",Firmalar!$FY$15)</f>
        <v/>
      </c>
      <c r="E205" s="63">
        <f>IF(OR(A205="",D205=""),"",D205-TODAY())</f>
        <v/>
      </c>
      <c r="F205" s="64">
        <f>IF(OR(A205="",D205=""),"",IF(D205&lt;TODAY(),"Süresi geçti",IF(D205&lt;=TODAY()+30,"30 gün içinde",IF(D205&lt;=TODAY()+90,"90 gün içinde","İleride"))))</f>
        <v/>
      </c>
      <c r="G205" s="64">
        <f>IF(A205="","",Firmalar!$H$15)</f>
        <v/>
      </c>
    </row>
    <row r="206" ht="18" customHeight="1">
      <c r="A206" s="61">
        <f>IF(Firmalar!$B$15="","",Firmalar!$B$15)</f>
        <v/>
      </c>
      <c r="B206" s="61">
        <f>IF(Firmalar!$B$15="","",Firmalar!$I$15)</f>
        <v/>
      </c>
      <c r="C206" s="61" t="inlineStr">
        <is>
          <t>Eğitim planı</t>
        </is>
      </c>
      <c r="D206" s="62">
        <f>IF(Firmalar!$B$15="","",Firmalar!$FZ$15)</f>
        <v/>
      </c>
      <c r="E206" s="63">
        <f>IF(OR(A206="",D206=""),"",D206-TODAY())</f>
        <v/>
      </c>
      <c r="F206" s="64">
        <f>IF(OR(A206="",D206=""),"",IF(D206&lt;TODAY(),"Süresi geçti",IF(D206&lt;=TODAY()+30,"30 gün içinde",IF(D206&lt;=TODAY()+90,"90 gün içinde","İleride"))))</f>
        <v/>
      </c>
      <c r="G206" s="64">
        <f>IF(A206="","",Firmalar!$H$15)</f>
        <v/>
      </c>
    </row>
    <row r="207" ht="18" customHeight="1">
      <c r="A207" s="61">
        <f>IF(Firmalar!$B$15="","",Firmalar!$B$15)</f>
        <v/>
      </c>
      <c r="B207" s="61">
        <f>IF(Firmalar!$B$15="","",Firmalar!$I$15)</f>
        <v/>
      </c>
      <c r="C207" s="61" t="inlineStr">
        <is>
          <t>Kanal belgesi bitiş</t>
        </is>
      </c>
      <c r="D207" s="62">
        <f>IF(Firmalar!$B$15="","",Firmalar!$GA$15)</f>
        <v/>
      </c>
      <c r="E207" s="63">
        <f>IF(OR(A207="",D207=""),"",D207-TODAY())</f>
        <v/>
      </c>
      <c r="F207" s="64">
        <f>IF(OR(A207="",D207=""),"",IF(D207&lt;TODAY(),"Süresi geçti",IF(D207&lt;=TODAY()+30,"30 gün içinde",IF(D207&lt;=TODAY()+90,"90 gün içinde","İleride"))))</f>
        <v/>
      </c>
      <c r="G207" s="64">
        <f>IF(A207="","",Firmalar!$H$15)</f>
        <v/>
      </c>
    </row>
    <row r="208" ht="18" customHeight="1">
      <c r="A208" s="61">
        <f>IF(Firmalar!$B$15="","",Firmalar!$B$15)</f>
        <v/>
      </c>
      <c r="B208" s="61">
        <f>IF(Firmalar!$B$15="","",Firmalar!$I$15)</f>
        <v/>
      </c>
      <c r="C208" s="61" t="inlineStr">
        <is>
          <t>Deşarj izni bitiş</t>
        </is>
      </c>
      <c r="D208" s="62">
        <f>IF(Firmalar!$B$15="","",Firmalar!$GB$15)</f>
        <v/>
      </c>
      <c r="E208" s="63">
        <f>IF(OR(A208="",D208=""),"",D208-TODAY())</f>
        <v/>
      </c>
      <c r="F208" s="64">
        <f>IF(OR(A208="",D208=""),"",IF(D208&lt;TODAY(),"Süresi geçti",IF(D208&lt;=TODAY()+30,"30 gün içinde",IF(D208&lt;=TODAY()+90,"90 gün içinde","İleride"))))</f>
        <v/>
      </c>
      <c r="G208" s="64">
        <f>IF(A208="","",Firmalar!$H$15)</f>
        <v/>
      </c>
    </row>
    <row r="209" ht="18" customHeight="1">
      <c r="A209" s="61">
        <f>IF(Firmalar!$B$15="","",Firmalar!$B$15)</f>
        <v/>
      </c>
      <c r="B209" s="61">
        <f>IF(Firmalar!$B$15="","",Firmalar!$I$15)</f>
        <v/>
      </c>
      <c r="C209" s="61" t="inlineStr">
        <is>
          <t>Atıksu analizi</t>
        </is>
      </c>
      <c r="D209" s="62">
        <f>IF(Firmalar!$B$15="","",Firmalar!$GC$15)</f>
        <v/>
      </c>
      <c r="E209" s="63">
        <f>IF(OR(A209="",D209=""),"",D209-TODAY())</f>
        <v/>
      </c>
      <c r="F209" s="64">
        <f>IF(OR(A209="",D209=""),"",IF(D209&lt;TODAY(),"Süresi geçti",IF(D209&lt;=TODAY()+30,"30 gün içinde",IF(D209&lt;=TODAY()+90,"90 gün içinde","İleride"))))</f>
        <v/>
      </c>
      <c r="G209" s="64">
        <f>IF(A209="","",Firmalar!$H$15)</f>
        <v/>
      </c>
    </row>
    <row r="210" ht="18" customHeight="1">
      <c r="A210" s="61">
        <f>IF(Firmalar!$B$15="","",Firmalar!$B$15)</f>
        <v/>
      </c>
      <c r="B210" s="61">
        <f>IF(Firmalar!$B$15="","",Firmalar!$I$15)</f>
        <v/>
      </c>
      <c r="C210" s="61" t="inlineStr">
        <is>
          <t>Saha ziyareti</t>
        </is>
      </c>
      <c r="D210" s="62">
        <f>IF(Firmalar!$B$15="","",Firmalar!$GD$15)</f>
        <v/>
      </c>
      <c r="E210" s="63">
        <f>IF(OR(A210="",D210=""),"",D210-TODAY())</f>
        <v/>
      </c>
      <c r="F210" s="64">
        <f>IF(OR(A210="",D210=""),"",IF(D210&lt;TODAY(),"Süresi geçti",IF(D210&lt;=TODAY()+30,"30 gün içinde",IF(D210&lt;=TODAY()+90,"90 gün içinde","İleride"))))</f>
        <v/>
      </c>
      <c r="G210" s="64">
        <f>IF(A210="","",Firmalar!$H$15)</f>
        <v/>
      </c>
    </row>
    <row r="211" ht="18" customHeight="1">
      <c r="A211" s="61">
        <f>IF(Firmalar!$B$15="","",Firmalar!$B$15)</f>
        <v/>
      </c>
      <c r="B211" s="61">
        <f>IF(Firmalar!$B$15="","",Firmalar!$I$15)</f>
        <v/>
      </c>
      <c r="C211" s="61" t="inlineStr">
        <is>
          <t>Resmî yazı cevabı</t>
        </is>
      </c>
      <c r="D211" s="62">
        <f>IF(Firmalar!$B$15="","",Firmalar!$GE$15)</f>
        <v/>
      </c>
      <c r="E211" s="63">
        <f>IF(OR(A211="",D211=""),"",D211-TODAY())</f>
        <v/>
      </c>
      <c r="F211" s="64">
        <f>IF(OR(A211="",D211=""),"",IF(D211&lt;TODAY(),"Süresi geçti",IF(D211&lt;=TODAY()+30,"30 gün içinde",IF(D211&lt;=TODAY()+90,"90 gün içinde","İleride"))))</f>
        <v/>
      </c>
      <c r="G211" s="64">
        <f>IF(A211="","",Firmalar!$H$15)</f>
        <v/>
      </c>
    </row>
    <row r="212" ht="18" customHeight="1">
      <c r="A212" s="61">
        <f>IF(Firmalar!$B$15="","",Firmalar!$B$15)</f>
        <v/>
      </c>
      <c r="B212" s="61">
        <f>IF(Firmalar!$B$15="","",Firmalar!$I$15)</f>
        <v/>
      </c>
      <c r="C212" s="61" t="inlineStr">
        <is>
          <t>Uygunsuzluk kapanışı</t>
        </is>
      </c>
      <c r="D212" s="62">
        <f>IF(Firmalar!$B$15="","",Firmalar!$GF$15)</f>
        <v/>
      </c>
      <c r="E212" s="63">
        <f>IF(OR(A212="",D212=""),"",D212-TODAY())</f>
        <v/>
      </c>
      <c r="F212" s="64">
        <f>IF(OR(A212="",D212=""),"",IF(D212&lt;TODAY(),"Süresi geçti",IF(D212&lt;=TODAY()+30,"30 gün içinde",IF(D212&lt;=TODAY()+90,"90 gün içinde","İleride"))))</f>
        <v/>
      </c>
      <c r="G212" s="64">
        <f>IF(A212="","",Firmalar!$H$15)</f>
        <v/>
      </c>
    </row>
    <row r="213" ht="18" customHeight="1">
      <c r="A213" s="61">
        <f>IF(Firmalar!$B$15="","",Firmalar!$B$15)</f>
        <v/>
      </c>
      <c r="B213" s="61">
        <f>IF(Firmalar!$B$15="","",Firmalar!$I$15)</f>
        <v/>
      </c>
      <c r="C213" s="61" t="inlineStr">
        <is>
          <t>Öncelikli işlem</t>
        </is>
      </c>
      <c r="D213" s="62">
        <f>IF(Firmalar!$B$15="","",Firmalar!$GG$15)</f>
        <v/>
      </c>
      <c r="E213" s="63">
        <f>IF(OR(A213="",D213=""),"",D213-TODAY())</f>
        <v/>
      </c>
      <c r="F213" s="64">
        <f>IF(OR(A213="",D213=""),"",IF(D213&lt;TODAY(),"Süresi geçti",IF(D213&lt;=TODAY()+30,"30 gün içinde",IF(D213&lt;=TODAY()+90,"90 gün içinde","İleride"))))</f>
        <v/>
      </c>
      <c r="G213" s="64">
        <f>IF(A213="","",Firmalar!$H$15)</f>
        <v/>
      </c>
    </row>
    <row r="214" ht="18" customHeight="1">
      <c r="A214" s="61">
        <f>IF(Firmalar!$B$16="","",Firmalar!$B$16)</f>
        <v/>
      </c>
      <c r="B214" s="61">
        <f>IF(Firmalar!$B$16="","",Firmalar!$I$16)</f>
        <v/>
      </c>
      <c r="C214" s="61" t="inlineStr">
        <is>
          <t>Çevre izni bitiş</t>
        </is>
      </c>
      <c r="D214" s="62">
        <f>IF(Firmalar!$B$16="","",Firmalar!$FO$16)</f>
        <v/>
      </c>
      <c r="E214" s="63">
        <f>IF(OR(A214="",D214=""),"",D214-TODAY())</f>
        <v/>
      </c>
      <c r="F214" s="64">
        <f>IF(OR(A214="",D214=""),"",IF(D214&lt;TODAY(),"Süresi geçti",IF(D214&lt;=TODAY()+30,"30 gün içinde",IF(D214&lt;=TODAY()+90,"90 gün içinde","İleride"))))</f>
        <v/>
      </c>
      <c r="G214" s="64">
        <f>IF(A214="","",Firmalar!$H$16)</f>
        <v/>
      </c>
    </row>
    <row r="215" ht="18" customHeight="1">
      <c r="A215" s="61">
        <f>IF(Firmalar!$B$16="","",Firmalar!$B$16)</f>
        <v/>
      </c>
      <c r="B215" s="61">
        <f>IF(Firmalar!$B$16="","",Firmalar!$I$16)</f>
        <v/>
      </c>
      <c r="C215" s="61" t="inlineStr">
        <is>
          <t>Çevre izni başvurusu</t>
        </is>
      </c>
      <c r="D215" s="62">
        <f>IF(Firmalar!$B$16="","",Firmalar!$FP$16)</f>
        <v/>
      </c>
      <c r="E215" s="63">
        <f>IF(OR(A215="",D215=""),"",D215-TODAY())</f>
        <v/>
      </c>
      <c r="F215" s="64">
        <f>IF(OR(A215="",D215=""),"",IF(D215&lt;TODAY(),"Süresi geçti",IF(D215&lt;=TODAY()+30,"30 gün içinde",IF(D215&lt;=TODAY()+90,"90 gün içinde","İleride"))))</f>
        <v/>
      </c>
      <c r="G215" s="64">
        <f>IF(A215="","",Firmalar!$H$16)</f>
        <v/>
      </c>
    </row>
    <row r="216" ht="18" customHeight="1">
      <c r="A216" s="61">
        <f>IF(Firmalar!$B$16="","",Firmalar!$B$16)</f>
        <v/>
      </c>
      <c r="B216" s="61">
        <f>IF(Firmalar!$B$16="","",Firmalar!$I$16)</f>
        <v/>
      </c>
      <c r="C216" s="61" t="inlineStr">
        <is>
          <t>GFB bitiş</t>
        </is>
      </c>
      <c r="D216" s="62">
        <f>IF(Firmalar!$B$16="","",Firmalar!$FQ$16)</f>
        <v/>
      </c>
      <c r="E216" s="63">
        <f>IF(OR(A216="",D216=""),"",D216-TODAY())</f>
        <v/>
      </c>
      <c r="F216" s="64">
        <f>IF(OR(A216="",D216=""),"",IF(D216&lt;TODAY(),"Süresi geçti",IF(D216&lt;=TODAY()+30,"30 gün içinde",IF(D216&lt;=TODAY()+90,"90 gün içinde","İleride"))))</f>
        <v/>
      </c>
      <c r="G216" s="64">
        <f>IF(A216="","",Firmalar!$H$16)</f>
        <v/>
      </c>
    </row>
    <row r="217" ht="18" customHeight="1">
      <c r="A217" s="61">
        <f>IF(Firmalar!$B$16="","",Firmalar!$B$16)</f>
        <v/>
      </c>
      <c r="B217" s="61">
        <f>IF(Firmalar!$B$16="","",Firmalar!$I$16)</f>
        <v/>
      </c>
      <c r="C217" s="61" t="inlineStr">
        <is>
          <t>Sözleşme bitiş</t>
        </is>
      </c>
      <c r="D217" s="62">
        <f>IF(Firmalar!$B$16="","",Firmalar!$FR$16)</f>
        <v/>
      </c>
      <c r="E217" s="63">
        <f>IF(OR(A217="",D217=""),"",D217-TODAY())</f>
        <v/>
      </c>
      <c r="F217" s="64">
        <f>IF(OR(A217="",D217=""),"",IF(D217&lt;TODAY(),"Süresi geçti",IF(D217&lt;=TODAY()+30,"30 gün içinde",IF(D217&lt;=TODAY()+90,"90 gün içinde","İleride"))))</f>
        <v/>
      </c>
      <c r="G217" s="64">
        <f>IF(A217="","",Firmalar!$H$16)</f>
        <v/>
      </c>
    </row>
    <row r="218" ht="18" customHeight="1">
      <c r="A218" s="61">
        <f>IF(Firmalar!$B$16="","",Firmalar!$B$16)</f>
        <v/>
      </c>
      <c r="B218" s="61">
        <f>IF(Firmalar!$B$16="","",Firmalar!$I$16)</f>
        <v/>
      </c>
      <c r="C218" s="61" t="inlineStr">
        <is>
          <t>Sıfır Atık bitiş</t>
        </is>
      </c>
      <c r="D218" s="62">
        <f>IF(Firmalar!$B$16="","",Firmalar!$FS$16)</f>
        <v/>
      </c>
      <c r="E218" s="63">
        <f>IF(OR(A218="",D218=""),"",D218-TODAY())</f>
        <v/>
      </c>
      <c r="F218" s="64">
        <f>IF(OR(A218="",D218=""),"",IF(D218&lt;TODAY(),"Süresi geçti",IF(D218&lt;=TODAY()+30,"30 gün içinde",IF(D218&lt;=TODAY()+90,"90 gün içinde","İleride"))))</f>
        <v/>
      </c>
      <c r="G218" s="64">
        <f>IF(A218="","",Firmalar!$H$16)</f>
        <v/>
      </c>
    </row>
    <row r="219" ht="18" customHeight="1">
      <c r="A219" s="61">
        <f>IF(Firmalar!$B$16="","",Firmalar!$B$16)</f>
        <v/>
      </c>
      <c r="B219" s="61">
        <f>IF(Firmalar!$B$16="","",Firmalar!$I$16)</f>
        <v/>
      </c>
      <c r="C219" s="61" t="inlineStr">
        <is>
          <t>Atık planı bitiş</t>
        </is>
      </c>
      <c r="D219" s="62">
        <f>IF(Firmalar!$B$16="","",Firmalar!$FT$16)</f>
        <v/>
      </c>
      <c r="E219" s="63">
        <f>IF(OR(A219="",D219=""),"",D219-TODAY())</f>
        <v/>
      </c>
      <c r="F219" s="64">
        <f>IF(OR(A219="",D219=""),"",IF(D219&lt;TODAY(),"Süresi geçti",IF(D219&lt;=TODAY()+30,"30 gün içinde",IF(D219&lt;=TODAY()+90,"90 gün içinde","İleride"))))</f>
        <v/>
      </c>
      <c r="G219" s="64">
        <f>IF(A219="","",Firmalar!$H$16)</f>
        <v/>
      </c>
    </row>
    <row r="220" ht="18" customHeight="1">
      <c r="A220" s="61">
        <f>IF(Firmalar!$B$16="","",Firmalar!$B$16)</f>
        <v/>
      </c>
      <c r="B220" s="61">
        <f>IF(Firmalar!$B$16="","",Firmalar!$I$16)</f>
        <v/>
      </c>
      <c r="C220" s="61" t="inlineStr">
        <is>
          <t>Emisyon teyidi</t>
        </is>
      </c>
      <c r="D220" s="62">
        <f>IF(Firmalar!$B$16="","",Firmalar!$FU$16)</f>
        <v/>
      </c>
      <c r="E220" s="63">
        <f>IF(OR(A220="",D220=""),"",D220-TODAY())</f>
        <v/>
      </c>
      <c r="F220" s="64">
        <f>IF(OR(A220="",D220=""),"",IF(D220&lt;TODAY(),"Süresi geçti",IF(D220&lt;=TODAY()+30,"30 gün içinde",IF(D220&lt;=TODAY()+90,"90 gün içinde","İleride"))))</f>
        <v/>
      </c>
      <c r="G220" s="64">
        <f>IF(A220="","",Firmalar!$H$16)</f>
        <v/>
      </c>
    </row>
    <row r="221" ht="18" customHeight="1">
      <c r="A221" s="61">
        <f>IF(Firmalar!$B$16="","",Firmalar!$B$16)</f>
        <v/>
      </c>
      <c r="B221" s="61">
        <f>IF(Firmalar!$B$16="","",Firmalar!$I$16)</f>
        <v/>
      </c>
      <c r="C221" s="61" t="inlineStr">
        <is>
          <t>Emisyon ölçümü</t>
        </is>
      </c>
      <c r="D221" s="62">
        <f>IF(Firmalar!$B$16="","",Firmalar!$FV$16)</f>
        <v/>
      </c>
      <c r="E221" s="63">
        <f>IF(OR(A221="",D221=""),"",D221-TODAY())</f>
        <v/>
      </c>
      <c r="F221" s="64">
        <f>IF(OR(A221="",D221=""),"",IF(D221&lt;TODAY(),"Süresi geçti",IF(D221&lt;=TODAY()+30,"30 gün içinde",IF(D221&lt;=TODAY()+90,"90 gün içinde","İleride"))))</f>
        <v/>
      </c>
      <c r="G221" s="64">
        <f>IF(A221="","",Firmalar!$H$16)</f>
        <v/>
      </c>
    </row>
    <row r="222" ht="18" customHeight="1">
      <c r="A222" s="61">
        <f>IF(Firmalar!$B$16="","",Firmalar!$B$16)</f>
        <v/>
      </c>
      <c r="B222" s="61">
        <f>IF(Firmalar!$B$16="","",Firmalar!$I$16)</f>
        <v/>
      </c>
      <c r="C222" s="61" t="inlineStr">
        <is>
          <t>İç tetkik</t>
        </is>
      </c>
      <c r="D222" s="62">
        <f>IF(Firmalar!$B$16="","",Firmalar!$FW$16)</f>
        <v/>
      </c>
      <c r="E222" s="63">
        <f>IF(OR(A222="",D222=""),"",D222-TODAY())</f>
        <v/>
      </c>
      <c r="F222" s="64">
        <f>IF(OR(A222="",D222=""),"",IF(D222&lt;TODAY(),"Süresi geçti",IF(D222&lt;=TODAY()+30,"30 gün içinde",IF(D222&lt;=TODAY()+90,"90 gün içinde","İleride"))))</f>
        <v/>
      </c>
      <c r="G222" s="64">
        <f>IF(A222="","",Firmalar!$H$16)</f>
        <v/>
      </c>
    </row>
    <row r="223" ht="18" customHeight="1">
      <c r="A223" s="61">
        <f>IF(Firmalar!$B$16="","",Firmalar!$B$16)</f>
        <v/>
      </c>
      <c r="B223" s="61">
        <f>IF(Firmalar!$B$16="","",Firmalar!$I$16)</f>
        <v/>
      </c>
      <c r="C223" s="61" t="inlineStr">
        <is>
          <t>İç tetkik planı</t>
        </is>
      </c>
      <c r="D223" s="62">
        <f>IF(Firmalar!$B$16="","",Firmalar!$FX$16)</f>
        <v/>
      </c>
      <c r="E223" s="63">
        <f>IF(OR(A223="",D223=""),"",D223-TODAY())</f>
        <v/>
      </c>
      <c r="F223" s="64">
        <f>IF(OR(A223="",D223=""),"",IF(D223&lt;TODAY(),"Süresi geçti",IF(D223&lt;=TODAY()+30,"30 gün içinde",IF(D223&lt;=TODAY()+90,"90 gün içinde","İleride"))))</f>
        <v/>
      </c>
      <c r="G223" s="64">
        <f>IF(A223="","",Firmalar!$H$16)</f>
        <v/>
      </c>
    </row>
    <row r="224" ht="18" customHeight="1">
      <c r="A224" s="61">
        <f>IF(Firmalar!$B$16="","",Firmalar!$B$16)</f>
        <v/>
      </c>
      <c r="B224" s="61">
        <f>IF(Firmalar!$B$16="","",Firmalar!$I$16)</f>
        <v/>
      </c>
      <c r="C224" s="61" t="inlineStr">
        <is>
          <t>Çevre eğitimi</t>
        </is>
      </c>
      <c r="D224" s="62">
        <f>IF(Firmalar!$B$16="","",Firmalar!$FY$16)</f>
        <v/>
      </c>
      <c r="E224" s="63">
        <f>IF(OR(A224="",D224=""),"",D224-TODAY())</f>
        <v/>
      </c>
      <c r="F224" s="64">
        <f>IF(OR(A224="",D224=""),"",IF(D224&lt;TODAY(),"Süresi geçti",IF(D224&lt;=TODAY()+30,"30 gün içinde",IF(D224&lt;=TODAY()+90,"90 gün içinde","İleride"))))</f>
        <v/>
      </c>
      <c r="G224" s="64">
        <f>IF(A224="","",Firmalar!$H$16)</f>
        <v/>
      </c>
    </row>
    <row r="225" ht="18" customHeight="1">
      <c r="A225" s="61">
        <f>IF(Firmalar!$B$16="","",Firmalar!$B$16)</f>
        <v/>
      </c>
      <c r="B225" s="61">
        <f>IF(Firmalar!$B$16="","",Firmalar!$I$16)</f>
        <v/>
      </c>
      <c r="C225" s="61" t="inlineStr">
        <is>
          <t>Eğitim planı</t>
        </is>
      </c>
      <c r="D225" s="62">
        <f>IF(Firmalar!$B$16="","",Firmalar!$FZ$16)</f>
        <v/>
      </c>
      <c r="E225" s="63">
        <f>IF(OR(A225="",D225=""),"",D225-TODAY())</f>
        <v/>
      </c>
      <c r="F225" s="64">
        <f>IF(OR(A225="",D225=""),"",IF(D225&lt;TODAY(),"Süresi geçti",IF(D225&lt;=TODAY()+30,"30 gün içinde",IF(D225&lt;=TODAY()+90,"90 gün içinde","İleride"))))</f>
        <v/>
      </c>
      <c r="G225" s="64">
        <f>IF(A225="","",Firmalar!$H$16)</f>
        <v/>
      </c>
    </row>
    <row r="226" ht="18" customHeight="1">
      <c r="A226" s="61">
        <f>IF(Firmalar!$B$16="","",Firmalar!$B$16)</f>
        <v/>
      </c>
      <c r="B226" s="61">
        <f>IF(Firmalar!$B$16="","",Firmalar!$I$16)</f>
        <v/>
      </c>
      <c r="C226" s="61" t="inlineStr">
        <is>
          <t>Kanal belgesi bitiş</t>
        </is>
      </c>
      <c r="D226" s="62">
        <f>IF(Firmalar!$B$16="","",Firmalar!$GA$16)</f>
        <v/>
      </c>
      <c r="E226" s="63">
        <f>IF(OR(A226="",D226=""),"",D226-TODAY())</f>
        <v/>
      </c>
      <c r="F226" s="64">
        <f>IF(OR(A226="",D226=""),"",IF(D226&lt;TODAY(),"Süresi geçti",IF(D226&lt;=TODAY()+30,"30 gün içinde",IF(D226&lt;=TODAY()+90,"90 gün içinde","İleride"))))</f>
        <v/>
      </c>
      <c r="G226" s="64">
        <f>IF(A226="","",Firmalar!$H$16)</f>
        <v/>
      </c>
    </row>
    <row r="227" ht="18" customHeight="1">
      <c r="A227" s="61">
        <f>IF(Firmalar!$B$16="","",Firmalar!$B$16)</f>
        <v/>
      </c>
      <c r="B227" s="61">
        <f>IF(Firmalar!$B$16="","",Firmalar!$I$16)</f>
        <v/>
      </c>
      <c r="C227" s="61" t="inlineStr">
        <is>
          <t>Deşarj izni bitiş</t>
        </is>
      </c>
      <c r="D227" s="62">
        <f>IF(Firmalar!$B$16="","",Firmalar!$GB$16)</f>
        <v/>
      </c>
      <c r="E227" s="63">
        <f>IF(OR(A227="",D227=""),"",D227-TODAY())</f>
        <v/>
      </c>
      <c r="F227" s="64">
        <f>IF(OR(A227="",D227=""),"",IF(D227&lt;TODAY(),"Süresi geçti",IF(D227&lt;=TODAY()+30,"30 gün içinde",IF(D227&lt;=TODAY()+90,"90 gün içinde","İleride"))))</f>
        <v/>
      </c>
      <c r="G227" s="64">
        <f>IF(A227="","",Firmalar!$H$16)</f>
        <v/>
      </c>
    </row>
    <row r="228" ht="18" customHeight="1">
      <c r="A228" s="61">
        <f>IF(Firmalar!$B$16="","",Firmalar!$B$16)</f>
        <v/>
      </c>
      <c r="B228" s="61">
        <f>IF(Firmalar!$B$16="","",Firmalar!$I$16)</f>
        <v/>
      </c>
      <c r="C228" s="61" t="inlineStr">
        <is>
          <t>Atıksu analizi</t>
        </is>
      </c>
      <c r="D228" s="62">
        <f>IF(Firmalar!$B$16="","",Firmalar!$GC$16)</f>
        <v/>
      </c>
      <c r="E228" s="63">
        <f>IF(OR(A228="",D228=""),"",D228-TODAY())</f>
        <v/>
      </c>
      <c r="F228" s="64">
        <f>IF(OR(A228="",D228=""),"",IF(D228&lt;TODAY(),"Süresi geçti",IF(D228&lt;=TODAY()+30,"30 gün içinde",IF(D228&lt;=TODAY()+90,"90 gün içinde","İleride"))))</f>
        <v/>
      </c>
      <c r="G228" s="64">
        <f>IF(A228="","",Firmalar!$H$16)</f>
        <v/>
      </c>
    </row>
    <row r="229" ht="18" customHeight="1">
      <c r="A229" s="61">
        <f>IF(Firmalar!$B$16="","",Firmalar!$B$16)</f>
        <v/>
      </c>
      <c r="B229" s="61">
        <f>IF(Firmalar!$B$16="","",Firmalar!$I$16)</f>
        <v/>
      </c>
      <c r="C229" s="61" t="inlineStr">
        <is>
          <t>Saha ziyareti</t>
        </is>
      </c>
      <c r="D229" s="62">
        <f>IF(Firmalar!$B$16="","",Firmalar!$GD$16)</f>
        <v/>
      </c>
      <c r="E229" s="63">
        <f>IF(OR(A229="",D229=""),"",D229-TODAY())</f>
        <v/>
      </c>
      <c r="F229" s="64">
        <f>IF(OR(A229="",D229=""),"",IF(D229&lt;TODAY(),"Süresi geçti",IF(D229&lt;=TODAY()+30,"30 gün içinde",IF(D229&lt;=TODAY()+90,"90 gün içinde","İleride"))))</f>
        <v/>
      </c>
      <c r="G229" s="64">
        <f>IF(A229="","",Firmalar!$H$16)</f>
        <v/>
      </c>
    </row>
    <row r="230" ht="18" customHeight="1">
      <c r="A230" s="61">
        <f>IF(Firmalar!$B$16="","",Firmalar!$B$16)</f>
        <v/>
      </c>
      <c r="B230" s="61">
        <f>IF(Firmalar!$B$16="","",Firmalar!$I$16)</f>
        <v/>
      </c>
      <c r="C230" s="61" t="inlineStr">
        <is>
          <t>Resmî yazı cevabı</t>
        </is>
      </c>
      <c r="D230" s="62">
        <f>IF(Firmalar!$B$16="","",Firmalar!$GE$16)</f>
        <v/>
      </c>
      <c r="E230" s="63">
        <f>IF(OR(A230="",D230=""),"",D230-TODAY())</f>
        <v/>
      </c>
      <c r="F230" s="64">
        <f>IF(OR(A230="",D230=""),"",IF(D230&lt;TODAY(),"Süresi geçti",IF(D230&lt;=TODAY()+30,"30 gün içinde",IF(D230&lt;=TODAY()+90,"90 gün içinde","İleride"))))</f>
        <v/>
      </c>
      <c r="G230" s="64">
        <f>IF(A230="","",Firmalar!$H$16)</f>
        <v/>
      </c>
    </row>
    <row r="231" ht="18" customHeight="1">
      <c r="A231" s="61">
        <f>IF(Firmalar!$B$16="","",Firmalar!$B$16)</f>
        <v/>
      </c>
      <c r="B231" s="61">
        <f>IF(Firmalar!$B$16="","",Firmalar!$I$16)</f>
        <v/>
      </c>
      <c r="C231" s="61" t="inlineStr">
        <is>
          <t>Uygunsuzluk kapanışı</t>
        </is>
      </c>
      <c r="D231" s="62">
        <f>IF(Firmalar!$B$16="","",Firmalar!$GF$16)</f>
        <v/>
      </c>
      <c r="E231" s="63">
        <f>IF(OR(A231="",D231=""),"",D231-TODAY())</f>
        <v/>
      </c>
      <c r="F231" s="64">
        <f>IF(OR(A231="",D231=""),"",IF(D231&lt;TODAY(),"Süresi geçti",IF(D231&lt;=TODAY()+30,"30 gün içinde",IF(D231&lt;=TODAY()+90,"90 gün içinde","İleride"))))</f>
        <v/>
      </c>
      <c r="G231" s="64">
        <f>IF(A231="","",Firmalar!$H$16)</f>
        <v/>
      </c>
    </row>
    <row r="232" ht="18" customHeight="1">
      <c r="A232" s="61">
        <f>IF(Firmalar!$B$16="","",Firmalar!$B$16)</f>
        <v/>
      </c>
      <c r="B232" s="61">
        <f>IF(Firmalar!$B$16="","",Firmalar!$I$16)</f>
        <v/>
      </c>
      <c r="C232" s="61" t="inlineStr">
        <is>
          <t>Öncelikli işlem</t>
        </is>
      </c>
      <c r="D232" s="62">
        <f>IF(Firmalar!$B$16="","",Firmalar!$GG$16)</f>
        <v/>
      </c>
      <c r="E232" s="63">
        <f>IF(OR(A232="",D232=""),"",D232-TODAY())</f>
        <v/>
      </c>
      <c r="F232" s="64">
        <f>IF(OR(A232="",D232=""),"",IF(D232&lt;TODAY(),"Süresi geçti",IF(D232&lt;=TODAY()+30,"30 gün içinde",IF(D232&lt;=TODAY()+90,"90 gün içinde","İleride"))))</f>
        <v/>
      </c>
      <c r="G232" s="64">
        <f>IF(A232="","",Firmalar!$H$16)</f>
        <v/>
      </c>
    </row>
    <row r="233" ht="18" customHeight="1">
      <c r="A233" s="61">
        <f>IF(Firmalar!$B$17="","",Firmalar!$B$17)</f>
        <v/>
      </c>
      <c r="B233" s="61">
        <f>IF(Firmalar!$B$17="","",Firmalar!$I$17)</f>
        <v/>
      </c>
      <c r="C233" s="61" t="inlineStr">
        <is>
          <t>Çevre izni bitiş</t>
        </is>
      </c>
      <c r="D233" s="62">
        <f>IF(Firmalar!$B$17="","",Firmalar!$FO$17)</f>
        <v/>
      </c>
      <c r="E233" s="63">
        <f>IF(OR(A233="",D233=""),"",D233-TODAY())</f>
        <v/>
      </c>
      <c r="F233" s="64">
        <f>IF(OR(A233="",D233=""),"",IF(D233&lt;TODAY(),"Süresi geçti",IF(D233&lt;=TODAY()+30,"30 gün içinde",IF(D233&lt;=TODAY()+90,"90 gün içinde","İleride"))))</f>
        <v/>
      </c>
      <c r="G233" s="64">
        <f>IF(A233="","",Firmalar!$H$17)</f>
        <v/>
      </c>
    </row>
    <row r="234" ht="18" customHeight="1">
      <c r="A234" s="61">
        <f>IF(Firmalar!$B$17="","",Firmalar!$B$17)</f>
        <v/>
      </c>
      <c r="B234" s="61">
        <f>IF(Firmalar!$B$17="","",Firmalar!$I$17)</f>
        <v/>
      </c>
      <c r="C234" s="61" t="inlineStr">
        <is>
          <t>Çevre izni başvurusu</t>
        </is>
      </c>
      <c r="D234" s="62">
        <f>IF(Firmalar!$B$17="","",Firmalar!$FP$17)</f>
        <v/>
      </c>
      <c r="E234" s="63">
        <f>IF(OR(A234="",D234=""),"",D234-TODAY())</f>
        <v/>
      </c>
      <c r="F234" s="64">
        <f>IF(OR(A234="",D234=""),"",IF(D234&lt;TODAY(),"Süresi geçti",IF(D234&lt;=TODAY()+30,"30 gün içinde",IF(D234&lt;=TODAY()+90,"90 gün içinde","İleride"))))</f>
        <v/>
      </c>
      <c r="G234" s="64">
        <f>IF(A234="","",Firmalar!$H$17)</f>
        <v/>
      </c>
    </row>
    <row r="235" ht="18" customHeight="1">
      <c r="A235" s="61">
        <f>IF(Firmalar!$B$17="","",Firmalar!$B$17)</f>
        <v/>
      </c>
      <c r="B235" s="61">
        <f>IF(Firmalar!$B$17="","",Firmalar!$I$17)</f>
        <v/>
      </c>
      <c r="C235" s="61" t="inlineStr">
        <is>
          <t>GFB bitiş</t>
        </is>
      </c>
      <c r="D235" s="62">
        <f>IF(Firmalar!$B$17="","",Firmalar!$FQ$17)</f>
        <v/>
      </c>
      <c r="E235" s="63">
        <f>IF(OR(A235="",D235=""),"",D235-TODAY())</f>
        <v/>
      </c>
      <c r="F235" s="64">
        <f>IF(OR(A235="",D235=""),"",IF(D235&lt;TODAY(),"Süresi geçti",IF(D235&lt;=TODAY()+30,"30 gün içinde",IF(D235&lt;=TODAY()+90,"90 gün içinde","İleride"))))</f>
        <v/>
      </c>
      <c r="G235" s="64">
        <f>IF(A235="","",Firmalar!$H$17)</f>
        <v/>
      </c>
    </row>
    <row r="236" ht="18" customHeight="1">
      <c r="A236" s="61">
        <f>IF(Firmalar!$B$17="","",Firmalar!$B$17)</f>
        <v/>
      </c>
      <c r="B236" s="61">
        <f>IF(Firmalar!$B$17="","",Firmalar!$I$17)</f>
        <v/>
      </c>
      <c r="C236" s="61" t="inlineStr">
        <is>
          <t>Sözleşme bitiş</t>
        </is>
      </c>
      <c r="D236" s="62">
        <f>IF(Firmalar!$B$17="","",Firmalar!$FR$17)</f>
        <v/>
      </c>
      <c r="E236" s="63">
        <f>IF(OR(A236="",D236=""),"",D236-TODAY())</f>
        <v/>
      </c>
      <c r="F236" s="64">
        <f>IF(OR(A236="",D236=""),"",IF(D236&lt;TODAY(),"Süresi geçti",IF(D236&lt;=TODAY()+30,"30 gün içinde",IF(D236&lt;=TODAY()+90,"90 gün içinde","İleride"))))</f>
        <v/>
      </c>
      <c r="G236" s="64">
        <f>IF(A236="","",Firmalar!$H$17)</f>
        <v/>
      </c>
    </row>
    <row r="237" ht="18" customHeight="1">
      <c r="A237" s="61">
        <f>IF(Firmalar!$B$17="","",Firmalar!$B$17)</f>
        <v/>
      </c>
      <c r="B237" s="61">
        <f>IF(Firmalar!$B$17="","",Firmalar!$I$17)</f>
        <v/>
      </c>
      <c r="C237" s="61" t="inlineStr">
        <is>
          <t>Sıfır Atık bitiş</t>
        </is>
      </c>
      <c r="D237" s="62">
        <f>IF(Firmalar!$B$17="","",Firmalar!$FS$17)</f>
        <v/>
      </c>
      <c r="E237" s="63">
        <f>IF(OR(A237="",D237=""),"",D237-TODAY())</f>
        <v/>
      </c>
      <c r="F237" s="64">
        <f>IF(OR(A237="",D237=""),"",IF(D237&lt;TODAY(),"Süresi geçti",IF(D237&lt;=TODAY()+30,"30 gün içinde",IF(D237&lt;=TODAY()+90,"90 gün içinde","İleride"))))</f>
        <v/>
      </c>
      <c r="G237" s="64">
        <f>IF(A237="","",Firmalar!$H$17)</f>
        <v/>
      </c>
    </row>
    <row r="238" ht="18" customHeight="1">
      <c r="A238" s="61">
        <f>IF(Firmalar!$B$17="","",Firmalar!$B$17)</f>
        <v/>
      </c>
      <c r="B238" s="61">
        <f>IF(Firmalar!$B$17="","",Firmalar!$I$17)</f>
        <v/>
      </c>
      <c r="C238" s="61" t="inlineStr">
        <is>
          <t>Atık planı bitiş</t>
        </is>
      </c>
      <c r="D238" s="62">
        <f>IF(Firmalar!$B$17="","",Firmalar!$FT$17)</f>
        <v/>
      </c>
      <c r="E238" s="63">
        <f>IF(OR(A238="",D238=""),"",D238-TODAY())</f>
        <v/>
      </c>
      <c r="F238" s="64">
        <f>IF(OR(A238="",D238=""),"",IF(D238&lt;TODAY(),"Süresi geçti",IF(D238&lt;=TODAY()+30,"30 gün içinde",IF(D238&lt;=TODAY()+90,"90 gün içinde","İleride"))))</f>
        <v/>
      </c>
      <c r="G238" s="64">
        <f>IF(A238="","",Firmalar!$H$17)</f>
        <v/>
      </c>
    </row>
    <row r="239" ht="18" customHeight="1">
      <c r="A239" s="61">
        <f>IF(Firmalar!$B$17="","",Firmalar!$B$17)</f>
        <v/>
      </c>
      <c r="B239" s="61">
        <f>IF(Firmalar!$B$17="","",Firmalar!$I$17)</f>
        <v/>
      </c>
      <c r="C239" s="61" t="inlineStr">
        <is>
          <t>Emisyon teyidi</t>
        </is>
      </c>
      <c r="D239" s="62">
        <f>IF(Firmalar!$B$17="","",Firmalar!$FU$17)</f>
        <v/>
      </c>
      <c r="E239" s="63">
        <f>IF(OR(A239="",D239=""),"",D239-TODAY())</f>
        <v/>
      </c>
      <c r="F239" s="64">
        <f>IF(OR(A239="",D239=""),"",IF(D239&lt;TODAY(),"Süresi geçti",IF(D239&lt;=TODAY()+30,"30 gün içinde",IF(D239&lt;=TODAY()+90,"90 gün içinde","İleride"))))</f>
        <v/>
      </c>
      <c r="G239" s="64">
        <f>IF(A239="","",Firmalar!$H$17)</f>
        <v/>
      </c>
    </row>
    <row r="240" ht="18" customHeight="1">
      <c r="A240" s="61">
        <f>IF(Firmalar!$B$17="","",Firmalar!$B$17)</f>
        <v/>
      </c>
      <c r="B240" s="61">
        <f>IF(Firmalar!$B$17="","",Firmalar!$I$17)</f>
        <v/>
      </c>
      <c r="C240" s="61" t="inlineStr">
        <is>
          <t>Emisyon ölçümü</t>
        </is>
      </c>
      <c r="D240" s="62">
        <f>IF(Firmalar!$B$17="","",Firmalar!$FV$17)</f>
        <v/>
      </c>
      <c r="E240" s="63">
        <f>IF(OR(A240="",D240=""),"",D240-TODAY())</f>
        <v/>
      </c>
      <c r="F240" s="64">
        <f>IF(OR(A240="",D240=""),"",IF(D240&lt;TODAY(),"Süresi geçti",IF(D240&lt;=TODAY()+30,"30 gün içinde",IF(D240&lt;=TODAY()+90,"90 gün içinde","İleride"))))</f>
        <v/>
      </c>
      <c r="G240" s="64">
        <f>IF(A240="","",Firmalar!$H$17)</f>
        <v/>
      </c>
    </row>
    <row r="241" ht="18" customHeight="1">
      <c r="A241" s="61">
        <f>IF(Firmalar!$B$17="","",Firmalar!$B$17)</f>
        <v/>
      </c>
      <c r="B241" s="61">
        <f>IF(Firmalar!$B$17="","",Firmalar!$I$17)</f>
        <v/>
      </c>
      <c r="C241" s="61" t="inlineStr">
        <is>
          <t>İç tetkik</t>
        </is>
      </c>
      <c r="D241" s="62">
        <f>IF(Firmalar!$B$17="","",Firmalar!$FW$17)</f>
        <v/>
      </c>
      <c r="E241" s="63">
        <f>IF(OR(A241="",D241=""),"",D241-TODAY())</f>
        <v/>
      </c>
      <c r="F241" s="64">
        <f>IF(OR(A241="",D241=""),"",IF(D241&lt;TODAY(),"Süresi geçti",IF(D241&lt;=TODAY()+30,"30 gün içinde",IF(D241&lt;=TODAY()+90,"90 gün içinde","İleride"))))</f>
        <v/>
      </c>
      <c r="G241" s="64">
        <f>IF(A241="","",Firmalar!$H$17)</f>
        <v/>
      </c>
    </row>
    <row r="242" ht="18" customHeight="1">
      <c r="A242" s="61">
        <f>IF(Firmalar!$B$17="","",Firmalar!$B$17)</f>
        <v/>
      </c>
      <c r="B242" s="61">
        <f>IF(Firmalar!$B$17="","",Firmalar!$I$17)</f>
        <v/>
      </c>
      <c r="C242" s="61" t="inlineStr">
        <is>
          <t>İç tetkik planı</t>
        </is>
      </c>
      <c r="D242" s="62">
        <f>IF(Firmalar!$B$17="","",Firmalar!$FX$17)</f>
        <v/>
      </c>
      <c r="E242" s="63">
        <f>IF(OR(A242="",D242=""),"",D242-TODAY())</f>
        <v/>
      </c>
      <c r="F242" s="64">
        <f>IF(OR(A242="",D242=""),"",IF(D242&lt;TODAY(),"Süresi geçti",IF(D242&lt;=TODAY()+30,"30 gün içinde",IF(D242&lt;=TODAY()+90,"90 gün içinde","İleride"))))</f>
        <v/>
      </c>
      <c r="G242" s="64">
        <f>IF(A242="","",Firmalar!$H$17)</f>
        <v/>
      </c>
    </row>
    <row r="243" ht="18" customHeight="1">
      <c r="A243" s="61">
        <f>IF(Firmalar!$B$17="","",Firmalar!$B$17)</f>
        <v/>
      </c>
      <c r="B243" s="61">
        <f>IF(Firmalar!$B$17="","",Firmalar!$I$17)</f>
        <v/>
      </c>
      <c r="C243" s="61" t="inlineStr">
        <is>
          <t>Çevre eğitimi</t>
        </is>
      </c>
      <c r="D243" s="62">
        <f>IF(Firmalar!$B$17="","",Firmalar!$FY$17)</f>
        <v/>
      </c>
      <c r="E243" s="63">
        <f>IF(OR(A243="",D243=""),"",D243-TODAY())</f>
        <v/>
      </c>
      <c r="F243" s="64">
        <f>IF(OR(A243="",D243=""),"",IF(D243&lt;TODAY(),"Süresi geçti",IF(D243&lt;=TODAY()+30,"30 gün içinde",IF(D243&lt;=TODAY()+90,"90 gün içinde","İleride"))))</f>
        <v/>
      </c>
      <c r="G243" s="64">
        <f>IF(A243="","",Firmalar!$H$17)</f>
        <v/>
      </c>
    </row>
    <row r="244" ht="18" customHeight="1">
      <c r="A244" s="61">
        <f>IF(Firmalar!$B$17="","",Firmalar!$B$17)</f>
        <v/>
      </c>
      <c r="B244" s="61">
        <f>IF(Firmalar!$B$17="","",Firmalar!$I$17)</f>
        <v/>
      </c>
      <c r="C244" s="61" t="inlineStr">
        <is>
          <t>Eğitim planı</t>
        </is>
      </c>
      <c r="D244" s="62">
        <f>IF(Firmalar!$B$17="","",Firmalar!$FZ$17)</f>
        <v/>
      </c>
      <c r="E244" s="63">
        <f>IF(OR(A244="",D244=""),"",D244-TODAY())</f>
        <v/>
      </c>
      <c r="F244" s="64">
        <f>IF(OR(A244="",D244=""),"",IF(D244&lt;TODAY(),"Süresi geçti",IF(D244&lt;=TODAY()+30,"30 gün içinde",IF(D244&lt;=TODAY()+90,"90 gün içinde","İleride"))))</f>
        <v/>
      </c>
      <c r="G244" s="64">
        <f>IF(A244="","",Firmalar!$H$17)</f>
        <v/>
      </c>
    </row>
    <row r="245" ht="18" customHeight="1">
      <c r="A245" s="61">
        <f>IF(Firmalar!$B$17="","",Firmalar!$B$17)</f>
        <v/>
      </c>
      <c r="B245" s="61">
        <f>IF(Firmalar!$B$17="","",Firmalar!$I$17)</f>
        <v/>
      </c>
      <c r="C245" s="61" t="inlineStr">
        <is>
          <t>Kanal belgesi bitiş</t>
        </is>
      </c>
      <c r="D245" s="62">
        <f>IF(Firmalar!$B$17="","",Firmalar!$GA$17)</f>
        <v/>
      </c>
      <c r="E245" s="63">
        <f>IF(OR(A245="",D245=""),"",D245-TODAY())</f>
        <v/>
      </c>
      <c r="F245" s="64">
        <f>IF(OR(A245="",D245=""),"",IF(D245&lt;TODAY(),"Süresi geçti",IF(D245&lt;=TODAY()+30,"30 gün içinde",IF(D245&lt;=TODAY()+90,"90 gün içinde","İleride"))))</f>
        <v/>
      </c>
      <c r="G245" s="64">
        <f>IF(A245="","",Firmalar!$H$17)</f>
        <v/>
      </c>
    </row>
    <row r="246" ht="18" customHeight="1">
      <c r="A246" s="61">
        <f>IF(Firmalar!$B$17="","",Firmalar!$B$17)</f>
        <v/>
      </c>
      <c r="B246" s="61">
        <f>IF(Firmalar!$B$17="","",Firmalar!$I$17)</f>
        <v/>
      </c>
      <c r="C246" s="61" t="inlineStr">
        <is>
          <t>Deşarj izni bitiş</t>
        </is>
      </c>
      <c r="D246" s="62">
        <f>IF(Firmalar!$B$17="","",Firmalar!$GB$17)</f>
        <v/>
      </c>
      <c r="E246" s="63">
        <f>IF(OR(A246="",D246=""),"",D246-TODAY())</f>
        <v/>
      </c>
      <c r="F246" s="64">
        <f>IF(OR(A246="",D246=""),"",IF(D246&lt;TODAY(),"Süresi geçti",IF(D246&lt;=TODAY()+30,"30 gün içinde",IF(D246&lt;=TODAY()+90,"90 gün içinde","İleride"))))</f>
        <v/>
      </c>
      <c r="G246" s="64">
        <f>IF(A246="","",Firmalar!$H$17)</f>
        <v/>
      </c>
    </row>
    <row r="247" ht="18" customHeight="1">
      <c r="A247" s="61">
        <f>IF(Firmalar!$B$17="","",Firmalar!$B$17)</f>
        <v/>
      </c>
      <c r="B247" s="61">
        <f>IF(Firmalar!$B$17="","",Firmalar!$I$17)</f>
        <v/>
      </c>
      <c r="C247" s="61" t="inlineStr">
        <is>
          <t>Atıksu analizi</t>
        </is>
      </c>
      <c r="D247" s="62">
        <f>IF(Firmalar!$B$17="","",Firmalar!$GC$17)</f>
        <v/>
      </c>
      <c r="E247" s="63">
        <f>IF(OR(A247="",D247=""),"",D247-TODAY())</f>
        <v/>
      </c>
      <c r="F247" s="64">
        <f>IF(OR(A247="",D247=""),"",IF(D247&lt;TODAY(),"Süresi geçti",IF(D247&lt;=TODAY()+30,"30 gün içinde",IF(D247&lt;=TODAY()+90,"90 gün içinde","İleride"))))</f>
        <v/>
      </c>
      <c r="G247" s="64">
        <f>IF(A247="","",Firmalar!$H$17)</f>
        <v/>
      </c>
    </row>
    <row r="248" ht="18" customHeight="1">
      <c r="A248" s="61">
        <f>IF(Firmalar!$B$17="","",Firmalar!$B$17)</f>
        <v/>
      </c>
      <c r="B248" s="61">
        <f>IF(Firmalar!$B$17="","",Firmalar!$I$17)</f>
        <v/>
      </c>
      <c r="C248" s="61" t="inlineStr">
        <is>
          <t>Saha ziyareti</t>
        </is>
      </c>
      <c r="D248" s="62">
        <f>IF(Firmalar!$B$17="","",Firmalar!$GD$17)</f>
        <v/>
      </c>
      <c r="E248" s="63">
        <f>IF(OR(A248="",D248=""),"",D248-TODAY())</f>
        <v/>
      </c>
      <c r="F248" s="64">
        <f>IF(OR(A248="",D248=""),"",IF(D248&lt;TODAY(),"Süresi geçti",IF(D248&lt;=TODAY()+30,"30 gün içinde",IF(D248&lt;=TODAY()+90,"90 gün içinde","İleride"))))</f>
        <v/>
      </c>
      <c r="G248" s="64">
        <f>IF(A248="","",Firmalar!$H$17)</f>
        <v/>
      </c>
    </row>
    <row r="249" ht="18" customHeight="1">
      <c r="A249" s="61">
        <f>IF(Firmalar!$B$17="","",Firmalar!$B$17)</f>
        <v/>
      </c>
      <c r="B249" s="61">
        <f>IF(Firmalar!$B$17="","",Firmalar!$I$17)</f>
        <v/>
      </c>
      <c r="C249" s="61" t="inlineStr">
        <is>
          <t>Resmî yazı cevabı</t>
        </is>
      </c>
      <c r="D249" s="62">
        <f>IF(Firmalar!$B$17="","",Firmalar!$GE$17)</f>
        <v/>
      </c>
      <c r="E249" s="63">
        <f>IF(OR(A249="",D249=""),"",D249-TODAY())</f>
        <v/>
      </c>
      <c r="F249" s="64">
        <f>IF(OR(A249="",D249=""),"",IF(D249&lt;TODAY(),"Süresi geçti",IF(D249&lt;=TODAY()+30,"30 gün içinde",IF(D249&lt;=TODAY()+90,"90 gün içinde","İleride"))))</f>
        <v/>
      </c>
      <c r="G249" s="64">
        <f>IF(A249="","",Firmalar!$H$17)</f>
        <v/>
      </c>
    </row>
    <row r="250" ht="18" customHeight="1">
      <c r="A250" s="61">
        <f>IF(Firmalar!$B$17="","",Firmalar!$B$17)</f>
        <v/>
      </c>
      <c r="B250" s="61">
        <f>IF(Firmalar!$B$17="","",Firmalar!$I$17)</f>
        <v/>
      </c>
      <c r="C250" s="61" t="inlineStr">
        <is>
          <t>Uygunsuzluk kapanışı</t>
        </is>
      </c>
      <c r="D250" s="62">
        <f>IF(Firmalar!$B$17="","",Firmalar!$GF$17)</f>
        <v/>
      </c>
      <c r="E250" s="63">
        <f>IF(OR(A250="",D250=""),"",D250-TODAY())</f>
        <v/>
      </c>
      <c r="F250" s="64">
        <f>IF(OR(A250="",D250=""),"",IF(D250&lt;TODAY(),"Süresi geçti",IF(D250&lt;=TODAY()+30,"30 gün içinde",IF(D250&lt;=TODAY()+90,"90 gün içinde","İleride"))))</f>
        <v/>
      </c>
      <c r="G250" s="64">
        <f>IF(A250="","",Firmalar!$H$17)</f>
        <v/>
      </c>
    </row>
    <row r="251" ht="18" customHeight="1">
      <c r="A251" s="61">
        <f>IF(Firmalar!$B$17="","",Firmalar!$B$17)</f>
        <v/>
      </c>
      <c r="B251" s="61">
        <f>IF(Firmalar!$B$17="","",Firmalar!$I$17)</f>
        <v/>
      </c>
      <c r="C251" s="61" t="inlineStr">
        <is>
          <t>Öncelikli işlem</t>
        </is>
      </c>
      <c r="D251" s="62">
        <f>IF(Firmalar!$B$17="","",Firmalar!$GG$17)</f>
        <v/>
      </c>
      <c r="E251" s="63">
        <f>IF(OR(A251="",D251=""),"",D251-TODAY())</f>
        <v/>
      </c>
      <c r="F251" s="64">
        <f>IF(OR(A251="",D251=""),"",IF(D251&lt;TODAY(),"Süresi geçti",IF(D251&lt;=TODAY()+30,"30 gün içinde",IF(D251&lt;=TODAY()+90,"90 gün içinde","İleride"))))</f>
        <v/>
      </c>
      <c r="G251" s="64">
        <f>IF(A251="","",Firmalar!$H$17)</f>
        <v/>
      </c>
    </row>
    <row r="252" ht="18" customHeight="1">
      <c r="A252" s="61">
        <f>IF(Firmalar!$B$18="","",Firmalar!$B$18)</f>
        <v/>
      </c>
      <c r="B252" s="61">
        <f>IF(Firmalar!$B$18="","",Firmalar!$I$18)</f>
        <v/>
      </c>
      <c r="C252" s="61" t="inlineStr">
        <is>
          <t>Çevre izni bitiş</t>
        </is>
      </c>
      <c r="D252" s="62">
        <f>IF(Firmalar!$B$18="","",Firmalar!$FO$18)</f>
        <v/>
      </c>
      <c r="E252" s="63">
        <f>IF(OR(A252="",D252=""),"",D252-TODAY())</f>
        <v/>
      </c>
      <c r="F252" s="64">
        <f>IF(OR(A252="",D252=""),"",IF(D252&lt;TODAY(),"Süresi geçti",IF(D252&lt;=TODAY()+30,"30 gün içinde",IF(D252&lt;=TODAY()+90,"90 gün içinde","İleride"))))</f>
        <v/>
      </c>
      <c r="G252" s="64">
        <f>IF(A252="","",Firmalar!$H$18)</f>
        <v/>
      </c>
    </row>
    <row r="253" ht="18" customHeight="1">
      <c r="A253" s="61">
        <f>IF(Firmalar!$B$18="","",Firmalar!$B$18)</f>
        <v/>
      </c>
      <c r="B253" s="61">
        <f>IF(Firmalar!$B$18="","",Firmalar!$I$18)</f>
        <v/>
      </c>
      <c r="C253" s="61" t="inlineStr">
        <is>
          <t>Çevre izni başvurusu</t>
        </is>
      </c>
      <c r="D253" s="62">
        <f>IF(Firmalar!$B$18="","",Firmalar!$FP$18)</f>
        <v/>
      </c>
      <c r="E253" s="63">
        <f>IF(OR(A253="",D253=""),"",D253-TODAY())</f>
        <v/>
      </c>
      <c r="F253" s="64">
        <f>IF(OR(A253="",D253=""),"",IF(D253&lt;TODAY(),"Süresi geçti",IF(D253&lt;=TODAY()+30,"30 gün içinde",IF(D253&lt;=TODAY()+90,"90 gün içinde","İleride"))))</f>
        <v/>
      </c>
      <c r="G253" s="64">
        <f>IF(A253="","",Firmalar!$H$18)</f>
        <v/>
      </c>
    </row>
    <row r="254" ht="18" customHeight="1">
      <c r="A254" s="61">
        <f>IF(Firmalar!$B$18="","",Firmalar!$B$18)</f>
        <v/>
      </c>
      <c r="B254" s="61">
        <f>IF(Firmalar!$B$18="","",Firmalar!$I$18)</f>
        <v/>
      </c>
      <c r="C254" s="61" t="inlineStr">
        <is>
          <t>GFB bitiş</t>
        </is>
      </c>
      <c r="D254" s="62">
        <f>IF(Firmalar!$B$18="","",Firmalar!$FQ$18)</f>
        <v/>
      </c>
      <c r="E254" s="63">
        <f>IF(OR(A254="",D254=""),"",D254-TODAY())</f>
        <v/>
      </c>
      <c r="F254" s="64">
        <f>IF(OR(A254="",D254=""),"",IF(D254&lt;TODAY(),"Süresi geçti",IF(D254&lt;=TODAY()+30,"30 gün içinde",IF(D254&lt;=TODAY()+90,"90 gün içinde","İleride"))))</f>
        <v/>
      </c>
      <c r="G254" s="64">
        <f>IF(A254="","",Firmalar!$H$18)</f>
        <v/>
      </c>
    </row>
    <row r="255" ht="18" customHeight="1">
      <c r="A255" s="61">
        <f>IF(Firmalar!$B$18="","",Firmalar!$B$18)</f>
        <v/>
      </c>
      <c r="B255" s="61">
        <f>IF(Firmalar!$B$18="","",Firmalar!$I$18)</f>
        <v/>
      </c>
      <c r="C255" s="61" t="inlineStr">
        <is>
          <t>Sözleşme bitiş</t>
        </is>
      </c>
      <c r="D255" s="62">
        <f>IF(Firmalar!$B$18="","",Firmalar!$FR$18)</f>
        <v/>
      </c>
      <c r="E255" s="63">
        <f>IF(OR(A255="",D255=""),"",D255-TODAY())</f>
        <v/>
      </c>
      <c r="F255" s="64">
        <f>IF(OR(A255="",D255=""),"",IF(D255&lt;TODAY(),"Süresi geçti",IF(D255&lt;=TODAY()+30,"30 gün içinde",IF(D255&lt;=TODAY()+90,"90 gün içinde","İleride"))))</f>
        <v/>
      </c>
      <c r="G255" s="64">
        <f>IF(A255="","",Firmalar!$H$18)</f>
        <v/>
      </c>
    </row>
    <row r="256" ht="18" customHeight="1">
      <c r="A256" s="61">
        <f>IF(Firmalar!$B$18="","",Firmalar!$B$18)</f>
        <v/>
      </c>
      <c r="B256" s="61">
        <f>IF(Firmalar!$B$18="","",Firmalar!$I$18)</f>
        <v/>
      </c>
      <c r="C256" s="61" t="inlineStr">
        <is>
          <t>Sıfır Atık bitiş</t>
        </is>
      </c>
      <c r="D256" s="62">
        <f>IF(Firmalar!$B$18="","",Firmalar!$FS$18)</f>
        <v/>
      </c>
      <c r="E256" s="63">
        <f>IF(OR(A256="",D256=""),"",D256-TODAY())</f>
        <v/>
      </c>
      <c r="F256" s="64">
        <f>IF(OR(A256="",D256=""),"",IF(D256&lt;TODAY(),"Süresi geçti",IF(D256&lt;=TODAY()+30,"30 gün içinde",IF(D256&lt;=TODAY()+90,"90 gün içinde","İleride"))))</f>
        <v/>
      </c>
      <c r="G256" s="64">
        <f>IF(A256="","",Firmalar!$H$18)</f>
        <v/>
      </c>
    </row>
    <row r="257" ht="18" customHeight="1">
      <c r="A257" s="61">
        <f>IF(Firmalar!$B$18="","",Firmalar!$B$18)</f>
        <v/>
      </c>
      <c r="B257" s="61">
        <f>IF(Firmalar!$B$18="","",Firmalar!$I$18)</f>
        <v/>
      </c>
      <c r="C257" s="61" t="inlineStr">
        <is>
          <t>Atık planı bitiş</t>
        </is>
      </c>
      <c r="D257" s="62">
        <f>IF(Firmalar!$B$18="","",Firmalar!$FT$18)</f>
        <v/>
      </c>
      <c r="E257" s="63">
        <f>IF(OR(A257="",D257=""),"",D257-TODAY())</f>
        <v/>
      </c>
      <c r="F257" s="64">
        <f>IF(OR(A257="",D257=""),"",IF(D257&lt;TODAY(),"Süresi geçti",IF(D257&lt;=TODAY()+30,"30 gün içinde",IF(D257&lt;=TODAY()+90,"90 gün içinde","İleride"))))</f>
        <v/>
      </c>
      <c r="G257" s="64">
        <f>IF(A257="","",Firmalar!$H$18)</f>
        <v/>
      </c>
    </row>
    <row r="258" ht="18" customHeight="1">
      <c r="A258" s="61">
        <f>IF(Firmalar!$B$18="","",Firmalar!$B$18)</f>
        <v/>
      </c>
      <c r="B258" s="61">
        <f>IF(Firmalar!$B$18="","",Firmalar!$I$18)</f>
        <v/>
      </c>
      <c r="C258" s="61" t="inlineStr">
        <is>
          <t>Emisyon teyidi</t>
        </is>
      </c>
      <c r="D258" s="62">
        <f>IF(Firmalar!$B$18="","",Firmalar!$FU$18)</f>
        <v/>
      </c>
      <c r="E258" s="63">
        <f>IF(OR(A258="",D258=""),"",D258-TODAY())</f>
        <v/>
      </c>
      <c r="F258" s="64">
        <f>IF(OR(A258="",D258=""),"",IF(D258&lt;TODAY(),"Süresi geçti",IF(D258&lt;=TODAY()+30,"30 gün içinde",IF(D258&lt;=TODAY()+90,"90 gün içinde","İleride"))))</f>
        <v/>
      </c>
      <c r="G258" s="64">
        <f>IF(A258="","",Firmalar!$H$18)</f>
        <v/>
      </c>
    </row>
    <row r="259" ht="18" customHeight="1">
      <c r="A259" s="61">
        <f>IF(Firmalar!$B$18="","",Firmalar!$B$18)</f>
        <v/>
      </c>
      <c r="B259" s="61">
        <f>IF(Firmalar!$B$18="","",Firmalar!$I$18)</f>
        <v/>
      </c>
      <c r="C259" s="61" t="inlineStr">
        <is>
          <t>Emisyon ölçümü</t>
        </is>
      </c>
      <c r="D259" s="62">
        <f>IF(Firmalar!$B$18="","",Firmalar!$FV$18)</f>
        <v/>
      </c>
      <c r="E259" s="63">
        <f>IF(OR(A259="",D259=""),"",D259-TODAY())</f>
        <v/>
      </c>
      <c r="F259" s="64">
        <f>IF(OR(A259="",D259=""),"",IF(D259&lt;TODAY(),"Süresi geçti",IF(D259&lt;=TODAY()+30,"30 gün içinde",IF(D259&lt;=TODAY()+90,"90 gün içinde","İleride"))))</f>
        <v/>
      </c>
      <c r="G259" s="64">
        <f>IF(A259="","",Firmalar!$H$18)</f>
        <v/>
      </c>
    </row>
    <row r="260" ht="18" customHeight="1">
      <c r="A260" s="61">
        <f>IF(Firmalar!$B$18="","",Firmalar!$B$18)</f>
        <v/>
      </c>
      <c r="B260" s="61">
        <f>IF(Firmalar!$B$18="","",Firmalar!$I$18)</f>
        <v/>
      </c>
      <c r="C260" s="61" t="inlineStr">
        <is>
          <t>İç tetkik</t>
        </is>
      </c>
      <c r="D260" s="62">
        <f>IF(Firmalar!$B$18="","",Firmalar!$FW$18)</f>
        <v/>
      </c>
      <c r="E260" s="63">
        <f>IF(OR(A260="",D260=""),"",D260-TODAY())</f>
        <v/>
      </c>
      <c r="F260" s="64">
        <f>IF(OR(A260="",D260=""),"",IF(D260&lt;TODAY(),"Süresi geçti",IF(D260&lt;=TODAY()+30,"30 gün içinde",IF(D260&lt;=TODAY()+90,"90 gün içinde","İleride"))))</f>
        <v/>
      </c>
      <c r="G260" s="64">
        <f>IF(A260="","",Firmalar!$H$18)</f>
        <v/>
      </c>
    </row>
    <row r="261" ht="18" customHeight="1">
      <c r="A261" s="61">
        <f>IF(Firmalar!$B$18="","",Firmalar!$B$18)</f>
        <v/>
      </c>
      <c r="B261" s="61">
        <f>IF(Firmalar!$B$18="","",Firmalar!$I$18)</f>
        <v/>
      </c>
      <c r="C261" s="61" t="inlineStr">
        <is>
          <t>İç tetkik planı</t>
        </is>
      </c>
      <c r="D261" s="62">
        <f>IF(Firmalar!$B$18="","",Firmalar!$FX$18)</f>
        <v/>
      </c>
      <c r="E261" s="63">
        <f>IF(OR(A261="",D261=""),"",D261-TODAY())</f>
        <v/>
      </c>
      <c r="F261" s="64">
        <f>IF(OR(A261="",D261=""),"",IF(D261&lt;TODAY(),"Süresi geçti",IF(D261&lt;=TODAY()+30,"30 gün içinde",IF(D261&lt;=TODAY()+90,"90 gün içinde","İleride"))))</f>
        <v/>
      </c>
      <c r="G261" s="64">
        <f>IF(A261="","",Firmalar!$H$18)</f>
        <v/>
      </c>
    </row>
    <row r="262" ht="18" customHeight="1">
      <c r="A262" s="61">
        <f>IF(Firmalar!$B$18="","",Firmalar!$B$18)</f>
        <v/>
      </c>
      <c r="B262" s="61">
        <f>IF(Firmalar!$B$18="","",Firmalar!$I$18)</f>
        <v/>
      </c>
      <c r="C262" s="61" t="inlineStr">
        <is>
          <t>Çevre eğitimi</t>
        </is>
      </c>
      <c r="D262" s="62">
        <f>IF(Firmalar!$B$18="","",Firmalar!$FY$18)</f>
        <v/>
      </c>
      <c r="E262" s="63">
        <f>IF(OR(A262="",D262=""),"",D262-TODAY())</f>
        <v/>
      </c>
      <c r="F262" s="64">
        <f>IF(OR(A262="",D262=""),"",IF(D262&lt;TODAY(),"Süresi geçti",IF(D262&lt;=TODAY()+30,"30 gün içinde",IF(D262&lt;=TODAY()+90,"90 gün içinde","İleride"))))</f>
        <v/>
      </c>
      <c r="G262" s="64">
        <f>IF(A262="","",Firmalar!$H$18)</f>
        <v/>
      </c>
    </row>
    <row r="263" ht="18" customHeight="1">
      <c r="A263" s="61">
        <f>IF(Firmalar!$B$18="","",Firmalar!$B$18)</f>
        <v/>
      </c>
      <c r="B263" s="61">
        <f>IF(Firmalar!$B$18="","",Firmalar!$I$18)</f>
        <v/>
      </c>
      <c r="C263" s="61" t="inlineStr">
        <is>
          <t>Eğitim planı</t>
        </is>
      </c>
      <c r="D263" s="62">
        <f>IF(Firmalar!$B$18="","",Firmalar!$FZ$18)</f>
        <v/>
      </c>
      <c r="E263" s="63">
        <f>IF(OR(A263="",D263=""),"",D263-TODAY())</f>
        <v/>
      </c>
      <c r="F263" s="64">
        <f>IF(OR(A263="",D263=""),"",IF(D263&lt;TODAY(),"Süresi geçti",IF(D263&lt;=TODAY()+30,"30 gün içinde",IF(D263&lt;=TODAY()+90,"90 gün içinde","İleride"))))</f>
        <v/>
      </c>
      <c r="G263" s="64">
        <f>IF(A263="","",Firmalar!$H$18)</f>
        <v/>
      </c>
    </row>
    <row r="264" ht="18" customHeight="1">
      <c r="A264" s="61">
        <f>IF(Firmalar!$B$18="","",Firmalar!$B$18)</f>
        <v/>
      </c>
      <c r="B264" s="61">
        <f>IF(Firmalar!$B$18="","",Firmalar!$I$18)</f>
        <v/>
      </c>
      <c r="C264" s="61" t="inlineStr">
        <is>
          <t>Kanal belgesi bitiş</t>
        </is>
      </c>
      <c r="D264" s="62">
        <f>IF(Firmalar!$B$18="","",Firmalar!$GA$18)</f>
        <v/>
      </c>
      <c r="E264" s="63">
        <f>IF(OR(A264="",D264=""),"",D264-TODAY())</f>
        <v/>
      </c>
      <c r="F264" s="64">
        <f>IF(OR(A264="",D264=""),"",IF(D264&lt;TODAY(),"Süresi geçti",IF(D264&lt;=TODAY()+30,"30 gün içinde",IF(D264&lt;=TODAY()+90,"90 gün içinde","İleride"))))</f>
        <v/>
      </c>
      <c r="G264" s="64">
        <f>IF(A264="","",Firmalar!$H$18)</f>
        <v/>
      </c>
    </row>
    <row r="265" ht="18" customHeight="1">
      <c r="A265" s="61">
        <f>IF(Firmalar!$B$18="","",Firmalar!$B$18)</f>
        <v/>
      </c>
      <c r="B265" s="61">
        <f>IF(Firmalar!$B$18="","",Firmalar!$I$18)</f>
        <v/>
      </c>
      <c r="C265" s="61" t="inlineStr">
        <is>
          <t>Deşarj izni bitiş</t>
        </is>
      </c>
      <c r="D265" s="62">
        <f>IF(Firmalar!$B$18="","",Firmalar!$GB$18)</f>
        <v/>
      </c>
      <c r="E265" s="63">
        <f>IF(OR(A265="",D265=""),"",D265-TODAY())</f>
        <v/>
      </c>
      <c r="F265" s="64">
        <f>IF(OR(A265="",D265=""),"",IF(D265&lt;TODAY(),"Süresi geçti",IF(D265&lt;=TODAY()+30,"30 gün içinde",IF(D265&lt;=TODAY()+90,"90 gün içinde","İleride"))))</f>
        <v/>
      </c>
      <c r="G265" s="64">
        <f>IF(A265="","",Firmalar!$H$18)</f>
        <v/>
      </c>
    </row>
    <row r="266" ht="18" customHeight="1">
      <c r="A266" s="61">
        <f>IF(Firmalar!$B$18="","",Firmalar!$B$18)</f>
        <v/>
      </c>
      <c r="B266" s="61">
        <f>IF(Firmalar!$B$18="","",Firmalar!$I$18)</f>
        <v/>
      </c>
      <c r="C266" s="61" t="inlineStr">
        <is>
          <t>Atıksu analizi</t>
        </is>
      </c>
      <c r="D266" s="62">
        <f>IF(Firmalar!$B$18="","",Firmalar!$GC$18)</f>
        <v/>
      </c>
      <c r="E266" s="63">
        <f>IF(OR(A266="",D266=""),"",D266-TODAY())</f>
        <v/>
      </c>
      <c r="F266" s="64">
        <f>IF(OR(A266="",D266=""),"",IF(D266&lt;TODAY(),"Süresi geçti",IF(D266&lt;=TODAY()+30,"30 gün içinde",IF(D266&lt;=TODAY()+90,"90 gün içinde","İleride"))))</f>
        <v/>
      </c>
      <c r="G266" s="64">
        <f>IF(A266="","",Firmalar!$H$18)</f>
        <v/>
      </c>
    </row>
    <row r="267" ht="18" customHeight="1">
      <c r="A267" s="61">
        <f>IF(Firmalar!$B$18="","",Firmalar!$B$18)</f>
        <v/>
      </c>
      <c r="B267" s="61">
        <f>IF(Firmalar!$B$18="","",Firmalar!$I$18)</f>
        <v/>
      </c>
      <c r="C267" s="61" t="inlineStr">
        <is>
          <t>Saha ziyareti</t>
        </is>
      </c>
      <c r="D267" s="62">
        <f>IF(Firmalar!$B$18="","",Firmalar!$GD$18)</f>
        <v/>
      </c>
      <c r="E267" s="63">
        <f>IF(OR(A267="",D267=""),"",D267-TODAY())</f>
        <v/>
      </c>
      <c r="F267" s="64">
        <f>IF(OR(A267="",D267=""),"",IF(D267&lt;TODAY(),"Süresi geçti",IF(D267&lt;=TODAY()+30,"30 gün içinde",IF(D267&lt;=TODAY()+90,"90 gün içinde","İleride"))))</f>
        <v/>
      </c>
      <c r="G267" s="64">
        <f>IF(A267="","",Firmalar!$H$18)</f>
        <v/>
      </c>
    </row>
    <row r="268" ht="18" customHeight="1">
      <c r="A268" s="61">
        <f>IF(Firmalar!$B$18="","",Firmalar!$B$18)</f>
        <v/>
      </c>
      <c r="B268" s="61">
        <f>IF(Firmalar!$B$18="","",Firmalar!$I$18)</f>
        <v/>
      </c>
      <c r="C268" s="61" t="inlineStr">
        <is>
          <t>Resmî yazı cevabı</t>
        </is>
      </c>
      <c r="D268" s="62">
        <f>IF(Firmalar!$B$18="","",Firmalar!$GE$18)</f>
        <v/>
      </c>
      <c r="E268" s="63">
        <f>IF(OR(A268="",D268=""),"",D268-TODAY())</f>
        <v/>
      </c>
      <c r="F268" s="64">
        <f>IF(OR(A268="",D268=""),"",IF(D268&lt;TODAY(),"Süresi geçti",IF(D268&lt;=TODAY()+30,"30 gün içinde",IF(D268&lt;=TODAY()+90,"90 gün içinde","İleride"))))</f>
        <v/>
      </c>
      <c r="G268" s="64">
        <f>IF(A268="","",Firmalar!$H$18)</f>
        <v/>
      </c>
    </row>
    <row r="269" ht="18" customHeight="1">
      <c r="A269" s="61">
        <f>IF(Firmalar!$B$18="","",Firmalar!$B$18)</f>
        <v/>
      </c>
      <c r="B269" s="61">
        <f>IF(Firmalar!$B$18="","",Firmalar!$I$18)</f>
        <v/>
      </c>
      <c r="C269" s="61" t="inlineStr">
        <is>
          <t>Uygunsuzluk kapanışı</t>
        </is>
      </c>
      <c r="D269" s="62">
        <f>IF(Firmalar!$B$18="","",Firmalar!$GF$18)</f>
        <v/>
      </c>
      <c r="E269" s="63">
        <f>IF(OR(A269="",D269=""),"",D269-TODAY())</f>
        <v/>
      </c>
      <c r="F269" s="64">
        <f>IF(OR(A269="",D269=""),"",IF(D269&lt;TODAY(),"Süresi geçti",IF(D269&lt;=TODAY()+30,"30 gün içinde",IF(D269&lt;=TODAY()+90,"90 gün içinde","İleride"))))</f>
        <v/>
      </c>
      <c r="G269" s="64">
        <f>IF(A269="","",Firmalar!$H$18)</f>
        <v/>
      </c>
    </row>
    <row r="270" ht="18" customHeight="1">
      <c r="A270" s="61">
        <f>IF(Firmalar!$B$18="","",Firmalar!$B$18)</f>
        <v/>
      </c>
      <c r="B270" s="61">
        <f>IF(Firmalar!$B$18="","",Firmalar!$I$18)</f>
        <v/>
      </c>
      <c r="C270" s="61" t="inlineStr">
        <is>
          <t>Öncelikli işlem</t>
        </is>
      </c>
      <c r="D270" s="62">
        <f>IF(Firmalar!$B$18="","",Firmalar!$GG$18)</f>
        <v/>
      </c>
      <c r="E270" s="63">
        <f>IF(OR(A270="",D270=""),"",D270-TODAY())</f>
        <v/>
      </c>
      <c r="F270" s="64">
        <f>IF(OR(A270="",D270=""),"",IF(D270&lt;TODAY(),"Süresi geçti",IF(D270&lt;=TODAY()+30,"30 gün içinde",IF(D270&lt;=TODAY()+90,"90 gün içinde","İleride"))))</f>
        <v/>
      </c>
      <c r="G270" s="64">
        <f>IF(A270="","",Firmalar!$H$18)</f>
        <v/>
      </c>
    </row>
    <row r="271" ht="18" customHeight="1">
      <c r="A271" s="61">
        <f>IF(Firmalar!$B$19="","",Firmalar!$B$19)</f>
        <v/>
      </c>
      <c r="B271" s="61">
        <f>IF(Firmalar!$B$19="","",Firmalar!$I$19)</f>
        <v/>
      </c>
      <c r="C271" s="61" t="inlineStr">
        <is>
          <t>Çevre izni bitiş</t>
        </is>
      </c>
      <c r="D271" s="62">
        <f>IF(Firmalar!$B$19="","",Firmalar!$FO$19)</f>
        <v/>
      </c>
      <c r="E271" s="63">
        <f>IF(OR(A271="",D271=""),"",D271-TODAY())</f>
        <v/>
      </c>
      <c r="F271" s="64">
        <f>IF(OR(A271="",D271=""),"",IF(D271&lt;TODAY(),"Süresi geçti",IF(D271&lt;=TODAY()+30,"30 gün içinde",IF(D271&lt;=TODAY()+90,"90 gün içinde","İleride"))))</f>
        <v/>
      </c>
      <c r="G271" s="64">
        <f>IF(A271="","",Firmalar!$H$19)</f>
        <v/>
      </c>
    </row>
    <row r="272" ht="18" customHeight="1">
      <c r="A272" s="61">
        <f>IF(Firmalar!$B$19="","",Firmalar!$B$19)</f>
        <v/>
      </c>
      <c r="B272" s="61">
        <f>IF(Firmalar!$B$19="","",Firmalar!$I$19)</f>
        <v/>
      </c>
      <c r="C272" s="61" t="inlineStr">
        <is>
          <t>Çevre izni başvurusu</t>
        </is>
      </c>
      <c r="D272" s="62">
        <f>IF(Firmalar!$B$19="","",Firmalar!$FP$19)</f>
        <v/>
      </c>
      <c r="E272" s="63">
        <f>IF(OR(A272="",D272=""),"",D272-TODAY())</f>
        <v/>
      </c>
      <c r="F272" s="64">
        <f>IF(OR(A272="",D272=""),"",IF(D272&lt;TODAY(),"Süresi geçti",IF(D272&lt;=TODAY()+30,"30 gün içinde",IF(D272&lt;=TODAY()+90,"90 gün içinde","İleride"))))</f>
        <v/>
      </c>
      <c r="G272" s="64">
        <f>IF(A272="","",Firmalar!$H$19)</f>
        <v/>
      </c>
    </row>
    <row r="273" ht="18" customHeight="1">
      <c r="A273" s="61">
        <f>IF(Firmalar!$B$19="","",Firmalar!$B$19)</f>
        <v/>
      </c>
      <c r="B273" s="61">
        <f>IF(Firmalar!$B$19="","",Firmalar!$I$19)</f>
        <v/>
      </c>
      <c r="C273" s="61" t="inlineStr">
        <is>
          <t>GFB bitiş</t>
        </is>
      </c>
      <c r="D273" s="62">
        <f>IF(Firmalar!$B$19="","",Firmalar!$FQ$19)</f>
        <v/>
      </c>
      <c r="E273" s="63">
        <f>IF(OR(A273="",D273=""),"",D273-TODAY())</f>
        <v/>
      </c>
      <c r="F273" s="64">
        <f>IF(OR(A273="",D273=""),"",IF(D273&lt;TODAY(),"Süresi geçti",IF(D273&lt;=TODAY()+30,"30 gün içinde",IF(D273&lt;=TODAY()+90,"90 gün içinde","İleride"))))</f>
        <v/>
      </c>
      <c r="G273" s="64">
        <f>IF(A273="","",Firmalar!$H$19)</f>
        <v/>
      </c>
    </row>
    <row r="274" ht="18" customHeight="1">
      <c r="A274" s="61">
        <f>IF(Firmalar!$B$19="","",Firmalar!$B$19)</f>
        <v/>
      </c>
      <c r="B274" s="61">
        <f>IF(Firmalar!$B$19="","",Firmalar!$I$19)</f>
        <v/>
      </c>
      <c r="C274" s="61" t="inlineStr">
        <is>
          <t>Sözleşme bitiş</t>
        </is>
      </c>
      <c r="D274" s="62">
        <f>IF(Firmalar!$B$19="","",Firmalar!$FR$19)</f>
        <v/>
      </c>
      <c r="E274" s="63">
        <f>IF(OR(A274="",D274=""),"",D274-TODAY())</f>
        <v/>
      </c>
      <c r="F274" s="64">
        <f>IF(OR(A274="",D274=""),"",IF(D274&lt;TODAY(),"Süresi geçti",IF(D274&lt;=TODAY()+30,"30 gün içinde",IF(D274&lt;=TODAY()+90,"90 gün içinde","İleride"))))</f>
        <v/>
      </c>
      <c r="G274" s="64">
        <f>IF(A274="","",Firmalar!$H$19)</f>
        <v/>
      </c>
    </row>
    <row r="275" ht="18" customHeight="1">
      <c r="A275" s="61">
        <f>IF(Firmalar!$B$19="","",Firmalar!$B$19)</f>
        <v/>
      </c>
      <c r="B275" s="61">
        <f>IF(Firmalar!$B$19="","",Firmalar!$I$19)</f>
        <v/>
      </c>
      <c r="C275" s="61" t="inlineStr">
        <is>
          <t>Sıfır Atık bitiş</t>
        </is>
      </c>
      <c r="D275" s="62">
        <f>IF(Firmalar!$B$19="","",Firmalar!$FS$19)</f>
        <v/>
      </c>
      <c r="E275" s="63">
        <f>IF(OR(A275="",D275=""),"",D275-TODAY())</f>
        <v/>
      </c>
      <c r="F275" s="64">
        <f>IF(OR(A275="",D275=""),"",IF(D275&lt;TODAY(),"Süresi geçti",IF(D275&lt;=TODAY()+30,"30 gün içinde",IF(D275&lt;=TODAY()+90,"90 gün içinde","İleride"))))</f>
        <v/>
      </c>
      <c r="G275" s="64">
        <f>IF(A275="","",Firmalar!$H$19)</f>
        <v/>
      </c>
    </row>
    <row r="276" ht="18" customHeight="1">
      <c r="A276" s="61">
        <f>IF(Firmalar!$B$19="","",Firmalar!$B$19)</f>
        <v/>
      </c>
      <c r="B276" s="61">
        <f>IF(Firmalar!$B$19="","",Firmalar!$I$19)</f>
        <v/>
      </c>
      <c r="C276" s="61" t="inlineStr">
        <is>
          <t>Atık planı bitiş</t>
        </is>
      </c>
      <c r="D276" s="62">
        <f>IF(Firmalar!$B$19="","",Firmalar!$FT$19)</f>
        <v/>
      </c>
      <c r="E276" s="63">
        <f>IF(OR(A276="",D276=""),"",D276-TODAY())</f>
        <v/>
      </c>
      <c r="F276" s="64">
        <f>IF(OR(A276="",D276=""),"",IF(D276&lt;TODAY(),"Süresi geçti",IF(D276&lt;=TODAY()+30,"30 gün içinde",IF(D276&lt;=TODAY()+90,"90 gün içinde","İleride"))))</f>
        <v/>
      </c>
      <c r="G276" s="64">
        <f>IF(A276="","",Firmalar!$H$19)</f>
        <v/>
      </c>
    </row>
    <row r="277" ht="18" customHeight="1">
      <c r="A277" s="61">
        <f>IF(Firmalar!$B$19="","",Firmalar!$B$19)</f>
        <v/>
      </c>
      <c r="B277" s="61">
        <f>IF(Firmalar!$B$19="","",Firmalar!$I$19)</f>
        <v/>
      </c>
      <c r="C277" s="61" t="inlineStr">
        <is>
          <t>Emisyon teyidi</t>
        </is>
      </c>
      <c r="D277" s="62">
        <f>IF(Firmalar!$B$19="","",Firmalar!$FU$19)</f>
        <v/>
      </c>
      <c r="E277" s="63">
        <f>IF(OR(A277="",D277=""),"",D277-TODAY())</f>
        <v/>
      </c>
      <c r="F277" s="64">
        <f>IF(OR(A277="",D277=""),"",IF(D277&lt;TODAY(),"Süresi geçti",IF(D277&lt;=TODAY()+30,"30 gün içinde",IF(D277&lt;=TODAY()+90,"90 gün içinde","İleride"))))</f>
        <v/>
      </c>
      <c r="G277" s="64">
        <f>IF(A277="","",Firmalar!$H$19)</f>
        <v/>
      </c>
    </row>
    <row r="278" ht="18" customHeight="1">
      <c r="A278" s="61">
        <f>IF(Firmalar!$B$19="","",Firmalar!$B$19)</f>
        <v/>
      </c>
      <c r="B278" s="61">
        <f>IF(Firmalar!$B$19="","",Firmalar!$I$19)</f>
        <v/>
      </c>
      <c r="C278" s="61" t="inlineStr">
        <is>
          <t>Emisyon ölçümü</t>
        </is>
      </c>
      <c r="D278" s="62">
        <f>IF(Firmalar!$B$19="","",Firmalar!$FV$19)</f>
        <v/>
      </c>
      <c r="E278" s="63">
        <f>IF(OR(A278="",D278=""),"",D278-TODAY())</f>
        <v/>
      </c>
      <c r="F278" s="64">
        <f>IF(OR(A278="",D278=""),"",IF(D278&lt;TODAY(),"Süresi geçti",IF(D278&lt;=TODAY()+30,"30 gün içinde",IF(D278&lt;=TODAY()+90,"90 gün içinde","İleride"))))</f>
        <v/>
      </c>
      <c r="G278" s="64">
        <f>IF(A278="","",Firmalar!$H$19)</f>
        <v/>
      </c>
    </row>
    <row r="279" ht="18" customHeight="1">
      <c r="A279" s="61">
        <f>IF(Firmalar!$B$19="","",Firmalar!$B$19)</f>
        <v/>
      </c>
      <c r="B279" s="61">
        <f>IF(Firmalar!$B$19="","",Firmalar!$I$19)</f>
        <v/>
      </c>
      <c r="C279" s="61" t="inlineStr">
        <is>
          <t>İç tetkik</t>
        </is>
      </c>
      <c r="D279" s="62">
        <f>IF(Firmalar!$B$19="","",Firmalar!$FW$19)</f>
        <v/>
      </c>
      <c r="E279" s="63">
        <f>IF(OR(A279="",D279=""),"",D279-TODAY())</f>
        <v/>
      </c>
      <c r="F279" s="64">
        <f>IF(OR(A279="",D279=""),"",IF(D279&lt;TODAY(),"Süresi geçti",IF(D279&lt;=TODAY()+30,"30 gün içinde",IF(D279&lt;=TODAY()+90,"90 gün içinde","İleride"))))</f>
        <v/>
      </c>
      <c r="G279" s="64">
        <f>IF(A279="","",Firmalar!$H$19)</f>
        <v/>
      </c>
    </row>
    <row r="280" ht="18" customHeight="1">
      <c r="A280" s="61">
        <f>IF(Firmalar!$B$19="","",Firmalar!$B$19)</f>
        <v/>
      </c>
      <c r="B280" s="61">
        <f>IF(Firmalar!$B$19="","",Firmalar!$I$19)</f>
        <v/>
      </c>
      <c r="C280" s="61" t="inlineStr">
        <is>
          <t>İç tetkik planı</t>
        </is>
      </c>
      <c r="D280" s="62">
        <f>IF(Firmalar!$B$19="","",Firmalar!$FX$19)</f>
        <v/>
      </c>
      <c r="E280" s="63">
        <f>IF(OR(A280="",D280=""),"",D280-TODAY())</f>
        <v/>
      </c>
      <c r="F280" s="64">
        <f>IF(OR(A280="",D280=""),"",IF(D280&lt;TODAY(),"Süresi geçti",IF(D280&lt;=TODAY()+30,"30 gün içinde",IF(D280&lt;=TODAY()+90,"90 gün içinde","İleride"))))</f>
        <v/>
      </c>
      <c r="G280" s="64">
        <f>IF(A280="","",Firmalar!$H$19)</f>
        <v/>
      </c>
    </row>
    <row r="281" ht="18" customHeight="1">
      <c r="A281" s="61">
        <f>IF(Firmalar!$B$19="","",Firmalar!$B$19)</f>
        <v/>
      </c>
      <c r="B281" s="61">
        <f>IF(Firmalar!$B$19="","",Firmalar!$I$19)</f>
        <v/>
      </c>
      <c r="C281" s="61" t="inlineStr">
        <is>
          <t>Çevre eğitimi</t>
        </is>
      </c>
      <c r="D281" s="62">
        <f>IF(Firmalar!$B$19="","",Firmalar!$FY$19)</f>
        <v/>
      </c>
      <c r="E281" s="63">
        <f>IF(OR(A281="",D281=""),"",D281-TODAY())</f>
        <v/>
      </c>
      <c r="F281" s="64">
        <f>IF(OR(A281="",D281=""),"",IF(D281&lt;TODAY(),"Süresi geçti",IF(D281&lt;=TODAY()+30,"30 gün içinde",IF(D281&lt;=TODAY()+90,"90 gün içinde","İleride"))))</f>
        <v/>
      </c>
      <c r="G281" s="64">
        <f>IF(A281="","",Firmalar!$H$19)</f>
        <v/>
      </c>
    </row>
    <row r="282" ht="18" customHeight="1">
      <c r="A282" s="61">
        <f>IF(Firmalar!$B$19="","",Firmalar!$B$19)</f>
        <v/>
      </c>
      <c r="B282" s="61">
        <f>IF(Firmalar!$B$19="","",Firmalar!$I$19)</f>
        <v/>
      </c>
      <c r="C282" s="61" t="inlineStr">
        <is>
          <t>Eğitim planı</t>
        </is>
      </c>
      <c r="D282" s="62">
        <f>IF(Firmalar!$B$19="","",Firmalar!$FZ$19)</f>
        <v/>
      </c>
      <c r="E282" s="63">
        <f>IF(OR(A282="",D282=""),"",D282-TODAY())</f>
        <v/>
      </c>
      <c r="F282" s="64">
        <f>IF(OR(A282="",D282=""),"",IF(D282&lt;TODAY(),"Süresi geçti",IF(D282&lt;=TODAY()+30,"30 gün içinde",IF(D282&lt;=TODAY()+90,"90 gün içinde","İleride"))))</f>
        <v/>
      </c>
      <c r="G282" s="64">
        <f>IF(A282="","",Firmalar!$H$19)</f>
        <v/>
      </c>
    </row>
    <row r="283" ht="18" customHeight="1">
      <c r="A283" s="61">
        <f>IF(Firmalar!$B$19="","",Firmalar!$B$19)</f>
        <v/>
      </c>
      <c r="B283" s="61">
        <f>IF(Firmalar!$B$19="","",Firmalar!$I$19)</f>
        <v/>
      </c>
      <c r="C283" s="61" t="inlineStr">
        <is>
          <t>Kanal belgesi bitiş</t>
        </is>
      </c>
      <c r="D283" s="62">
        <f>IF(Firmalar!$B$19="","",Firmalar!$GA$19)</f>
        <v/>
      </c>
      <c r="E283" s="63">
        <f>IF(OR(A283="",D283=""),"",D283-TODAY())</f>
        <v/>
      </c>
      <c r="F283" s="64">
        <f>IF(OR(A283="",D283=""),"",IF(D283&lt;TODAY(),"Süresi geçti",IF(D283&lt;=TODAY()+30,"30 gün içinde",IF(D283&lt;=TODAY()+90,"90 gün içinde","İleride"))))</f>
        <v/>
      </c>
      <c r="G283" s="64">
        <f>IF(A283="","",Firmalar!$H$19)</f>
        <v/>
      </c>
    </row>
    <row r="284" ht="18" customHeight="1">
      <c r="A284" s="61">
        <f>IF(Firmalar!$B$19="","",Firmalar!$B$19)</f>
        <v/>
      </c>
      <c r="B284" s="61">
        <f>IF(Firmalar!$B$19="","",Firmalar!$I$19)</f>
        <v/>
      </c>
      <c r="C284" s="61" t="inlineStr">
        <is>
          <t>Deşarj izni bitiş</t>
        </is>
      </c>
      <c r="D284" s="62">
        <f>IF(Firmalar!$B$19="","",Firmalar!$GB$19)</f>
        <v/>
      </c>
      <c r="E284" s="63">
        <f>IF(OR(A284="",D284=""),"",D284-TODAY())</f>
        <v/>
      </c>
      <c r="F284" s="64">
        <f>IF(OR(A284="",D284=""),"",IF(D284&lt;TODAY(),"Süresi geçti",IF(D284&lt;=TODAY()+30,"30 gün içinde",IF(D284&lt;=TODAY()+90,"90 gün içinde","İleride"))))</f>
        <v/>
      </c>
      <c r="G284" s="64">
        <f>IF(A284="","",Firmalar!$H$19)</f>
        <v/>
      </c>
    </row>
    <row r="285" ht="18" customHeight="1">
      <c r="A285" s="61">
        <f>IF(Firmalar!$B$19="","",Firmalar!$B$19)</f>
        <v/>
      </c>
      <c r="B285" s="61">
        <f>IF(Firmalar!$B$19="","",Firmalar!$I$19)</f>
        <v/>
      </c>
      <c r="C285" s="61" t="inlineStr">
        <is>
          <t>Atıksu analizi</t>
        </is>
      </c>
      <c r="D285" s="62">
        <f>IF(Firmalar!$B$19="","",Firmalar!$GC$19)</f>
        <v/>
      </c>
      <c r="E285" s="63">
        <f>IF(OR(A285="",D285=""),"",D285-TODAY())</f>
        <v/>
      </c>
      <c r="F285" s="64">
        <f>IF(OR(A285="",D285=""),"",IF(D285&lt;TODAY(),"Süresi geçti",IF(D285&lt;=TODAY()+30,"30 gün içinde",IF(D285&lt;=TODAY()+90,"90 gün içinde","İleride"))))</f>
        <v/>
      </c>
      <c r="G285" s="64">
        <f>IF(A285="","",Firmalar!$H$19)</f>
        <v/>
      </c>
    </row>
    <row r="286" ht="18" customHeight="1">
      <c r="A286" s="61">
        <f>IF(Firmalar!$B$19="","",Firmalar!$B$19)</f>
        <v/>
      </c>
      <c r="B286" s="61">
        <f>IF(Firmalar!$B$19="","",Firmalar!$I$19)</f>
        <v/>
      </c>
      <c r="C286" s="61" t="inlineStr">
        <is>
          <t>Saha ziyareti</t>
        </is>
      </c>
      <c r="D286" s="62">
        <f>IF(Firmalar!$B$19="","",Firmalar!$GD$19)</f>
        <v/>
      </c>
      <c r="E286" s="63">
        <f>IF(OR(A286="",D286=""),"",D286-TODAY())</f>
        <v/>
      </c>
      <c r="F286" s="64">
        <f>IF(OR(A286="",D286=""),"",IF(D286&lt;TODAY(),"Süresi geçti",IF(D286&lt;=TODAY()+30,"30 gün içinde",IF(D286&lt;=TODAY()+90,"90 gün içinde","İleride"))))</f>
        <v/>
      </c>
      <c r="G286" s="64">
        <f>IF(A286="","",Firmalar!$H$19)</f>
        <v/>
      </c>
    </row>
    <row r="287" ht="18" customHeight="1">
      <c r="A287" s="61">
        <f>IF(Firmalar!$B$19="","",Firmalar!$B$19)</f>
        <v/>
      </c>
      <c r="B287" s="61">
        <f>IF(Firmalar!$B$19="","",Firmalar!$I$19)</f>
        <v/>
      </c>
      <c r="C287" s="61" t="inlineStr">
        <is>
          <t>Resmî yazı cevabı</t>
        </is>
      </c>
      <c r="D287" s="62">
        <f>IF(Firmalar!$B$19="","",Firmalar!$GE$19)</f>
        <v/>
      </c>
      <c r="E287" s="63">
        <f>IF(OR(A287="",D287=""),"",D287-TODAY())</f>
        <v/>
      </c>
      <c r="F287" s="64">
        <f>IF(OR(A287="",D287=""),"",IF(D287&lt;TODAY(),"Süresi geçti",IF(D287&lt;=TODAY()+30,"30 gün içinde",IF(D287&lt;=TODAY()+90,"90 gün içinde","İleride"))))</f>
        <v/>
      </c>
      <c r="G287" s="64">
        <f>IF(A287="","",Firmalar!$H$19)</f>
        <v/>
      </c>
    </row>
    <row r="288" ht="18" customHeight="1">
      <c r="A288" s="61">
        <f>IF(Firmalar!$B$19="","",Firmalar!$B$19)</f>
        <v/>
      </c>
      <c r="B288" s="61">
        <f>IF(Firmalar!$B$19="","",Firmalar!$I$19)</f>
        <v/>
      </c>
      <c r="C288" s="61" t="inlineStr">
        <is>
          <t>Uygunsuzluk kapanışı</t>
        </is>
      </c>
      <c r="D288" s="62">
        <f>IF(Firmalar!$B$19="","",Firmalar!$GF$19)</f>
        <v/>
      </c>
      <c r="E288" s="63">
        <f>IF(OR(A288="",D288=""),"",D288-TODAY())</f>
        <v/>
      </c>
      <c r="F288" s="64">
        <f>IF(OR(A288="",D288=""),"",IF(D288&lt;TODAY(),"Süresi geçti",IF(D288&lt;=TODAY()+30,"30 gün içinde",IF(D288&lt;=TODAY()+90,"90 gün içinde","İleride"))))</f>
        <v/>
      </c>
      <c r="G288" s="64">
        <f>IF(A288="","",Firmalar!$H$19)</f>
        <v/>
      </c>
    </row>
    <row r="289" ht="18" customHeight="1">
      <c r="A289" s="61">
        <f>IF(Firmalar!$B$19="","",Firmalar!$B$19)</f>
        <v/>
      </c>
      <c r="B289" s="61">
        <f>IF(Firmalar!$B$19="","",Firmalar!$I$19)</f>
        <v/>
      </c>
      <c r="C289" s="61" t="inlineStr">
        <is>
          <t>Öncelikli işlem</t>
        </is>
      </c>
      <c r="D289" s="62">
        <f>IF(Firmalar!$B$19="","",Firmalar!$GG$19)</f>
        <v/>
      </c>
      <c r="E289" s="63">
        <f>IF(OR(A289="",D289=""),"",D289-TODAY())</f>
        <v/>
      </c>
      <c r="F289" s="64">
        <f>IF(OR(A289="",D289=""),"",IF(D289&lt;TODAY(),"Süresi geçti",IF(D289&lt;=TODAY()+30,"30 gün içinde",IF(D289&lt;=TODAY()+90,"90 gün içinde","İleride"))))</f>
        <v/>
      </c>
      <c r="G289" s="64">
        <f>IF(A289="","",Firmalar!$H$19)</f>
        <v/>
      </c>
    </row>
    <row r="290" ht="18" customHeight="1">
      <c r="A290" s="61">
        <f>IF(Firmalar!$B$20="","",Firmalar!$B$20)</f>
        <v/>
      </c>
      <c r="B290" s="61">
        <f>IF(Firmalar!$B$20="","",Firmalar!$I$20)</f>
        <v/>
      </c>
      <c r="C290" s="61" t="inlineStr">
        <is>
          <t>Çevre izni bitiş</t>
        </is>
      </c>
      <c r="D290" s="62">
        <f>IF(Firmalar!$B$20="","",Firmalar!$FO$20)</f>
        <v/>
      </c>
      <c r="E290" s="63">
        <f>IF(OR(A290="",D290=""),"",D290-TODAY())</f>
        <v/>
      </c>
      <c r="F290" s="64">
        <f>IF(OR(A290="",D290=""),"",IF(D290&lt;TODAY(),"Süresi geçti",IF(D290&lt;=TODAY()+30,"30 gün içinde",IF(D290&lt;=TODAY()+90,"90 gün içinde","İleride"))))</f>
        <v/>
      </c>
      <c r="G290" s="64">
        <f>IF(A290="","",Firmalar!$H$20)</f>
        <v/>
      </c>
    </row>
    <row r="291" ht="18" customHeight="1">
      <c r="A291" s="61">
        <f>IF(Firmalar!$B$20="","",Firmalar!$B$20)</f>
        <v/>
      </c>
      <c r="B291" s="61">
        <f>IF(Firmalar!$B$20="","",Firmalar!$I$20)</f>
        <v/>
      </c>
      <c r="C291" s="61" t="inlineStr">
        <is>
          <t>Çevre izni başvurusu</t>
        </is>
      </c>
      <c r="D291" s="62">
        <f>IF(Firmalar!$B$20="","",Firmalar!$FP$20)</f>
        <v/>
      </c>
      <c r="E291" s="63">
        <f>IF(OR(A291="",D291=""),"",D291-TODAY())</f>
        <v/>
      </c>
      <c r="F291" s="64">
        <f>IF(OR(A291="",D291=""),"",IF(D291&lt;TODAY(),"Süresi geçti",IF(D291&lt;=TODAY()+30,"30 gün içinde",IF(D291&lt;=TODAY()+90,"90 gün içinde","İleride"))))</f>
        <v/>
      </c>
      <c r="G291" s="64">
        <f>IF(A291="","",Firmalar!$H$20)</f>
        <v/>
      </c>
    </row>
    <row r="292" ht="18" customHeight="1">
      <c r="A292" s="61">
        <f>IF(Firmalar!$B$20="","",Firmalar!$B$20)</f>
        <v/>
      </c>
      <c r="B292" s="61">
        <f>IF(Firmalar!$B$20="","",Firmalar!$I$20)</f>
        <v/>
      </c>
      <c r="C292" s="61" t="inlineStr">
        <is>
          <t>GFB bitiş</t>
        </is>
      </c>
      <c r="D292" s="62">
        <f>IF(Firmalar!$B$20="","",Firmalar!$FQ$20)</f>
        <v/>
      </c>
      <c r="E292" s="63">
        <f>IF(OR(A292="",D292=""),"",D292-TODAY())</f>
        <v/>
      </c>
      <c r="F292" s="64">
        <f>IF(OR(A292="",D292=""),"",IF(D292&lt;TODAY(),"Süresi geçti",IF(D292&lt;=TODAY()+30,"30 gün içinde",IF(D292&lt;=TODAY()+90,"90 gün içinde","İleride"))))</f>
        <v/>
      </c>
      <c r="G292" s="64">
        <f>IF(A292="","",Firmalar!$H$20)</f>
        <v/>
      </c>
    </row>
    <row r="293" ht="18" customHeight="1">
      <c r="A293" s="61">
        <f>IF(Firmalar!$B$20="","",Firmalar!$B$20)</f>
        <v/>
      </c>
      <c r="B293" s="61">
        <f>IF(Firmalar!$B$20="","",Firmalar!$I$20)</f>
        <v/>
      </c>
      <c r="C293" s="61" t="inlineStr">
        <is>
          <t>Sözleşme bitiş</t>
        </is>
      </c>
      <c r="D293" s="62">
        <f>IF(Firmalar!$B$20="","",Firmalar!$FR$20)</f>
        <v/>
      </c>
      <c r="E293" s="63">
        <f>IF(OR(A293="",D293=""),"",D293-TODAY())</f>
        <v/>
      </c>
      <c r="F293" s="64">
        <f>IF(OR(A293="",D293=""),"",IF(D293&lt;TODAY(),"Süresi geçti",IF(D293&lt;=TODAY()+30,"30 gün içinde",IF(D293&lt;=TODAY()+90,"90 gün içinde","İleride"))))</f>
        <v/>
      </c>
      <c r="G293" s="64">
        <f>IF(A293="","",Firmalar!$H$20)</f>
        <v/>
      </c>
    </row>
    <row r="294" ht="18" customHeight="1">
      <c r="A294" s="61">
        <f>IF(Firmalar!$B$20="","",Firmalar!$B$20)</f>
        <v/>
      </c>
      <c r="B294" s="61">
        <f>IF(Firmalar!$B$20="","",Firmalar!$I$20)</f>
        <v/>
      </c>
      <c r="C294" s="61" t="inlineStr">
        <is>
          <t>Sıfır Atık bitiş</t>
        </is>
      </c>
      <c r="D294" s="62">
        <f>IF(Firmalar!$B$20="","",Firmalar!$FS$20)</f>
        <v/>
      </c>
      <c r="E294" s="63">
        <f>IF(OR(A294="",D294=""),"",D294-TODAY())</f>
        <v/>
      </c>
      <c r="F294" s="64">
        <f>IF(OR(A294="",D294=""),"",IF(D294&lt;TODAY(),"Süresi geçti",IF(D294&lt;=TODAY()+30,"30 gün içinde",IF(D294&lt;=TODAY()+90,"90 gün içinde","İleride"))))</f>
        <v/>
      </c>
      <c r="G294" s="64">
        <f>IF(A294="","",Firmalar!$H$20)</f>
        <v/>
      </c>
    </row>
    <row r="295" ht="18" customHeight="1">
      <c r="A295" s="61">
        <f>IF(Firmalar!$B$20="","",Firmalar!$B$20)</f>
        <v/>
      </c>
      <c r="B295" s="61">
        <f>IF(Firmalar!$B$20="","",Firmalar!$I$20)</f>
        <v/>
      </c>
      <c r="C295" s="61" t="inlineStr">
        <is>
          <t>Atık planı bitiş</t>
        </is>
      </c>
      <c r="D295" s="62">
        <f>IF(Firmalar!$B$20="","",Firmalar!$FT$20)</f>
        <v/>
      </c>
      <c r="E295" s="63">
        <f>IF(OR(A295="",D295=""),"",D295-TODAY())</f>
        <v/>
      </c>
      <c r="F295" s="64">
        <f>IF(OR(A295="",D295=""),"",IF(D295&lt;TODAY(),"Süresi geçti",IF(D295&lt;=TODAY()+30,"30 gün içinde",IF(D295&lt;=TODAY()+90,"90 gün içinde","İleride"))))</f>
        <v/>
      </c>
      <c r="G295" s="64">
        <f>IF(A295="","",Firmalar!$H$20)</f>
        <v/>
      </c>
    </row>
    <row r="296" ht="18" customHeight="1">
      <c r="A296" s="61">
        <f>IF(Firmalar!$B$20="","",Firmalar!$B$20)</f>
        <v/>
      </c>
      <c r="B296" s="61">
        <f>IF(Firmalar!$B$20="","",Firmalar!$I$20)</f>
        <v/>
      </c>
      <c r="C296" s="61" t="inlineStr">
        <is>
          <t>Emisyon teyidi</t>
        </is>
      </c>
      <c r="D296" s="62">
        <f>IF(Firmalar!$B$20="","",Firmalar!$FU$20)</f>
        <v/>
      </c>
      <c r="E296" s="63">
        <f>IF(OR(A296="",D296=""),"",D296-TODAY())</f>
        <v/>
      </c>
      <c r="F296" s="64">
        <f>IF(OR(A296="",D296=""),"",IF(D296&lt;TODAY(),"Süresi geçti",IF(D296&lt;=TODAY()+30,"30 gün içinde",IF(D296&lt;=TODAY()+90,"90 gün içinde","İleride"))))</f>
        <v/>
      </c>
      <c r="G296" s="64">
        <f>IF(A296="","",Firmalar!$H$20)</f>
        <v/>
      </c>
    </row>
    <row r="297" ht="18" customHeight="1">
      <c r="A297" s="61">
        <f>IF(Firmalar!$B$20="","",Firmalar!$B$20)</f>
        <v/>
      </c>
      <c r="B297" s="61">
        <f>IF(Firmalar!$B$20="","",Firmalar!$I$20)</f>
        <v/>
      </c>
      <c r="C297" s="61" t="inlineStr">
        <is>
          <t>Emisyon ölçümü</t>
        </is>
      </c>
      <c r="D297" s="62">
        <f>IF(Firmalar!$B$20="","",Firmalar!$FV$20)</f>
        <v/>
      </c>
      <c r="E297" s="63">
        <f>IF(OR(A297="",D297=""),"",D297-TODAY())</f>
        <v/>
      </c>
      <c r="F297" s="64">
        <f>IF(OR(A297="",D297=""),"",IF(D297&lt;TODAY(),"Süresi geçti",IF(D297&lt;=TODAY()+30,"30 gün içinde",IF(D297&lt;=TODAY()+90,"90 gün içinde","İleride"))))</f>
        <v/>
      </c>
      <c r="G297" s="64">
        <f>IF(A297="","",Firmalar!$H$20)</f>
        <v/>
      </c>
    </row>
    <row r="298" ht="18" customHeight="1">
      <c r="A298" s="61">
        <f>IF(Firmalar!$B$20="","",Firmalar!$B$20)</f>
        <v/>
      </c>
      <c r="B298" s="61">
        <f>IF(Firmalar!$B$20="","",Firmalar!$I$20)</f>
        <v/>
      </c>
      <c r="C298" s="61" t="inlineStr">
        <is>
          <t>İç tetkik</t>
        </is>
      </c>
      <c r="D298" s="62">
        <f>IF(Firmalar!$B$20="","",Firmalar!$FW$20)</f>
        <v/>
      </c>
      <c r="E298" s="63">
        <f>IF(OR(A298="",D298=""),"",D298-TODAY())</f>
        <v/>
      </c>
      <c r="F298" s="64">
        <f>IF(OR(A298="",D298=""),"",IF(D298&lt;TODAY(),"Süresi geçti",IF(D298&lt;=TODAY()+30,"30 gün içinde",IF(D298&lt;=TODAY()+90,"90 gün içinde","İleride"))))</f>
        <v/>
      </c>
      <c r="G298" s="64">
        <f>IF(A298="","",Firmalar!$H$20)</f>
        <v/>
      </c>
    </row>
    <row r="299" ht="18" customHeight="1">
      <c r="A299" s="61">
        <f>IF(Firmalar!$B$20="","",Firmalar!$B$20)</f>
        <v/>
      </c>
      <c r="B299" s="61">
        <f>IF(Firmalar!$B$20="","",Firmalar!$I$20)</f>
        <v/>
      </c>
      <c r="C299" s="61" t="inlineStr">
        <is>
          <t>İç tetkik planı</t>
        </is>
      </c>
      <c r="D299" s="62">
        <f>IF(Firmalar!$B$20="","",Firmalar!$FX$20)</f>
        <v/>
      </c>
      <c r="E299" s="63">
        <f>IF(OR(A299="",D299=""),"",D299-TODAY())</f>
        <v/>
      </c>
      <c r="F299" s="64">
        <f>IF(OR(A299="",D299=""),"",IF(D299&lt;TODAY(),"Süresi geçti",IF(D299&lt;=TODAY()+30,"30 gün içinde",IF(D299&lt;=TODAY()+90,"90 gün içinde","İleride"))))</f>
        <v/>
      </c>
      <c r="G299" s="64">
        <f>IF(A299="","",Firmalar!$H$20)</f>
        <v/>
      </c>
    </row>
    <row r="300" ht="18" customHeight="1">
      <c r="A300" s="61">
        <f>IF(Firmalar!$B$20="","",Firmalar!$B$20)</f>
        <v/>
      </c>
      <c r="B300" s="61">
        <f>IF(Firmalar!$B$20="","",Firmalar!$I$20)</f>
        <v/>
      </c>
      <c r="C300" s="61" t="inlineStr">
        <is>
          <t>Çevre eğitimi</t>
        </is>
      </c>
      <c r="D300" s="62">
        <f>IF(Firmalar!$B$20="","",Firmalar!$FY$20)</f>
        <v/>
      </c>
      <c r="E300" s="63">
        <f>IF(OR(A300="",D300=""),"",D300-TODAY())</f>
        <v/>
      </c>
      <c r="F300" s="64">
        <f>IF(OR(A300="",D300=""),"",IF(D300&lt;TODAY(),"Süresi geçti",IF(D300&lt;=TODAY()+30,"30 gün içinde",IF(D300&lt;=TODAY()+90,"90 gün içinde","İleride"))))</f>
        <v/>
      </c>
      <c r="G300" s="64">
        <f>IF(A300="","",Firmalar!$H$20)</f>
        <v/>
      </c>
    </row>
    <row r="301" ht="18" customHeight="1">
      <c r="A301" s="61">
        <f>IF(Firmalar!$B$20="","",Firmalar!$B$20)</f>
        <v/>
      </c>
      <c r="B301" s="61">
        <f>IF(Firmalar!$B$20="","",Firmalar!$I$20)</f>
        <v/>
      </c>
      <c r="C301" s="61" t="inlineStr">
        <is>
          <t>Eğitim planı</t>
        </is>
      </c>
      <c r="D301" s="62">
        <f>IF(Firmalar!$B$20="","",Firmalar!$FZ$20)</f>
        <v/>
      </c>
      <c r="E301" s="63">
        <f>IF(OR(A301="",D301=""),"",D301-TODAY())</f>
        <v/>
      </c>
      <c r="F301" s="64">
        <f>IF(OR(A301="",D301=""),"",IF(D301&lt;TODAY(),"Süresi geçti",IF(D301&lt;=TODAY()+30,"30 gün içinde",IF(D301&lt;=TODAY()+90,"90 gün içinde","İleride"))))</f>
        <v/>
      </c>
      <c r="G301" s="64">
        <f>IF(A301="","",Firmalar!$H$20)</f>
        <v/>
      </c>
    </row>
    <row r="302" ht="18" customHeight="1">
      <c r="A302" s="61">
        <f>IF(Firmalar!$B$20="","",Firmalar!$B$20)</f>
        <v/>
      </c>
      <c r="B302" s="61">
        <f>IF(Firmalar!$B$20="","",Firmalar!$I$20)</f>
        <v/>
      </c>
      <c r="C302" s="61" t="inlineStr">
        <is>
          <t>Kanal belgesi bitiş</t>
        </is>
      </c>
      <c r="D302" s="62">
        <f>IF(Firmalar!$B$20="","",Firmalar!$GA$20)</f>
        <v/>
      </c>
      <c r="E302" s="63">
        <f>IF(OR(A302="",D302=""),"",D302-TODAY())</f>
        <v/>
      </c>
      <c r="F302" s="64">
        <f>IF(OR(A302="",D302=""),"",IF(D302&lt;TODAY(),"Süresi geçti",IF(D302&lt;=TODAY()+30,"30 gün içinde",IF(D302&lt;=TODAY()+90,"90 gün içinde","İleride"))))</f>
        <v/>
      </c>
      <c r="G302" s="64">
        <f>IF(A302="","",Firmalar!$H$20)</f>
        <v/>
      </c>
    </row>
    <row r="303" ht="18" customHeight="1">
      <c r="A303" s="61">
        <f>IF(Firmalar!$B$20="","",Firmalar!$B$20)</f>
        <v/>
      </c>
      <c r="B303" s="61">
        <f>IF(Firmalar!$B$20="","",Firmalar!$I$20)</f>
        <v/>
      </c>
      <c r="C303" s="61" t="inlineStr">
        <is>
          <t>Deşarj izni bitiş</t>
        </is>
      </c>
      <c r="D303" s="62">
        <f>IF(Firmalar!$B$20="","",Firmalar!$GB$20)</f>
        <v/>
      </c>
      <c r="E303" s="63">
        <f>IF(OR(A303="",D303=""),"",D303-TODAY())</f>
        <v/>
      </c>
      <c r="F303" s="64">
        <f>IF(OR(A303="",D303=""),"",IF(D303&lt;TODAY(),"Süresi geçti",IF(D303&lt;=TODAY()+30,"30 gün içinde",IF(D303&lt;=TODAY()+90,"90 gün içinde","İleride"))))</f>
        <v/>
      </c>
      <c r="G303" s="64">
        <f>IF(A303="","",Firmalar!$H$20)</f>
        <v/>
      </c>
    </row>
    <row r="304" ht="18" customHeight="1">
      <c r="A304" s="61">
        <f>IF(Firmalar!$B$20="","",Firmalar!$B$20)</f>
        <v/>
      </c>
      <c r="B304" s="61">
        <f>IF(Firmalar!$B$20="","",Firmalar!$I$20)</f>
        <v/>
      </c>
      <c r="C304" s="61" t="inlineStr">
        <is>
          <t>Atıksu analizi</t>
        </is>
      </c>
      <c r="D304" s="62">
        <f>IF(Firmalar!$B$20="","",Firmalar!$GC$20)</f>
        <v/>
      </c>
      <c r="E304" s="63">
        <f>IF(OR(A304="",D304=""),"",D304-TODAY())</f>
        <v/>
      </c>
      <c r="F304" s="64">
        <f>IF(OR(A304="",D304=""),"",IF(D304&lt;TODAY(),"Süresi geçti",IF(D304&lt;=TODAY()+30,"30 gün içinde",IF(D304&lt;=TODAY()+90,"90 gün içinde","İleride"))))</f>
        <v/>
      </c>
      <c r="G304" s="64">
        <f>IF(A304="","",Firmalar!$H$20)</f>
        <v/>
      </c>
    </row>
    <row r="305" ht="18" customHeight="1">
      <c r="A305" s="61">
        <f>IF(Firmalar!$B$20="","",Firmalar!$B$20)</f>
        <v/>
      </c>
      <c r="B305" s="61">
        <f>IF(Firmalar!$B$20="","",Firmalar!$I$20)</f>
        <v/>
      </c>
      <c r="C305" s="61" t="inlineStr">
        <is>
          <t>Saha ziyareti</t>
        </is>
      </c>
      <c r="D305" s="62">
        <f>IF(Firmalar!$B$20="","",Firmalar!$GD$20)</f>
        <v/>
      </c>
      <c r="E305" s="63">
        <f>IF(OR(A305="",D305=""),"",D305-TODAY())</f>
        <v/>
      </c>
      <c r="F305" s="64">
        <f>IF(OR(A305="",D305=""),"",IF(D305&lt;TODAY(),"Süresi geçti",IF(D305&lt;=TODAY()+30,"30 gün içinde",IF(D305&lt;=TODAY()+90,"90 gün içinde","İleride"))))</f>
        <v/>
      </c>
      <c r="G305" s="64">
        <f>IF(A305="","",Firmalar!$H$20)</f>
        <v/>
      </c>
    </row>
    <row r="306" ht="18" customHeight="1">
      <c r="A306" s="61">
        <f>IF(Firmalar!$B$20="","",Firmalar!$B$20)</f>
        <v/>
      </c>
      <c r="B306" s="61">
        <f>IF(Firmalar!$B$20="","",Firmalar!$I$20)</f>
        <v/>
      </c>
      <c r="C306" s="61" t="inlineStr">
        <is>
          <t>Resmî yazı cevabı</t>
        </is>
      </c>
      <c r="D306" s="62">
        <f>IF(Firmalar!$B$20="","",Firmalar!$GE$20)</f>
        <v/>
      </c>
      <c r="E306" s="63">
        <f>IF(OR(A306="",D306=""),"",D306-TODAY())</f>
        <v/>
      </c>
      <c r="F306" s="64">
        <f>IF(OR(A306="",D306=""),"",IF(D306&lt;TODAY(),"Süresi geçti",IF(D306&lt;=TODAY()+30,"30 gün içinde",IF(D306&lt;=TODAY()+90,"90 gün içinde","İleride"))))</f>
        <v/>
      </c>
      <c r="G306" s="64">
        <f>IF(A306="","",Firmalar!$H$20)</f>
        <v/>
      </c>
    </row>
    <row r="307" ht="18" customHeight="1">
      <c r="A307" s="61">
        <f>IF(Firmalar!$B$20="","",Firmalar!$B$20)</f>
        <v/>
      </c>
      <c r="B307" s="61">
        <f>IF(Firmalar!$B$20="","",Firmalar!$I$20)</f>
        <v/>
      </c>
      <c r="C307" s="61" t="inlineStr">
        <is>
          <t>Uygunsuzluk kapanışı</t>
        </is>
      </c>
      <c r="D307" s="62">
        <f>IF(Firmalar!$B$20="","",Firmalar!$GF$20)</f>
        <v/>
      </c>
      <c r="E307" s="63">
        <f>IF(OR(A307="",D307=""),"",D307-TODAY())</f>
        <v/>
      </c>
      <c r="F307" s="64">
        <f>IF(OR(A307="",D307=""),"",IF(D307&lt;TODAY(),"Süresi geçti",IF(D307&lt;=TODAY()+30,"30 gün içinde",IF(D307&lt;=TODAY()+90,"90 gün içinde","İleride"))))</f>
        <v/>
      </c>
      <c r="G307" s="64">
        <f>IF(A307="","",Firmalar!$H$20)</f>
        <v/>
      </c>
    </row>
    <row r="308" ht="18" customHeight="1">
      <c r="A308" s="61">
        <f>IF(Firmalar!$B$20="","",Firmalar!$B$20)</f>
        <v/>
      </c>
      <c r="B308" s="61">
        <f>IF(Firmalar!$B$20="","",Firmalar!$I$20)</f>
        <v/>
      </c>
      <c r="C308" s="61" t="inlineStr">
        <is>
          <t>Öncelikli işlem</t>
        </is>
      </c>
      <c r="D308" s="62">
        <f>IF(Firmalar!$B$20="","",Firmalar!$GG$20)</f>
        <v/>
      </c>
      <c r="E308" s="63">
        <f>IF(OR(A308="",D308=""),"",D308-TODAY())</f>
        <v/>
      </c>
      <c r="F308" s="64">
        <f>IF(OR(A308="",D308=""),"",IF(D308&lt;TODAY(),"Süresi geçti",IF(D308&lt;=TODAY()+30,"30 gün içinde",IF(D308&lt;=TODAY()+90,"90 gün içinde","İleride"))))</f>
        <v/>
      </c>
      <c r="G308" s="64">
        <f>IF(A308="","",Firmalar!$H$20)</f>
        <v/>
      </c>
    </row>
    <row r="309" ht="18" customHeight="1">
      <c r="A309" s="61">
        <f>IF(Firmalar!$B$21="","",Firmalar!$B$21)</f>
        <v/>
      </c>
      <c r="B309" s="61">
        <f>IF(Firmalar!$B$21="","",Firmalar!$I$21)</f>
        <v/>
      </c>
      <c r="C309" s="61" t="inlineStr">
        <is>
          <t>Çevre izni bitiş</t>
        </is>
      </c>
      <c r="D309" s="62">
        <f>IF(Firmalar!$B$21="","",Firmalar!$FO$21)</f>
        <v/>
      </c>
      <c r="E309" s="63">
        <f>IF(OR(A309="",D309=""),"",D309-TODAY())</f>
        <v/>
      </c>
      <c r="F309" s="64">
        <f>IF(OR(A309="",D309=""),"",IF(D309&lt;TODAY(),"Süresi geçti",IF(D309&lt;=TODAY()+30,"30 gün içinde",IF(D309&lt;=TODAY()+90,"90 gün içinde","İleride"))))</f>
        <v/>
      </c>
      <c r="G309" s="64">
        <f>IF(A309="","",Firmalar!$H$21)</f>
        <v/>
      </c>
    </row>
    <row r="310" ht="18" customHeight="1">
      <c r="A310" s="61">
        <f>IF(Firmalar!$B$21="","",Firmalar!$B$21)</f>
        <v/>
      </c>
      <c r="B310" s="61">
        <f>IF(Firmalar!$B$21="","",Firmalar!$I$21)</f>
        <v/>
      </c>
      <c r="C310" s="61" t="inlineStr">
        <is>
          <t>Çevre izni başvurusu</t>
        </is>
      </c>
      <c r="D310" s="62">
        <f>IF(Firmalar!$B$21="","",Firmalar!$FP$21)</f>
        <v/>
      </c>
      <c r="E310" s="63">
        <f>IF(OR(A310="",D310=""),"",D310-TODAY())</f>
        <v/>
      </c>
      <c r="F310" s="64">
        <f>IF(OR(A310="",D310=""),"",IF(D310&lt;TODAY(),"Süresi geçti",IF(D310&lt;=TODAY()+30,"30 gün içinde",IF(D310&lt;=TODAY()+90,"90 gün içinde","İleride"))))</f>
        <v/>
      </c>
      <c r="G310" s="64">
        <f>IF(A310="","",Firmalar!$H$21)</f>
        <v/>
      </c>
    </row>
    <row r="311" ht="18" customHeight="1">
      <c r="A311" s="61">
        <f>IF(Firmalar!$B$21="","",Firmalar!$B$21)</f>
        <v/>
      </c>
      <c r="B311" s="61">
        <f>IF(Firmalar!$B$21="","",Firmalar!$I$21)</f>
        <v/>
      </c>
      <c r="C311" s="61" t="inlineStr">
        <is>
          <t>GFB bitiş</t>
        </is>
      </c>
      <c r="D311" s="62">
        <f>IF(Firmalar!$B$21="","",Firmalar!$FQ$21)</f>
        <v/>
      </c>
      <c r="E311" s="63">
        <f>IF(OR(A311="",D311=""),"",D311-TODAY())</f>
        <v/>
      </c>
      <c r="F311" s="64">
        <f>IF(OR(A311="",D311=""),"",IF(D311&lt;TODAY(),"Süresi geçti",IF(D311&lt;=TODAY()+30,"30 gün içinde",IF(D311&lt;=TODAY()+90,"90 gün içinde","İleride"))))</f>
        <v/>
      </c>
      <c r="G311" s="64">
        <f>IF(A311="","",Firmalar!$H$21)</f>
        <v/>
      </c>
    </row>
    <row r="312" ht="18" customHeight="1">
      <c r="A312" s="61">
        <f>IF(Firmalar!$B$21="","",Firmalar!$B$21)</f>
        <v/>
      </c>
      <c r="B312" s="61">
        <f>IF(Firmalar!$B$21="","",Firmalar!$I$21)</f>
        <v/>
      </c>
      <c r="C312" s="61" t="inlineStr">
        <is>
          <t>Sözleşme bitiş</t>
        </is>
      </c>
      <c r="D312" s="62">
        <f>IF(Firmalar!$B$21="","",Firmalar!$FR$21)</f>
        <v/>
      </c>
      <c r="E312" s="63">
        <f>IF(OR(A312="",D312=""),"",D312-TODAY())</f>
        <v/>
      </c>
      <c r="F312" s="64">
        <f>IF(OR(A312="",D312=""),"",IF(D312&lt;TODAY(),"Süresi geçti",IF(D312&lt;=TODAY()+30,"30 gün içinde",IF(D312&lt;=TODAY()+90,"90 gün içinde","İleride"))))</f>
        <v/>
      </c>
      <c r="G312" s="64">
        <f>IF(A312="","",Firmalar!$H$21)</f>
        <v/>
      </c>
    </row>
    <row r="313" ht="18" customHeight="1">
      <c r="A313" s="61">
        <f>IF(Firmalar!$B$21="","",Firmalar!$B$21)</f>
        <v/>
      </c>
      <c r="B313" s="61">
        <f>IF(Firmalar!$B$21="","",Firmalar!$I$21)</f>
        <v/>
      </c>
      <c r="C313" s="61" t="inlineStr">
        <is>
          <t>Sıfır Atık bitiş</t>
        </is>
      </c>
      <c r="D313" s="62">
        <f>IF(Firmalar!$B$21="","",Firmalar!$FS$21)</f>
        <v/>
      </c>
      <c r="E313" s="63">
        <f>IF(OR(A313="",D313=""),"",D313-TODAY())</f>
        <v/>
      </c>
      <c r="F313" s="64">
        <f>IF(OR(A313="",D313=""),"",IF(D313&lt;TODAY(),"Süresi geçti",IF(D313&lt;=TODAY()+30,"30 gün içinde",IF(D313&lt;=TODAY()+90,"90 gün içinde","İleride"))))</f>
        <v/>
      </c>
      <c r="G313" s="64">
        <f>IF(A313="","",Firmalar!$H$21)</f>
        <v/>
      </c>
    </row>
    <row r="314" ht="18" customHeight="1">
      <c r="A314" s="61">
        <f>IF(Firmalar!$B$21="","",Firmalar!$B$21)</f>
        <v/>
      </c>
      <c r="B314" s="61">
        <f>IF(Firmalar!$B$21="","",Firmalar!$I$21)</f>
        <v/>
      </c>
      <c r="C314" s="61" t="inlineStr">
        <is>
          <t>Atık planı bitiş</t>
        </is>
      </c>
      <c r="D314" s="62">
        <f>IF(Firmalar!$B$21="","",Firmalar!$FT$21)</f>
        <v/>
      </c>
      <c r="E314" s="63">
        <f>IF(OR(A314="",D314=""),"",D314-TODAY())</f>
        <v/>
      </c>
      <c r="F314" s="64">
        <f>IF(OR(A314="",D314=""),"",IF(D314&lt;TODAY(),"Süresi geçti",IF(D314&lt;=TODAY()+30,"30 gün içinde",IF(D314&lt;=TODAY()+90,"90 gün içinde","İleride"))))</f>
        <v/>
      </c>
      <c r="G314" s="64">
        <f>IF(A314="","",Firmalar!$H$21)</f>
        <v/>
      </c>
    </row>
    <row r="315" ht="18" customHeight="1">
      <c r="A315" s="61">
        <f>IF(Firmalar!$B$21="","",Firmalar!$B$21)</f>
        <v/>
      </c>
      <c r="B315" s="61">
        <f>IF(Firmalar!$B$21="","",Firmalar!$I$21)</f>
        <v/>
      </c>
      <c r="C315" s="61" t="inlineStr">
        <is>
          <t>Emisyon teyidi</t>
        </is>
      </c>
      <c r="D315" s="62">
        <f>IF(Firmalar!$B$21="","",Firmalar!$FU$21)</f>
        <v/>
      </c>
      <c r="E315" s="63">
        <f>IF(OR(A315="",D315=""),"",D315-TODAY())</f>
        <v/>
      </c>
      <c r="F315" s="64">
        <f>IF(OR(A315="",D315=""),"",IF(D315&lt;TODAY(),"Süresi geçti",IF(D315&lt;=TODAY()+30,"30 gün içinde",IF(D315&lt;=TODAY()+90,"90 gün içinde","İleride"))))</f>
        <v/>
      </c>
      <c r="G315" s="64">
        <f>IF(A315="","",Firmalar!$H$21)</f>
        <v/>
      </c>
    </row>
    <row r="316" ht="18" customHeight="1">
      <c r="A316" s="61">
        <f>IF(Firmalar!$B$21="","",Firmalar!$B$21)</f>
        <v/>
      </c>
      <c r="B316" s="61">
        <f>IF(Firmalar!$B$21="","",Firmalar!$I$21)</f>
        <v/>
      </c>
      <c r="C316" s="61" t="inlineStr">
        <is>
          <t>Emisyon ölçümü</t>
        </is>
      </c>
      <c r="D316" s="62">
        <f>IF(Firmalar!$B$21="","",Firmalar!$FV$21)</f>
        <v/>
      </c>
      <c r="E316" s="63">
        <f>IF(OR(A316="",D316=""),"",D316-TODAY())</f>
        <v/>
      </c>
      <c r="F316" s="64">
        <f>IF(OR(A316="",D316=""),"",IF(D316&lt;TODAY(),"Süresi geçti",IF(D316&lt;=TODAY()+30,"30 gün içinde",IF(D316&lt;=TODAY()+90,"90 gün içinde","İleride"))))</f>
        <v/>
      </c>
      <c r="G316" s="64">
        <f>IF(A316="","",Firmalar!$H$21)</f>
        <v/>
      </c>
    </row>
    <row r="317" ht="18" customHeight="1">
      <c r="A317" s="61">
        <f>IF(Firmalar!$B$21="","",Firmalar!$B$21)</f>
        <v/>
      </c>
      <c r="B317" s="61">
        <f>IF(Firmalar!$B$21="","",Firmalar!$I$21)</f>
        <v/>
      </c>
      <c r="C317" s="61" t="inlineStr">
        <is>
          <t>İç tetkik</t>
        </is>
      </c>
      <c r="D317" s="62">
        <f>IF(Firmalar!$B$21="","",Firmalar!$FW$21)</f>
        <v/>
      </c>
      <c r="E317" s="63">
        <f>IF(OR(A317="",D317=""),"",D317-TODAY())</f>
        <v/>
      </c>
      <c r="F317" s="64">
        <f>IF(OR(A317="",D317=""),"",IF(D317&lt;TODAY(),"Süresi geçti",IF(D317&lt;=TODAY()+30,"30 gün içinde",IF(D317&lt;=TODAY()+90,"90 gün içinde","İleride"))))</f>
        <v/>
      </c>
      <c r="G317" s="64">
        <f>IF(A317="","",Firmalar!$H$21)</f>
        <v/>
      </c>
    </row>
    <row r="318" ht="18" customHeight="1">
      <c r="A318" s="61">
        <f>IF(Firmalar!$B$21="","",Firmalar!$B$21)</f>
        <v/>
      </c>
      <c r="B318" s="61">
        <f>IF(Firmalar!$B$21="","",Firmalar!$I$21)</f>
        <v/>
      </c>
      <c r="C318" s="61" t="inlineStr">
        <is>
          <t>İç tetkik planı</t>
        </is>
      </c>
      <c r="D318" s="62">
        <f>IF(Firmalar!$B$21="","",Firmalar!$FX$21)</f>
        <v/>
      </c>
      <c r="E318" s="63">
        <f>IF(OR(A318="",D318=""),"",D318-TODAY())</f>
        <v/>
      </c>
      <c r="F318" s="64">
        <f>IF(OR(A318="",D318=""),"",IF(D318&lt;TODAY(),"Süresi geçti",IF(D318&lt;=TODAY()+30,"30 gün içinde",IF(D318&lt;=TODAY()+90,"90 gün içinde","İleride"))))</f>
        <v/>
      </c>
      <c r="G318" s="64">
        <f>IF(A318="","",Firmalar!$H$21)</f>
        <v/>
      </c>
    </row>
    <row r="319" ht="18" customHeight="1">
      <c r="A319" s="61">
        <f>IF(Firmalar!$B$21="","",Firmalar!$B$21)</f>
        <v/>
      </c>
      <c r="B319" s="61">
        <f>IF(Firmalar!$B$21="","",Firmalar!$I$21)</f>
        <v/>
      </c>
      <c r="C319" s="61" t="inlineStr">
        <is>
          <t>Çevre eğitimi</t>
        </is>
      </c>
      <c r="D319" s="62">
        <f>IF(Firmalar!$B$21="","",Firmalar!$FY$21)</f>
        <v/>
      </c>
      <c r="E319" s="63">
        <f>IF(OR(A319="",D319=""),"",D319-TODAY())</f>
        <v/>
      </c>
      <c r="F319" s="64">
        <f>IF(OR(A319="",D319=""),"",IF(D319&lt;TODAY(),"Süresi geçti",IF(D319&lt;=TODAY()+30,"30 gün içinde",IF(D319&lt;=TODAY()+90,"90 gün içinde","İleride"))))</f>
        <v/>
      </c>
      <c r="G319" s="64">
        <f>IF(A319="","",Firmalar!$H$21)</f>
        <v/>
      </c>
    </row>
    <row r="320" ht="18" customHeight="1">
      <c r="A320" s="61">
        <f>IF(Firmalar!$B$21="","",Firmalar!$B$21)</f>
        <v/>
      </c>
      <c r="B320" s="61">
        <f>IF(Firmalar!$B$21="","",Firmalar!$I$21)</f>
        <v/>
      </c>
      <c r="C320" s="61" t="inlineStr">
        <is>
          <t>Eğitim planı</t>
        </is>
      </c>
      <c r="D320" s="62">
        <f>IF(Firmalar!$B$21="","",Firmalar!$FZ$21)</f>
        <v/>
      </c>
      <c r="E320" s="63">
        <f>IF(OR(A320="",D320=""),"",D320-TODAY())</f>
        <v/>
      </c>
      <c r="F320" s="64">
        <f>IF(OR(A320="",D320=""),"",IF(D320&lt;TODAY(),"Süresi geçti",IF(D320&lt;=TODAY()+30,"30 gün içinde",IF(D320&lt;=TODAY()+90,"90 gün içinde","İleride"))))</f>
        <v/>
      </c>
      <c r="G320" s="64">
        <f>IF(A320="","",Firmalar!$H$21)</f>
        <v/>
      </c>
    </row>
    <row r="321" ht="18" customHeight="1">
      <c r="A321" s="61">
        <f>IF(Firmalar!$B$21="","",Firmalar!$B$21)</f>
        <v/>
      </c>
      <c r="B321" s="61">
        <f>IF(Firmalar!$B$21="","",Firmalar!$I$21)</f>
        <v/>
      </c>
      <c r="C321" s="61" t="inlineStr">
        <is>
          <t>Kanal belgesi bitiş</t>
        </is>
      </c>
      <c r="D321" s="62">
        <f>IF(Firmalar!$B$21="","",Firmalar!$GA$21)</f>
        <v/>
      </c>
      <c r="E321" s="63">
        <f>IF(OR(A321="",D321=""),"",D321-TODAY())</f>
        <v/>
      </c>
      <c r="F321" s="64">
        <f>IF(OR(A321="",D321=""),"",IF(D321&lt;TODAY(),"Süresi geçti",IF(D321&lt;=TODAY()+30,"30 gün içinde",IF(D321&lt;=TODAY()+90,"90 gün içinde","İleride"))))</f>
        <v/>
      </c>
      <c r="G321" s="64">
        <f>IF(A321="","",Firmalar!$H$21)</f>
        <v/>
      </c>
    </row>
    <row r="322" ht="18" customHeight="1">
      <c r="A322" s="61">
        <f>IF(Firmalar!$B$21="","",Firmalar!$B$21)</f>
        <v/>
      </c>
      <c r="B322" s="61">
        <f>IF(Firmalar!$B$21="","",Firmalar!$I$21)</f>
        <v/>
      </c>
      <c r="C322" s="61" t="inlineStr">
        <is>
          <t>Deşarj izni bitiş</t>
        </is>
      </c>
      <c r="D322" s="62">
        <f>IF(Firmalar!$B$21="","",Firmalar!$GB$21)</f>
        <v/>
      </c>
      <c r="E322" s="63">
        <f>IF(OR(A322="",D322=""),"",D322-TODAY())</f>
        <v/>
      </c>
      <c r="F322" s="64">
        <f>IF(OR(A322="",D322=""),"",IF(D322&lt;TODAY(),"Süresi geçti",IF(D322&lt;=TODAY()+30,"30 gün içinde",IF(D322&lt;=TODAY()+90,"90 gün içinde","İleride"))))</f>
        <v/>
      </c>
      <c r="G322" s="64">
        <f>IF(A322="","",Firmalar!$H$21)</f>
        <v/>
      </c>
    </row>
    <row r="323" ht="18" customHeight="1">
      <c r="A323" s="61">
        <f>IF(Firmalar!$B$21="","",Firmalar!$B$21)</f>
        <v/>
      </c>
      <c r="B323" s="61">
        <f>IF(Firmalar!$B$21="","",Firmalar!$I$21)</f>
        <v/>
      </c>
      <c r="C323" s="61" t="inlineStr">
        <is>
          <t>Atıksu analizi</t>
        </is>
      </c>
      <c r="D323" s="62">
        <f>IF(Firmalar!$B$21="","",Firmalar!$GC$21)</f>
        <v/>
      </c>
      <c r="E323" s="63">
        <f>IF(OR(A323="",D323=""),"",D323-TODAY())</f>
        <v/>
      </c>
      <c r="F323" s="64">
        <f>IF(OR(A323="",D323=""),"",IF(D323&lt;TODAY(),"Süresi geçti",IF(D323&lt;=TODAY()+30,"30 gün içinde",IF(D323&lt;=TODAY()+90,"90 gün içinde","İleride"))))</f>
        <v/>
      </c>
      <c r="G323" s="64">
        <f>IF(A323="","",Firmalar!$H$21)</f>
        <v/>
      </c>
    </row>
    <row r="324" ht="18" customHeight="1">
      <c r="A324" s="61">
        <f>IF(Firmalar!$B$21="","",Firmalar!$B$21)</f>
        <v/>
      </c>
      <c r="B324" s="61">
        <f>IF(Firmalar!$B$21="","",Firmalar!$I$21)</f>
        <v/>
      </c>
      <c r="C324" s="61" t="inlineStr">
        <is>
          <t>Saha ziyareti</t>
        </is>
      </c>
      <c r="D324" s="62">
        <f>IF(Firmalar!$B$21="","",Firmalar!$GD$21)</f>
        <v/>
      </c>
      <c r="E324" s="63">
        <f>IF(OR(A324="",D324=""),"",D324-TODAY())</f>
        <v/>
      </c>
      <c r="F324" s="64">
        <f>IF(OR(A324="",D324=""),"",IF(D324&lt;TODAY(),"Süresi geçti",IF(D324&lt;=TODAY()+30,"30 gün içinde",IF(D324&lt;=TODAY()+90,"90 gün içinde","İleride"))))</f>
        <v/>
      </c>
      <c r="G324" s="64">
        <f>IF(A324="","",Firmalar!$H$21)</f>
        <v/>
      </c>
    </row>
    <row r="325" ht="18" customHeight="1">
      <c r="A325" s="61">
        <f>IF(Firmalar!$B$21="","",Firmalar!$B$21)</f>
        <v/>
      </c>
      <c r="B325" s="61">
        <f>IF(Firmalar!$B$21="","",Firmalar!$I$21)</f>
        <v/>
      </c>
      <c r="C325" s="61" t="inlineStr">
        <is>
          <t>Resmî yazı cevabı</t>
        </is>
      </c>
      <c r="D325" s="62">
        <f>IF(Firmalar!$B$21="","",Firmalar!$GE$21)</f>
        <v/>
      </c>
      <c r="E325" s="63">
        <f>IF(OR(A325="",D325=""),"",D325-TODAY())</f>
        <v/>
      </c>
      <c r="F325" s="64">
        <f>IF(OR(A325="",D325=""),"",IF(D325&lt;TODAY(),"Süresi geçti",IF(D325&lt;=TODAY()+30,"30 gün içinde",IF(D325&lt;=TODAY()+90,"90 gün içinde","İleride"))))</f>
        <v/>
      </c>
      <c r="G325" s="64">
        <f>IF(A325="","",Firmalar!$H$21)</f>
        <v/>
      </c>
    </row>
    <row r="326" ht="18" customHeight="1">
      <c r="A326" s="61">
        <f>IF(Firmalar!$B$21="","",Firmalar!$B$21)</f>
        <v/>
      </c>
      <c r="B326" s="61">
        <f>IF(Firmalar!$B$21="","",Firmalar!$I$21)</f>
        <v/>
      </c>
      <c r="C326" s="61" t="inlineStr">
        <is>
          <t>Uygunsuzluk kapanışı</t>
        </is>
      </c>
      <c r="D326" s="62">
        <f>IF(Firmalar!$B$21="","",Firmalar!$GF$21)</f>
        <v/>
      </c>
      <c r="E326" s="63">
        <f>IF(OR(A326="",D326=""),"",D326-TODAY())</f>
        <v/>
      </c>
      <c r="F326" s="64">
        <f>IF(OR(A326="",D326=""),"",IF(D326&lt;TODAY(),"Süresi geçti",IF(D326&lt;=TODAY()+30,"30 gün içinde",IF(D326&lt;=TODAY()+90,"90 gün içinde","İleride"))))</f>
        <v/>
      </c>
      <c r="G326" s="64">
        <f>IF(A326="","",Firmalar!$H$21)</f>
        <v/>
      </c>
    </row>
    <row r="327" ht="18" customHeight="1">
      <c r="A327" s="61">
        <f>IF(Firmalar!$B$21="","",Firmalar!$B$21)</f>
        <v/>
      </c>
      <c r="B327" s="61">
        <f>IF(Firmalar!$B$21="","",Firmalar!$I$21)</f>
        <v/>
      </c>
      <c r="C327" s="61" t="inlineStr">
        <is>
          <t>Öncelikli işlem</t>
        </is>
      </c>
      <c r="D327" s="62">
        <f>IF(Firmalar!$B$21="","",Firmalar!$GG$21)</f>
        <v/>
      </c>
      <c r="E327" s="63">
        <f>IF(OR(A327="",D327=""),"",D327-TODAY())</f>
        <v/>
      </c>
      <c r="F327" s="64">
        <f>IF(OR(A327="",D327=""),"",IF(D327&lt;TODAY(),"Süresi geçti",IF(D327&lt;=TODAY()+30,"30 gün içinde",IF(D327&lt;=TODAY()+90,"90 gün içinde","İleride"))))</f>
        <v/>
      </c>
      <c r="G327" s="64">
        <f>IF(A327="","",Firmalar!$H$21)</f>
        <v/>
      </c>
    </row>
    <row r="328" ht="18" customHeight="1">
      <c r="A328" s="61">
        <f>IF(Firmalar!$B$22="","",Firmalar!$B$22)</f>
        <v/>
      </c>
      <c r="B328" s="61">
        <f>IF(Firmalar!$B$22="","",Firmalar!$I$22)</f>
        <v/>
      </c>
      <c r="C328" s="61" t="inlineStr">
        <is>
          <t>Çevre izni bitiş</t>
        </is>
      </c>
      <c r="D328" s="62">
        <f>IF(Firmalar!$B$22="","",Firmalar!$FO$22)</f>
        <v/>
      </c>
      <c r="E328" s="63">
        <f>IF(OR(A328="",D328=""),"",D328-TODAY())</f>
        <v/>
      </c>
      <c r="F328" s="64">
        <f>IF(OR(A328="",D328=""),"",IF(D328&lt;TODAY(),"Süresi geçti",IF(D328&lt;=TODAY()+30,"30 gün içinde",IF(D328&lt;=TODAY()+90,"90 gün içinde","İleride"))))</f>
        <v/>
      </c>
      <c r="G328" s="64">
        <f>IF(A328="","",Firmalar!$H$22)</f>
        <v/>
      </c>
    </row>
    <row r="329" ht="18" customHeight="1">
      <c r="A329" s="61">
        <f>IF(Firmalar!$B$22="","",Firmalar!$B$22)</f>
        <v/>
      </c>
      <c r="B329" s="61">
        <f>IF(Firmalar!$B$22="","",Firmalar!$I$22)</f>
        <v/>
      </c>
      <c r="C329" s="61" t="inlineStr">
        <is>
          <t>Çevre izni başvurusu</t>
        </is>
      </c>
      <c r="D329" s="62">
        <f>IF(Firmalar!$B$22="","",Firmalar!$FP$22)</f>
        <v/>
      </c>
      <c r="E329" s="63">
        <f>IF(OR(A329="",D329=""),"",D329-TODAY())</f>
        <v/>
      </c>
      <c r="F329" s="64">
        <f>IF(OR(A329="",D329=""),"",IF(D329&lt;TODAY(),"Süresi geçti",IF(D329&lt;=TODAY()+30,"30 gün içinde",IF(D329&lt;=TODAY()+90,"90 gün içinde","İleride"))))</f>
        <v/>
      </c>
      <c r="G329" s="64">
        <f>IF(A329="","",Firmalar!$H$22)</f>
        <v/>
      </c>
    </row>
    <row r="330" ht="18" customHeight="1">
      <c r="A330" s="61">
        <f>IF(Firmalar!$B$22="","",Firmalar!$B$22)</f>
        <v/>
      </c>
      <c r="B330" s="61">
        <f>IF(Firmalar!$B$22="","",Firmalar!$I$22)</f>
        <v/>
      </c>
      <c r="C330" s="61" t="inlineStr">
        <is>
          <t>GFB bitiş</t>
        </is>
      </c>
      <c r="D330" s="62">
        <f>IF(Firmalar!$B$22="","",Firmalar!$FQ$22)</f>
        <v/>
      </c>
      <c r="E330" s="63">
        <f>IF(OR(A330="",D330=""),"",D330-TODAY())</f>
        <v/>
      </c>
      <c r="F330" s="64">
        <f>IF(OR(A330="",D330=""),"",IF(D330&lt;TODAY(),"Süresi geçti",IF(D330&lt;=TODAY()+30,"30 gün içinde",IF(D330&lt;=TODAY()+90,"90 gün içinde","İleride"))))</f>
        <v/>
      </c>
      <c r="G330" s="64">
        <f>IF(A330="","",Firmalar!$H$22)</f>
        <v/>
      </c>
    </row>
    <row r="331" ht="18" customHeight="1">
      <c r="A331" s="61">
        <f>IF(Firmalar!$B$22="","",Firmalar!$B$22)</f>
        <v/>
      </c>
      <c r="B331" s="61">
        <f>IF(Firmalar!$B$22="","",Firmalar!$I$22)</f>
        <v/>
      </c>
      <c r="C331" s="61" t="inlineStr">
        <is>
          <t>Sözleşme bitiş</t>
        </is>
      </c>
      <c r="D331" s="62">
        <f>IF(Firmalar!$B$22="","",Firmalar!$FR$22)</f>
        <v/>
      </c>
      <c r="E331" s="63">
        <f>IF(OR(A331="",D331=""),"",D331-TODAY())</f>
        <v/>
      </c>
      <c r="F331" s="64">
        <f>IF(OR(A331="",D331=""),"",IF(D331&lt;TODAY(),"Süresi geçti",IF(D331&lt;=TODAY()+30,"30 gün içinde",IF(D331&lt;=TODAY()+90,"90 gün içinde","İleride"))))</f>
        <v/>
      </c>
      <c r="G331" s="64">
        <f>IF(A331="","",Firmalar!$H$22)</f>
        <v/>
      </c>
    </row>
    <row r="332" ht="18" customHeight="1">
      <c r="A332" s="61">
        <f>IF(Firmalar!$B$22="","",Firmalar!$B$22)</f>
        <v/>
      </c>
      <c r="B332" s="61">
        <f>IF(Firmalar!$B$22="","",Firmalar!$I$22)</f>
        <v/>
      </c>
      <c r="C332" s="61" t="inlineStr">
        <is>
          <t>Sıfır Atık bitiş</t>
        </is>
      </c>
      <c r="D332" s="62">
        <f>IF(Firmalar!$B$22="","",Firmalar!$FS$22)</f>
        <v/>
      </c>
      <c r="E332" s="63">
        <f>IF(OR(A332="",D332=""),"",D332-TODAY())</f>
        <v/>
      </c>
      <c r="F332" s="64">
        <f>IF(OR(A332="",D332=""),"",IF(D332&lt;TODAY(),"Süresi geçti",IF(D332&lt;=TODAY()+30,"30 gün içinde",IF(D332&lt;=TODAY()+90,"90 gün içinde","İleride"))))</f>
        <v/>
      </c>
      <c r="G332" s="64">
        <f>IF(A332="","",Firmalar!$H$22)</f>
        <v/>
      </c>
    </row>
    <row r="333" ht="18" customHeight="1">
      <c r="A333" s="61">
        <f>IF(Firmalar!$B$22="","",Firmalar!$B$22)</f>
        <v/>
      </c>
      <c r="B333" s="61">
        <f>IF(Firmalar!$B$22="","",Firmalar!$I$22)</f>
        <v/>
      </c>
      <c r="C333" s="61" t="inlineStr">
        <is>
          <t>Atık planı bitiş</t>
        </is>
      </c>
      <c r="D333" s="62">
        <f>IF(Firmalar!$B$22="","",Firmalar!$FT$22)</f>
        <v/>
      </c>
      <c r="E333" s="63">
        <f>IF(OR(A333="",D333=""),"",D333-TODAY())</f>
        <v/>
      </c>
      <c r="F333" s="64">
        <f>IF(OR(A333="",D333=""),"",IF(D333&lt;TODAY(),"Süresi geçti",IF(D333&lt;=TODAY()+30,"30 gün içinde",IF(D333&lt;=TODAY()+90,"90 gün içinde","İleride"))))</f>
        <v/>
      </c>
      <c r="G333" s="64">
        <f>IF(A333="","",Firmalar!$H$22)</f>
        <v/>
      </c>
    </row>
    <row r="334" ht="18" customHeight="1">
      <c r="A334" s="61">
        <f>IF(Firmalar!$B$22="","",Firmalar!$B$22)</f>
        <v/>
      </c>
      <c r="B334" s="61">
        <f>IF(Firmalar!$B$22="","",Firmalar!$I$22)</f>
        <v/>
      </c>
      <c r="C334" s="61" t="inlineStr">
        <is>
          <t>Emisyon teyidi</t>
        </is>
      </c>
      <c r="D334" s="62">
        <f>IF(Firmalar!$B$22="","",Firmalar!$FU$22)</f>
        <v/>
      </c>
      <c r="E334" s="63">
        <f>IF(OR(A334="",D334=""),"",D334-TODAY())</f>
        <v/>
      </c>
      <c r="F334" s="64">
        <f>IF(OR(A334="",D334=""),"",IF(D334&lt;TODAY(),"Süresi geçti",IF(D334&lt;=TODAY()+30,"30 gün içinde",IF(D334&lt;=TODAY()+90,"90 gün içinde","İleride"))))</f>
        <v/>
      </c>
      <c r="G334" s="64">
        <f>IF(A334="","",Firmalar!$H$22)</f>
        <v/>
      </c>
    </row>
    <row r="335" ht="18" customHeight="1">
      <c r="A335" s="61">
        <f>IF(Firmalar!$B$22="","",Firmalar!$B$22)</f>
        <v/>
      </c>
      <c r="B335" s="61">
        <f>IF(Firmalar!$B$22="","",Firmalar!$I$22)</f>
        <v/>
      </c>
      <c r="C335" s="61" t="inlineStr">
        <is>
          <t>Emisyon ölçümü</t>
        </is>
      </c>
      <c r="D335" s="62">
        <f>IF(Firmalar!$B$22="","",Firmalar!$FV$22)</f>
        <v/>
      </c>
      <c r="E335" s="63">
        <f>IF(OR(A335="",D335=""),"",D335-TODAY())</f>
        <v/>
      </c>
      <c r="F335" s="64">
        <f>IF(OR(A335="",D335=""),"",IF(D335&lt;TODAY(),"Süresi geçti",IF(D335&lt;=TODAY()+30,"30 gün içinde",IF(D335&lt;=TODAY()+90,"90 gün içinde","İleride"))))</f>
        <v/>
      </c>
      <c r="G335" s="64">
        <f>IF(A335="","",Firmalar!$H$22)</f>
        <v/>
      </c>
    </row>
    <row r="336" ht="18" customHeight="1">
      <c r="A336" s="61">
        <f>IF(Firmalar!$B$22="","",Firmalar!$B$22)</f>
        <v/>
      </c>
      <c r="B336" s="61">
        <f>IF(Firmalar!$B$22="","",Firmalar!$I$22)</f>
        <v/>
      </c>
      <c r="C336" s="61" t="inlineStr">
        <is>
          <t>İç tetkik</t>
        </is>
      </c>
      <c r="D336" s="62">
        <f>IF(Firmalar!$B$22="","",Firmalar!$FW$22)</f>
        <v/>
      </c>
      <c r="E336" s="63">
        <f>IF(OR(A336="",D336=""),"",D336-TODAY())</f>
        <v/>
      </c>
      <c r="F336" s="64">
        <f>IF(OR(A336="",D336=""),"",IF(D336&lt;TODAY(),"Süresi geçti",IF(D336&lt;=TODAY()+30,"30 gün içinde",IF(D336&lt;=TODAY()+90,"90 gün içinde","İleride"))))</f>
        <v/>
      </c>
      <c r="G336" s="64">
        <f>IF(A336="","",Firmalar!$H$22)</f>
        <v/>
      </c>
    </row>
    <row r="337" ht="18" customHeight="1">
      <c r="A337" s="61">
        <f>IF(Firmalar!$B$22="","",Firmalar!$B$22)</f>
        <v/>
      </c>
      <c r="B337" s="61">
        <f>IF(Firmalar!$B$22="","",Firmalar!$I$22)</f>
        <v/>
      </c>
      <c r="C337" s="61" t="inlineStr">
        <is>
          <t>İç tetkik planı</t>
        </is>
      </c>
      <c r="D337" s="62">
        <f>IF(Firmalar!$B$22="","",Firmalar!$FX$22)</f>
        <v/>
      </c>
      <c r="E337" s="63">
        <f>IF(OR(A337="",D337=""),"",D337-TODAY())</f>
        <v/>
      </c>
      <c r="F337" s="64">
        <f>IF(OR(A337="",D337=""),"",IF(D337&lt;TODAY(),"Süresi geçti",IF(D337&lt;=TODAY()+30,"30 gün içinde",IF(D337&lt;=TODAY()+90,"90 gün içinde","İleride"))))</f>
        <v/>
      </c>
      <c r="G337" s="64">
        <f>IF(A337="","",Firmalar!$H$22)</f>
        <v/>
      </c>
    </row>
    <row r="338" ht="18" customHeight="1">
      <c r="A338" s="61">
        <f>IF(Firmalar!$B$22="","",Firmalar!$B$22)</f>
        <v/>
      </c>
      <c r="B338" s="61">
        <f>IF(Firmalar!$B$22="","",Firmalar!$I$22)</f>
        <v/>
      </c>
      <c r="C338" s="61" t="inlineStr">
        <is>
          <t>Çevre eğitimi</t>
        </is>
      </c>
      <c r="D338" s="62">
        <f>IF(Firmalar!$B$22="","",Firmalar!$FY$22)</f>
        <v/>
      </c>
      <c r="E338" s="63">
        <f>IF(OR(A338="",D338=""),"",D338-TODAY())</f>
        <v/>
      </c>
      <c r="F338" s="64">
        <f>IF(OR(A338="",D338=""),"",IF(D338&lt;TODAY(),"Süresi geçti",IF(D338&lt;=TODAY()+30,"30 gün içinde",IF(D338&lt;=TODAY()+90,"90 gün içinde","İleride"))))</f>
        <v/>
      </c>
      <c r="G338" s="64">
        <f>IF(A338="","",Firmalar!$H$22)</f>
        <v/>
      </c>
    </row>
    <row r="339" ht="18" customHeight="1">
      <c r="A339" s="61">
        <f>IF(Firmalar!$B$22="","",Firmalar!$B$22)</f>
        <v/>
      </c>
      <c r="B339" s="61">
        <f>IF(Firmalar!$B$22="","",Firmalar!$I$22)</f>
        <v/>
      </c>
      <c r="C339" s="61" t="inlineStr">
        <is>
          <t>Eğitim planı</t>
        </is>
      </c>
      <c r="D339" s="62">
        <f>IF(Firmalar!$B$22="","",Firmalar!$FZ$22)</f>
        <v/>
      </c>
      <c r="E339" s="63">
        <f>IF(OR(A339="",D339=""),"",D339-TODAY())</f>
        <v/>
      </c>
      <c r="F339" s="64">
        <f>IF(OR(A339="",D339=""),"",IF(D339&lt;TODAY(),"Süresi geçti",IF(D339&lt;=TODAY()+30,"30 gün içinde",IF(D339&lt;=TODAY()+90,"90 gün içinde","İleride"))))</f>
        <v/>
      </c>
      <c r="G339" s="64">
        <f>IF(A339="","",Firmalar!$H$22)</f>
        <v/>
      </c>
    </row>
    <row r="340" ht="18" customHeight="1">
      <c r="A340" s="61">
        <f>IF(Firmalar!$B$22="","",Firmalar!$B$22)</f>
        <v/>
      </c>
      <c r="B340" s="61">
        <f>IF(Firmalar!$B$22="","",Firmalar!$I$22)</f>
        <v/>
      </c>
      <c r="C340" s="61" t="inlineStr">
        <is>
          <t>Kanal belgesi bitiş</t>
        </is>
      </c>
      <c r="D340" s="62">
        <f>IF(Firmalar!$B$22="","",Firmalar!$GA$22)</f>
        <v/>
      </c>
      <c r="E340" s="63">
        <f>IF(OR(A340="",D340=""),"",D340-TODAY())</f>
        <v/>
      </c>
      <c r="F340" s="64">
        <f>IF(OR(A340="",D340=""),"",IF(D340&lt;TODAY(),"Süresi geçti",IF(D340&lt;=TODAY()+30,"30 gün içinde",IF(D340&lt;=TODAY()+90,"90 gün içinde","İleride"))))</f>
        <v/>
      </c>
      <c r="G340" s="64">
        <f>IF(A340="","",Firmalar!$H$22)</f>
        <v/>
      </c>
    </row>
    <row r="341" ht="18" customHeight="1">
      <c r="A341" s="61">
        <f>IF(Firmalar!$B$22="","",Firmalar!$B$22)</f>
        <v/>
      </c>
      <c r="B341" s="61">
        <f>IF(Firmalar!$B$22="","",Firmalar!$I$22)</f>
        <v/>
      </c>
      <c r="C341" s="61" t="inlineStr">
        <is>
          <t>Deşarj izni bitiş</t>
        </is>
      </c>
      <c r="D341" s="62">
        <f>IF(Firmalar!$B$22="","",Firmalar!$GB$22)</f>
        <v/>
      </c>
      <c r="E341" s="63">
        <f>IF(OR(A341="",D341=""),"",D341-TODAY())</f>
        <v/>
      </c>
      <c r="F341" s="64">
        <f>IF(OR(A341="",D341=""),"",IF(D341&lt;TODAY(),"Süresi geçti",IF(D341&lt;=TODAY()+30,"30 gün içinde",IF(D341&lt;=TODAY()+90,"90 gün içinde","İleride"))))</f>
        <v/>
      </c>
      <c r="G341" s="64">
        <f>IF(A341="","",Firmalar!$H$22)</f>
        <v/>
      </c>
    </row>
    <row r="342" ht="18" customHeight="1">
      <c r="A342" s="61">
        <f>IF(Firmalar!$B$22="","",Firmalar!$B$22)</f>
        <v/>
      </c>
      <c r="B342" s="61">
        <f>IF(Firmalar!$B$22="","",Firmalar!$I$22)</f>
        <v/>
      </c>
      <c r="C342" s="61" t="inlineStr">
        <is>
          <t>Atıksu analizi</t>
        </is>
      </c>
      <c r="D342" s="62">
        <f>IF(Firmalar!$B$22="","",Firmalar!$GC$22)</f>
        <v/>
      </c>
      <c r="E342" s="63">
        <f>IF(OR(A342="",D342=""),"",D342-TODAY())</f>
        <v/>
      </c>
      <c r="F342" s="64">
        <f>IF(OR(A342="",D342=""),"",IF(D342&lt;TODAY(),"Süresi geçti",IF(D342&lt;=TODAY()+30,"30 gün içinde",IF(D342&lt;=TODAY()+90,"90 gün içinde","İleride"))))</f>
        <v/>
      </c>
      <c r="G342" s="64">
        <f>IF(A342="","",Firmalar!$H$22)</f>
        <v/>
      </c>
    </row>
    <row r="343" ht="18" customHeight="1">
      <c r="A343" s="61">
        <f>IF(Firmalar!$B$22="","",Firmalar!$B$22)</f>
        <v/>
      </c>
      <c r="B343" s="61">
        <f>IF(Firmalar!$B$22="","",Firmalar!$I$22)</f>
        <v/>
      </c>
      <c r="C343" s="61" t="inlineStr">
        <is>
          <t>Saha ziyareti</t>
        </is>
      </c>
      <c r="D343" s="62">
        <f>IF(Firmalar!$B$22="","",Firmalar!$GD$22)</f>
        <v/>
      </c>
      <c r="E343" s="63">
        <f>IF(OR(A343="",D343=""),"",D343-TODAY())</f>
        <v/>
      </c>
      <c r="F343" s="64">
        <f>IF(OR(A343="",D343=""),"",IF(D343&lt;TODAY(),"Süresi geçti",IF(D343&lt;=TODAY()+30,"30 gün içinde",IF(D343&lt;=TODAY()+90,"90 gün içinde","İleride"))))</f>
        <v/>
      </c>
      <c r="G343" s="64">
        <f>IF(A343="","",Firmalar!$H$22)</f>
        <v/>
      </c>
    </row>
    <row r="344" ht="18" customHeight="1">
      <c r="A344" s="61">
        <f>IF(Firmalar!$B$22="","",Firmalar!$B$22)</f>
        <v/>
      </c>
      <c r="B344" s="61">
        <f>IF(Firmalar!$B$22="","",Firmalar!$I$22)</f>
        <v/>
      </c>
      <c r="C344" s="61" t="inlineStr">
        <is>
          <t>Resmî yazı cevabı</t>
        </is>
      </c>
      <c r="D344" s="62">
        <f>IF(Firmalar!$B$22="","",Firmalar!$GE$22)</f>
        <v/>
      </c>
      <c r="E344" s="63">
        <f>IF(OR(A344="",D344=""),"",D344-TODAY())</f>
        <v/>
      </c>
      <c r="F344" s="64">
        <f>IF(OR(A344="",D344=""),"",IF(D344&lt;TODAY(),"Süresi geçti",IF(D344&lt;=TODAY()+30,"30 gün içinde",IF(D344&lt;=TODAY()+90,"90 gün içinde","İleride"))))</f>
        <v/>
      </c>
      <c r="G344" s="64">
        <f>IF(A344="","",Firmalar!$H$22)</f>
        <v/>
      </c>
    </row>
    <row r="345" ht="18" customHeight="1">
      <c r="A345" s="61">
        <f>IF(Firmalar!$B$22="","",Firmalar!$B$22)</f>
        <v/>
      </c>
      <c r="B345" s="61">
        <f>IF(Firmalar!$B$22="","",Firmalar!$I$22)</f>
        <v/>
      </c>
      <c r="C345" s="61" t="inlineStr">
        <is>
          <t>Uygunsuzluk kapanışı</t>
        </is>
      </c>
      <c r="D345" s="62">
        <f>IF(Firmalar!$B$22="","",Firmalar!$GF$22)</f>
        <v/>
      </c>
      <c r="E345" s="63">
        <f>IF(OR(A345="",D345=""),"",D345-TODAY())</f>
        <v/>
      </c>
      <c r="F345" s="64">
        <f>IF(OR(A345="",D345=""),"",IF(D345&lt;TODAY(),"Süresi geçti",IF(D345&lt;=TODAY()+30,"30 gün içinde",IF(D345&lt;=TODAY()+90,"90 gün içinde","İleride"))))</f>
        <v/>
      </c>
      <c r="G345" s="64">
        <f>IF(A345="","",Firmalar!$H$22)</f>
        <v/>
      </c>
    </row>
    <row r="346" ht="18" customHeight="1">
      <c r="A346" s="61">
        <f>IF(Firmalar!$B$22="","",Firmalar!$B$22)</f>
        <v/>
      </c>
      <c r="B346" s="61">
        <f>IF(Firmalar!$B$22="","",Firmalar!$I$22)</f>
        <v/>
      </c>
      <c r="C346" s="61" t="inlineStr">
        <is>
          <t>Öncelikli işlem</t>
        </is>
      </c>
      <c r="D346" s="62">
        <f>IF(Firmalar!$B$22="","",Firmalar!$GG$22)</f>
        <v/>
      </c>
      <c r="E346" s="63">
        <f>IF(OR(A346="",D346=""),"",D346-TODAY())</f>
        <v/>
      </c>
      <c r="F346" s="64">
        <f>IF(OR(A346="",D346=""),"",IF(D346&lt;TODAY(),"Süresi geçti",IF(D346&lt;=TODAY()+30,"30 gün içinde",IF(D346&lt;=TODAY()+90,"90 gün içinde","İleride"))))</f>
        <v/>
      </c>
      <c r="G346" s="64">
        <f>IF(A346="","",Firmalar!$H$22)</f>
        <v/>
      </c>
    </row>
    <row r="347" ht="18" customHeight="1">
      <c r="A347" s="61">
        <f>IF(Firmalar!$B$23="","",Firmalar!$B$23)</f>
        <v/>
      </c>
      <c r="B347" s="61">
        <f>IF(Firmalar!$B$23="","",Firmalar!$I$23)</f>
        <v/>
      </c>
      <c r="C347" s="61" t="inlineStr">
        <is>
          <t>Çevre izni bitiş</t>
        </is>
      </c>
      <c r="D347" s="62">
        <f>IF(Firmalar!$B$23="","",Firmalar!$FO$23)</f>
        <v/>
      </c>
      <c r="E347" s="63">
        <f>IF(OR(A347="",D347=""),"",D347-TODAY())</f>
        <v/>
      </c>
      <c r="F347" s="64">
        <f>IF(OR(A347="",D347=""),"",IF(D347&lt;TODAY(),"Süresi geçti",IF(D347&lt;=TODAY()+30,"30 gün içinde",IF(D347&lt;=TODAY()+90,"90 gün içinde","İleride"))))</f>
        <v/>
      </c>
      <c r="G347" s="64">
        <f>IF(A347="","",Firmalar!$H$23)</f>
        <v/>
      </c>
    </row>
    <row r="348" ht="18" customHeight="1">
      <c r="A348" s="61">
        <f>IF(Firmalar!$B$23="","",Firmalar!$B$23)</f>
        <v/>
      </c>
      <c r="B348" s="61">
        <f>IF(Firmalar!$B$23="","",Firmalar!$I$23)</f>
        <v/>
      </c>
      <c r="C348" s="61" t="inlineStr">
        <is>
          <t>Çevre izni başvurusu</t>
        </is>
      </c>
      <c r="D348" s="62">
        <f>IF(Firmalar!$B$23="","",Firmalar!$FP$23)</f>
        <v/>
      </c>
      <c r="E348" s="63">
        <f>IF(OR(A348="",D348=""),"",D348-TODAY())</f>
        <v/>
      </c>
      <c r="F348" s="64">
        <f>IF(OR(A348="",D348=""),"",IF(D348&lt;TODAY(),"Süresi geçti",IF(D348&lt;=TODAY()+30,"30 gün içinde",IF(D348&lt;=TODAY()+90,"90 gün içinde","İleride"))))</f>
        <v/>
      </c>
      <c r="G348" s="64">
        <f>IF(A348="","",Firmalar!$H$23)</f>
        <v/>
      </c>
    </row>
    <row r="349" ht="18" customHeight="1">
      <c r="A349" s="61">
        <f>IF(Firmalar!$B$23="","",Firmalar!$B$23)</f>
        <v/>
      </c>
      <c r="B349" s="61">
        <f>IF(Firmalar!$B$23="","",Firmalar!$I$23)</f>
        <v/>
      </c>
      <c r="C349" s="61" t="inlineStr">
        <is>
          <t>GFB bitiş</t>
        </is>
      </c>
      <c r="D349" s="62">
        <f>IF(Firmalar!$B$23="","",Firmalar!$FQ$23)</f>
        <v/>
      </c>
      <c r="E349" s="63">
        <f>IF(OR(A349="",D349=""),"",D349-TODAY())</f>
        <v/>
      </c>
      <c r="F349" s="64">
        <f>IF(OR(A349="",D349=""),"",IF(D349&lt;TODAY(),"Süresi geçti",IF(D349&lt;=TODAY()+30,"30 gün içinde",IF(D349&lt;=TODAY()+90,"90 gün içinde","İleride"))))</f>
        <v/>
      </c>
      <c r="G349" s="64">
        <f>IF(A349="","",Firmalar!$H$23)</f>
        <v/>
      </c>
    </row>
    <row r="350" ht="18" customHeight="1">
      <c r="A350" s="61">
        <f>IF(Firmalar!$B$23="","",Firmalar!$B$23)</f>
        <v/>
      </c>
      <c r="B350" s="61">
        <f>IF(Firmalar!$B$23="","",Firmalar!$I$23)</f>
        <v/>
      </c>
      <c r="C350" s="61" t="inlineStr">
        <is>
          <t>Sözleşme bitiş</t>
        </is>
      </c>
      <c r="D350" s="62">
        <f>IF(Firmalar!$B$23="","",Firmalar!$FR$23)</f>
        <v/>
      </c>
      <c r="E350" s="63">
        <f>IF(OR(A350="",D350=""),"",D350-TODAY())</f>
        <v/>
      </c>
      <c r="F350" s="64">
        <f>IF(OR(A350="",D350=""),"",IF(D350&lt;TODAY(),"Süresi geçti",IF(D350&lt;=TODAY()+30,"30 gün içinde",IF(D350&lt;=TODAY()+90,"90 gün içinde","İleride"))))</f>
        <v/>
      </c>
      <c r="G350" s="64">
        <f>IF(A350="","",Firmalar!$H$23)</f>
        <v/>
      </c>
    </row>
    <row r="351" ht="18" customHeight="1">
      <c r="A351" s="61">
        <f>IF(Firmalar!$B$23="","",Firmalar!$B$23)</f>
        <v/>
      </c>
      <c r="B351" s="61">
        <f>IF(Firmalar!$B$23="","",Firmalar!$I$23)</f>
        <v/>
      </c>
      <c r="C351" s="61" t="inlineStr">
        <is>
          <t>Sıfır Atık bitiş</t>
        </is>
      </c>
      <c r="D351" s="62">
        <f>IF(Firmalar!$B$23="","",Firmalar!$FS$23)</f>
        <v/>
      </c>
      <c r="E351" s="63">
        <f>IF(OR(A351="",D351=""),"",D351-TODAY())</f>
        <v/>
      </c>
      <c r="F351" s="64">
        <f>IF(OR(A351="",D351=""),"",IF(D351&lt;TODAY(),"Süresi geçti",IF(D351&lt;=TODAY()+30,"30 gün içinde",IF(D351&lt;=TODAY()+90,"90 gün içinde","İleride"))))</f>
        <v/>
      </c>
      <c r="G351" s="64">
        <f>IF(A351="","",Firmalar!$H$23)</f>
        <v/>
      </c>
    </row>
    <row r="352" ht="18" customHeight="1">
      <c r="A352" s="61">
        <f>IF(Firmalar!$B$23="","",Firmalar!$B$23)</f>
        <v/>
      </c>
      <c r="B352" s="61">
        <f>IF(Firmalar!$B$23="","",Firmalar!$I$23)</f>
        <v/>
      </c>
      <c r="C352" s="61" t="inlineStr">
        <is>
          <t>Atık planı bitiş</t>
        </is>
      </c>
      <c r="D352" s="62">
        <f>IF(Firmalar!$B$23="","",Firmalar!$FT$23)</f>
        <v/>
      </c>
      <c r="E352" s="63">
        <f>IF(OR(A352="",D352=""),"",D352-TODAY())</f>
        <v/>
      </c>
      <c r="F352" s="64">
        <f>IF(OR(A352="",D352=""),"",IF(D352&lt;TODAY(),"Süresi geçti",IF(D352&lt;=TODAY()+30,"30 gün içinde",IF(D352&lt;=TODAY()+90,"90 gün içinde","İleride"))))</f>
        <v/>
      </c>
      <c r="G352" s="64">
        <f>IF(A352="","",Firmalar!$H$23)</f>
        <v/>
      </c>
    </row>
    <row r="353" ht="18" customHeight="1">
      <c r="A353" s="61">
        <f>IF(Firmalar!$B$23="","",Firmalar!$B$23)</f>
        <v/>
      </c>
      <c r="B353" s="61">
        <f>IF(Firmalar!$B$23="","",Firmalar!$I$23)</f>
        <v/>
      </c>
      <c r="C353" s="61" t="inlineStr">
        <is>
          <t>Emisyon teyidi</t>
        </is>
      </c>
      <c r="D353" s="62">
        <f>IF(Firmalar!$B$23="","",Firmalar!$FU$23)</f>
        <v/>
      </c>
      <c r="E353" s="63">
        <f>IF(OR(A353="",D353=""),"",D353-TODAY())</f>
        <v/>
      </c>
      <c r="F353" s="64">
        <f>IF(OR(A353="",D353=""),"",IF(D353&lt;TODAY(),"Süresi geçti",IF(D353&lt;=TODAY()+30,"30 gün içinde",IF(D353&lt;=TODAY()+90,"90 gün içinde","İleride"))))</f>
        <v/>
      </c>
      <c r="G353" s="64">
        <f>IF(A353="","",Firmalar!$H$23)</f>
        <v/>
      </c>
    </row>
    <row r="354" ht="18" customHeight="1">
      <c r="A354" s="61">
        <f>IF(Firmalar!$B$23="","",Firmalar!$B$23)</f>
        <v/>
      </c>
      <c r="B354" s="61">
        <f>IF(Firmalar!$B$23="","",Firmalar!$I$23)</f>
        <v/>
      </c>
      <c r="C354" s="61" t="inlineStr">
        <is>
          <t>Emisyon ölçümü</t>
        </is>
      </c>
      <c r="D354" s="62">
        <f>IF(Firmalar!$B$23="","",Firmalar!$FV$23)</f>
        <v/>
      </c>
      <c r="E354" s="63">
        <f>IF(OR(A354="",D354=""),"",D354-TODAY())</f>
        <v/>
      </c>
      <c r="F354" s="64">
        <f>IF(OR(A354="",D354=""),"",IF(D354&lt;TODAY(),"Süresi geçti",IF(D354&lt;=TODAY()+30,"30 gün içinde",IF(D354&lt;=TODAY()+90,"90 gün içinde","İleride"))))</f>
        <v/>
      </c>
      <c r="G354" s="64">
        <f>IF(A354="","",Firmalar!$H$23)</f>
        <v/>
      </c>
    </row>
    <row r="355" ht="18" customHeight="1">
      <c r="A355" s="61">
        <f>IF(Firmalar!$B$23="","",Firmalar!$B$23)</f>
        <v/>
      </c>
      <c r="B355" s="61">
        <f>IF(Firmalar!$B$23="","",Firmalar!$I$23)</f>
        <v/>
      </c>
      <c r="C355" s="61" t="inlineStr">
        <is>
          <t>İç tetkik</t>
        </is>
      </c>
      <c r="D355" s="62">
        <f>IF(Firmalar!$B$23="","",Firmalar!$FW$23)</f>
        <v/>
      </c>
      <c r="E355" s="63">
        <f>IF(OR(A355="",D355=""),"",D355-TODAY())</f>
        <v/>
      </c>
      <c r="F355" s="64">
        <f>IF(OR(A355="",D355=""),"",IF(D355&lt;TODAY(),"Süresi geçti",IF(D355&lt;=TODAY()+30,"30 gün içinde",IF(D355&lt;=TODAY()+90,"90 gün içinde","İleride"))))</f>
        <v/>
      </c>
      <c r="G355" s="64">
        <f>IF(A355="","",Firmalar!$H$23)</f>
        <v/>
      </c>
    </row>
    <row r="356" ht="18" customHeight="1">
      <c r="A356" s="61">
        <f>IF(Firmalar!$B$23="","",Firmalar!$B$23)</f>
        <v/>
      </c>
      <c r="B356" s="61">
        <f>IF(Firmalar!$B$23="","",Firmalar!$I$23)</f>
        <v/>
      </c>
      <c r="C356" s="61" t="inlineStr">
        <is>
          <t>İç tetkik planı</t>
        </is>
      </c>
      <c r="D356" s="62">
        <f>IF(Firmalar!$B$23="","",Firmalar!$FX$23)</f>
        <v/>
      </c>
      <c r="E356" s="63">
        <f>IF(OR(A356="",D356=""),"",D356-TODAY())</f>
        <v/>
      </c>
      <c r="F356" s="64">
        <f>IF(OR(A356="",D356=""),"",IF(D356&lt;TODAY(),"Süresi geçti",IF(D356&lt;=TODAY()+30,"30 gün içinde",IF(D356&lt;=TODAY()+90,"90 gün içinde","İleride"))))</f>
        <v/>
      </c>
      <c r="G356" s="64">
        <f>IF(A356="","",Firmalar!$H$23)</f>
        <v/>
      </c>
    </row>
    <row r="357" ht="18" customHeight="1">
      <c r="A357" s="61">
        <f>IF(Firmalar!$B$23="","",Firmalar!$B$23)</f>
        <v/>
      </c>
      <c r="B357" s="61">
        <f>IF(Firmalar!$B$23="","",Firmalar!$I$23)</f>
        <v/>
      </c>
      <c r="C357" s="61" t="inlineStr">
        <is>
          <t>Çevre eğitimi</t>
        </is>
      </c>
      <c r="D357" s="62">
        <f>IF(Firmalar!$B$23="","",Firmalar!$FY$23)</f>
        <v/>
      </c>
      <c r="E357" s="63">
        <f>IF(OR(A357="",D357=""),"",D357-TODAY())</f>
        <v/>
      </c>
      <c r="F357" s="64">
        <f>IF(OR(A357="",D357=""),"",IF(D357&lt;TODAY(),"Süresi geçti",IF(D357&lt;=TODAY()+30,"30 gün içinde",IF(D357&lt;=TODAY()+90,"90 gün içinde","İleride"))))</f>
        <v/>
      </c>
      <c r="G357" s="64">
        <f>IF(A357="","",Firmalar!$H$23)</f>
        <v/>
      </c>
    </row>
    <row r="358" ht="18" customHeight="1">
      <c r="A358" s="61">
        <f>IF(Firmalar!$B$23="","",Firmalar!$B$23)</f>
        <v/>
      </c>
      <c r="B358" s="61">
        <f>IF(Firmalar!$B$23="","",Firmalar!$I$23)</f>
        <v/>
      </c>
      <c r="C358" s="61" t="inlineStr">
        <is>
          <t>Eğitim planı</t>
        </is>
      </c>
      <c r="D358" s="62">
        <f>IF(Firmalar!$B$23="","",Firmalar!$FZ$23)</f>
        <v/>
      </c>
      <c r="E358" s="63">
        <f>IF(OR(A358="",D358=""),"",D358-TODAY())</f>
        <v/>
      </c>
      <c r="F358" s="64">
        <f>IF(OR(A358="",D358=""),"",IF(D358&lt;TODAY(),"Süresi geçti",IF(D358&lt;=TODAY()+30,"30 gün içinde",IF(D358&lt;=TODAY()+90,"90 gün içinde","İleride"))))</f>
        <v/>
      </c>
      <c r="G358" s="64">
        <f>IF(A358="","",Firmalar!$H$23)</f>
        <v/>
      </c>
    </row>
    <row r="359" ht="18" customHeight="1">
      <c r="A359" s="61">
        <f>IF(Firmalar!$B$23="","",Firmalar!$B$23)</f>
        <v/>
      </c>
      <c r="B359" s="61">
        <f>IF(Firmalar!$B$23="","",Firmalar!$I$23)</f>
        <v/>
      </c>
      <c r="C359" s="61" t="inlineStr">
        <is>
          <t>Kanal belgesi bitiş</t>
        </is>
      </c>
      <c r="D359" s="62">
        <f>IF(Firmalar!$B$23="","",Firmalar!$GA$23)</f>
        <v/>
      </c>
      <c r="E359" s="63">
        <f>IF(OR(A359="",D359=""),"",D359-TODAY())</f>
        <v/>
      </c>
      <c r="F359" s="64">
        <f>IF(OR(A359="",D359=""),"",IF(D359&lt;TODAY(),"Süresi geçti",IF(D359&lt;=TODAY()+30,"30 gün içinde",IF(D359&lt;=TODAY()+90,"90 gün içinde","İleride"))))</f>
        <v/>
      </c>
      <c r="G359" s="64">
        <f>IF(A359="","",Firmalar!$H$23)</f>
        <v/>
      </c>
    </row>
    <row r="360" ht="18" customHeight="1">
      <c r="A360" s="61">
        <f>IF(Firmalar!$B$23="","",Firmalar!$B$23)</f>
        <v/>
      </c>
      <c r="B360" s="61">
        <f>IF(Firmalar!$B$23="","",Firmalar!$I$23)</f>
        <v/>
      </c>
      <c r="C360" s="61" t="inlineStr">
        <is>
          <t>Deşarj izni bitiş</t>
        </is>
      </c>
      <c r="D360" s="62">
        <f>IF(Firmalar!$B$23="","",Firmalar!$GB$23)</f>
        <v/>
      </c>
      <c r="E360" s="63">
        <f>IF(OR(A360="",D360=""),"",D360-TODAY())</f>
        <v/>
      </c>
      <c r="F360" s="64">
        <f>IF(OR(A360="",D360=""),"",IF(D360&lt;TODAY(),"Süresi geçti",IF(D360&lt;=TODAY()+30,"30 gün içinde",IF(D360&lt;=TODAY()+90,"90 gün içinde","İleride"))))</f>
        <v/>
      </c>
      <c r="G360" s="64">
        <f>IF(A360="","",Firmalar!$H$23)</f>
        <v/>
      </c>
    </row>
    <row r="361" ht="18" customHeight="1">
      <c r="A361" s="61">
        <f>IF(Firmalar!$B$23="","",Firmalar!$B$23)</f>
        <v/>
      </c>
      <c r="B361" s="61">
        <f>IF(Firmalar!$B$23="","",Firmalar!$I$23)</f>
        <v/>
      </c>
      <c r="C361" s="61" t="inlineStr">
        <is>
          <t>Atıksu analizi</t>
        </is>
      </c>
      <c r="D361" s="62">
        <f>IF(Firmalar!$B$23="","",Firmalar!$GC$23)</f>
        <v/>
      </c>
      <c r="E361" s="63">
        <f>IF(OR(A361="",D361=""),"",D361-TODAY())</f>
        <v/>
      </c>
      <c r="F361" s="64">
        <f>IF(OR(A361="",D361=""),"",IF(D361&lt;TODAY(),"Süresi geçti",IF(D361&lt;=TODAY()+30,"30 gün içinde",IF(D361&lt;=TODAY()+90,"90 gün içinde","İleride"))))</f>
        <v/>
      </c>
      <c r="G361" s="64">
        <f>IF(A361="","",Firmalar!$H$23)</f>
        <v/>
      </c>
    </row>
    <row r="362" ht="18" customHeight="1">
      <c r="A362" s="61">
        <f>IF(Firmalar!$B$23="","",Firmalar!$B$23)</f>
        <v/>
      </c>
      <c r="B362" s="61">
        <f>IF(Firmalar!$B$23="","",Firmalar!$I$23)</f>
        <v/>
      </c>
      <c r="C362" s="61" t="inlineStr">
        <is>
          <t>Saha ziyareti</t>
        </is>
      </c>
      <c r="D362" s="62">
        <f>IF(Firmalar!$B$23="","",Firmalar!$GD$23)</f>
        <v/>
      </c>
      <c r="E362" s="63">
        <f>IF(OR(A362="",D362=""),"",D362-TODAY())</f>
        <v/>
      </c>
      <c r="F362" s="64">
        <f>IF(OR(A362="",D362=""),"",IF(D362&lt;TODAY(),"Süresi geçti",IF(D362&lt;=TODAY()+30,"30 gün içinde",IF(D362&lt;=TODAY()+90,"90 gün içinde","İleride"))))</f>
        <v/>
      </c>
      <c r="G362" s="64">
        <f>IF(A362="","",Firmalar!$H$23)</f>
        <v/>
      </c>
    </row>
    <row r="363" ht="18" customHeight="1">
      <c r="A363" s="61">
        <f>IF(Firmalar!$B$23="","",Firmalar!$B$23)</f>
        <v/>
      </c>
      <c r="B363" s="61">
        <f>IF(Firmalar!$B$23="","",Firmalar!$I$23)</f>
        <v/>
      </c>
      <c r="C363" s="61" t="inlineStr">
        <is>
          <t>Resmî yazı cevabı</t>
        </is>
      </c>
      <c r="D363" s="62">
        <f>IF(Firmalar!$B$23="","",Firmalar!$GE$23)</f>
        <v/>
      </c>
      <c r="E363" s="63">
        <f>IF(OR(A363="",D363=""),"",D363-TODAY())</f>
        <v/>
      </c>
      <c r="F363" s="64">
        <f>IF(OR(A363="",D363=""),"",IF(D363&lt;TODAY(),"Süresi geçti",IF(D363&lt;=TODAY()+30,"30 gün içinde",IF(D363&lt;=TODAY()+90,"90 gün içinde","İleride"))))</f>
        <v/>
      </c>
      <c r="G363" s="64">
        <f>IF(A363="","",Firmalar!$H$23)</f>
        <v/>
      </c>
    </row>
    <row r="364" ht="18" customHeight="1">
      <c r="A364" s="61">
        <f>IF(Firmalar!$B$23="","",Firmalar!$B$23)</f>
        <v/>
      </c>
      <c r="B364" s="61">
        <f>IF(Firmalar!$B$23="","",Firmalar!$I$23)</f>
        <v/>
      </c>
      <c r="C364" s="61" t="inlineStr">
        <is>
          <t>Uygunsuzluk kapanışı</t>
        </is>
      </c>
      <c r="D364" s="62">
        <f>IF(Firmalar!$B$23="","",Firmalar!$GF$23)</f>
        <v/>
      </c>
      <c r="E364" s="63">
        <f>IF(OR(A364="",D364=""),"",D364-TODAY())</f>
        <v/>
      </c>
      <c r="F364" s="64">
        <f>IF(OR(A364="",D364=""),"",IF(D364&lt;TODAY(),"Süresi geçti",IF(D364&lt;=TODAY()+30,"30 gün içinde",IF(D364&lt;=TODAY()+90,"90 gün içinde","İleride"))))</f>
        <v/>
      </c>
      <c r="G364" s="64">
        <f>IF(A364="","",Firmalar!$H$23)</f>
        <v/>
      </c>
    </row>
    <row r="365" ht="18" customHeight="1">
      <c r="A365" s="61">
        <f>IF(Firmalar!$B$23="","",Firmalar!$B$23)</f>
        <v/>
      </c>
      <c r="B365" s="61">
        <f>IF(Firmalar!$B$23="","",Firmalar!$I$23)</f>
        <v/>
      </c>
      <c r="C365" s="61" t="inlineStr">
        <is>
          <t>Öncelikli işlem</t>
        </is>
      </c>
      <c r="D365" s="62">
        <f>IF(Firmalar!$B$23="","",Firmalar!$GG$23)</f>
        <v/>
      </c>
      <c r="E365" s="63">
        <f>IF(OR(A365="",D365=""),"",D365-TODAY())</f>
        <v/>
      </c>
      <c r="F365" s="64">
        <f>IF(OR(A365="",D365=""),"",IF(D365&lt;TODAY(),"Süresi geçti",IF(D365&lt;=TODAY()+30,"30 gün içinde",IF(D365&lt;=TODAY()+90,"90 gün içinde","İleride"))))</f>
        <v/>
      </c>
      <c r="G365" s="64">
        <f>IF(A365="","",Firmalar!$H$23)</f>
        <v/>
      </c>
    </row>
    <row r="366" ht="18" customHeight="1">
      <c r="A366" s="61">
        <f>IF(Firmalar!$B$24="","",Firmalar!$B$24)</f>
        <v/>
      </c>
      <c r="B366" s="61">
        <f>IF(Firmalar!$B$24="","",Firmalar!$I$24)</f>
        <v/>
      </c>
      <c r="C366" s="61" t="inlineStr">
        <is>
          <t>Çevre izni bitiş</t>
        </is>
      </c>
      <c r="D366" s="62">
        <f>IF(Firmalar!$B$24="","",Firmalar!$FO$24)</f>
        <v/>
      </c>
      <c r="E366" s="63">
        <f>IF(OR(A366="",D366=""),"",D366-TODAY())</f>
        <v/>
      </c>
      <c r="F366" s="64">
        <f>IF(OR(A366="",D366=""),"",IF(D366&lt;TODAY(),"Süresi geçti",IF(D366&lt;=TODAY()+30,"30 gün içinde",IF(D366&lt;=TODAY()+90,"90 gün içinde","İleride"))))</f>
        <v/>
      </c>
      <c r="G366" s="64">
        <f>IF(A366="","",Firmalar!$H$24)</f>
        <v/>
      </c>
    </row>
    <row r="367" ht="18" customHeight="1">
      <c r="A367" s="61">
        <f>IF(Firmalar!$B$24="","",Firmalar!$B$24)</f>
        <v/>
      </c>
      <c r="B367" s="61">
        <f>IF(Firmalar!$B$24="","",Firmalar!$I$24)</f>
        <v/>
      </c>
      <c r="C367" s="61" t="inlineStr">
        <is>
          <t>Çevre izni başvurusu</t>
        </is>
      </c>
      <c r="D367" s="62">
        <f>IF(Firmalar!$B$24="","",Firmalar!$FP$24)</f>
        <v/>
      </c>
      <c r="E367" s="63">
        <f>IF(OR(A367="",D367=""),"",D367-TODAY())</f>
        <v/>
      </c>
      <c r="F367" s="64">
        <f>IF(OR(A367="",D367=""),"",IF(D367&lt;TODAY(),"Süresi geçti",IF(D367&lt;=TODAY()+30,"30 gün içinde",IF(D367&lt;=TODAY()+90,"90 gün içinde","İleride"))))</f>
        <v/>
      </c>
      <c r="G367" s="64">
        <f>IF(A367="","",Firmalar!$H$24)</f>
        <v/>
      </c>
    </row>
    <row r="368" ht="18" customHeight="1">
      <c r="A368" s="61">
        <f>IF(Firmalar!$B$24="","",Firmalar!$B$24)</f>
        <v/>
      </c>
      <c r="B368" s="61">
        <f>IF(Firmalar!$B$24="","",Firmalar!$I$24)</f>
        <v/>
      </c>
      <c r="C368" s="61" t="inlineStr">
        <is>
          <t>GFB bitiş</t>
        </is>
      </c>
      <c r="D368" s="62">
        <f>IF(Firmalar!$B$24="","",Firmalar!$FQ$24)</f>
        <v/>
      </c>
      <c r="E368" s="63">
        <f>IF(OR(A368="",D368=""),"",D368-TODAY())</f>
        <v/>
      </c>
      <c r="F368" s="64">
        <f>IF(OR(A368="",D368=""),"",IF(D368&lt;TODAY(),"Süresi geçti",IF(D368&lt;=TODAY()+30,"30 gün içinde",IF(D368&lt;=TODAY()+90,"90 gün içinde","İleride"))))</f>
        <v/>
      </c>
      <c r="G368" s="64">
        <f>IF(A368="","",Firmalar!$H$24)</f>
        <v/>
      </c>
    </row>
    <row r="369" ht="18" customHeight="1">
      <c r="A369" s="61">
        <f>IF(Firmalar!$B$24="","",Firmalar!$B$24)</f>
        <v/>
      </c>
      <c r="B369" s="61">
        <f>IF(Firmalar!$B$24="","",Firmalar!$I$24)</f>
        <v/>
      </c>
      <c r="C369" s="61" t="inlineStr">
        <is>
          <t>Sözleşme bitiş</t>
        </is>
      </c>
      <c r="D369" s="62">
        <f>IF(Firmalar!$B$24="","",Firmalar!$FR$24)</f>
        <v/>
      </c>
      <c r="E369" s="63">
        <f>IF(OR(A369="",D369=""),"",D369-TODAY())</f>
        <v/>
      </c>
      <c r="F369" s="64">
        <f>IF(OR(A369="",D369=""),"",IF(D369&lt;TODAY(),"Süresi geçti",IF(D369&lt;=TODAY()+30,"30 gün içinde",IF(D369&lt;=TODAY()+90,"90 gün içinde","İleride"))))</f>
        <v/>
      </c>
      <c r="G369" s="64">
        <f>IF(A369="","",Firmalar!$H$24)</f>
        <v/>
      </c>
    </row>
    <row r="370" ht="18" customHeight="1">
      <c r="A370" s="61">
        <f>IF(Firmalar!$B$24="","",Firmalar!$B$24)</f>
        <v/>
      </c>
      <c r="B370" s="61">
        <f>IF(Firmalar!$B$24="","",Firmalar!$I$24)</f>
        <v/>
      </c>
      <c r="C370" s="61" t="inlineStr">
        <is>
          <t>Sıfır Atık bitiş</t>
        </is>
      </c>
      <c r="D370" s="62">
        <f>IF(Firmalar!$B$24="","",Firmalar!$FS$24)</f>
        <v/>
      </c>
      <c r="E370" s="63">
        <f>IF(OR(A370="",D370=""),"",D370-TODAY())</f>
        <v/>
      </c>
      <c r="F370" s="64">
        <f>IF(OR(A370="",D370=""),"",IF(D370&lt;TODAY(),"Süresi geçti",IF(D370&lt;=TODAY()+30,"30 gün içinde",IF(D370&lt;=TODAY()+90,"90 gün içinde","İleride"))))</f>
        <v/>
      </c>
      <c r="G370" s="64">
        <f>IF(A370="","",Firmalar!$H$24)</f>
        <v/>
      </c>
    </row>
    <row r="371" ht="18" customHeight="1">
      <c r="A371" s="61">
        <f>IF(Firmalar!$B$24="","",Firmalar!$B$24)</f>
        <v/>
      </c>
      <c r="B371" s="61">
        <f>IF(Firmalar!$B$24="","",Firmalar!$I$24)</f>
        <v/>
      </c>
      <c r="C371" s="61" t="inlineStr">
        <is>
          <t>Atık planı bitiş</t>
        </is>
      </c>
      <c r="D371" s="62">
        <f>IF(Firmalar!$B$24="","",Firmalar!$FT$24)</f>
        <v/>
      </c>
      <c r="E371" s="63">
        <f>IF(OR(A371="",D371=""),"",D371-TODAY())</f>
        <v/>
      </c>
      <c r="F371" s="64">
        <f>IF(OR(A371="",D371=""),"",IF(D371&lt;TODAY(),"Süresi geçti",IF(D371&lt;=TODAY()+30,"30 gün içinde",IF(D371&lt;=TODAY()+90,"90 gün içinde","İleride"))))</f>
        <v/>
      </c>
      <c r="G371" s="64">
        <f>IF(A371="","",Firmalar!$H$24)</f>
        <v/>
      </c>
    </row>
    <row r="372" ht="18" customHeight="1">
      <c r="A372" s="61">
        <f>IF(Firmalar!$B$24="","",Firmalar!$B$24)</f>
        <v/>
      </c>
      <c r="B372" s="61">
        <f>IF(Firmalar!$B$24="","",Firmalar!$I$24)</f>
        <v/>
      </c>
      <c r="C372" s="61" t="inlineStr">
        <is>
          <t>Emisyon teyidi</t>
        </is>
      </c>
      <c r="D372" s="62">
        <f>IF(Firmalar!$B$24="","",Firmalar!$FU$24)</f>
        <v/>
      </c>
      <c r="E372" s="63">
        <f>IF(OR(A372="",D372=""),"",D372-TODAY())</f>
        <v/>
      </c>
      <c r="F372" s="64">
        <f>IF(OR(A372="",D372=""),"",IF(D372&lt;TODAY(),"Süresi geçti",IF(D372&lt;=TODAY()+30,"30 gün içinde",IF(D372&lt;=TODAY()+90,"90 gün içinde","İleride"))))</f>
        <v/>
      </c>
      <c r="G372" s="64">
        <f>IF(A372="","",Firmalar!$H$24)</f>
        <v/>
      </c>
    </row>
    <row r="373" ht="18" customHeight="1">
      <c r="A373" s="61">
        <f>IF(Firmalar!$B$24="","",Firmalar!$B$24)</f>
        <v/>
      </c>
      <c r="B373" s="61">
        <f>IF(Firmalar!$B$24="","",Firmalar!$I$24)</f>
        <v/>
      </c>
      <c r="C373" s="61" t="inlineStr">
        <is>
          <t>Emisyon ölçümü</t>
        </is>
      </c>
      <c r="D373" s="62">
        <f>IF(Firmalar!$B$24="","",Firmalar!$FV$24)</f>
        <v/>
      </c>
      <c r="E373" s="63">
        <f>IF(OR(A373="",D373=""),"",D373-TODAY())</f>
        <v/>
      </c>
      <c r="F373" s="64">
        <f>IF(OR(A373="",D373=""),"",IF(D373&lt;TODAY(),"Süresi geçti",IF(D373&lt;=TODAY()+30,"30 gün içinde",IF(D373&lt;=TODAY()+90,"90 gün içinde","İleride"))))</f>
        <v/>
      </c>
      <c r="G373" s="64">
        <f>IF(A373="","",Firmalar!$H$24)</f>
        <v/>
      </c>
    </row>
    <row r="374" ht="18" customHeight="1">
      <c r="A374" s="61">
        <f>IF(Firmalar!$B$24="","",Firmalar!$B$24)</f>
        <v/>
      </c>
      <c r="B374" s="61">
        <f>IF(Firmalar!$B$24="","",Firmalar!$I$24)</f>
        <v/>
      </c>
      <c r="C374" s="61" t="inlineStr">
        <is>
          <t>İç tetkik</t>
        </is>
      </c>
      <c r="D374" s="62">
        <f>IF(Firmalar!$B$24="","",Firmalar!$FW$24)</f>
        <v/>
      </c>
      <c r="E374" s="63">
        <f>IF(OR(A374="",D374=""),"",D374-TODAY())</f>
        <v/>
      </c>
      <c r="F374" s="64">
        <f>IF(OR(A374="",D374=""),"",IF(D374&lt;TODAY(),"Süresi geçti",IF(D374&lt;=TODAY()+30,"30 gün içinde",IF(D374&lt;=TODAY()+90,"90 gün içinde","İleride"))))</f>
        <v/>
      </c>
      <c r="G374" s="64">
        <f>IF(A374="","",Firmalar!$H$24)</f>
        <v/>
      </c>
    </row>
    <row r="375" ht="18" customHeight="1">
      <c r="A375" s="61">
        <f>IF(Firmalar!$B$24="","",Firmalar!$B$24)</f>
        <v/>
      </c>
      <c r="B375" s="61">
        <f>IF(Firmalar!$B$24="","",Firmalar!$I$24)</f>
        <v/>
      </c>
      <c r="C375" s="61" t="inlineStr">
        <is>
          <t>İç tetkik planı</t>
        </is>
      </c>
      <c r="D375" s="62">
        <f>IF(Firmalar!$B$24="","",Firmalar!$FX$24)</f>
        <v/>
      </c>
      <c r="E375" s="63">
        <f>IF(OR(A375="",D375=""),"",D375-TODAY())</f>
        <v/>
      </c>
      <c r="F375" s="64">
        <f>IF(OR(A375="",D375=""),"",IF(D375&lt;TODAY(),"Süresi geçti",IF(D375&lt;=TODAY()+30,"30 gün içinde",IF(D375&lt;=TODAY()+90,"90 gün içinde","İleride"))))</f>
        <v/>
      </c>
      <c r="G375" s="64">
        <f>IF(A375="","",Firmalar!$H$24)</f>
        <v/>
      </c>
    </row>
    <row r="376" ht="18" customHeight="1">
      <c r="A376" s="61">
        <f>IF(Firmalar!$B$24="","",Firmalar!$B$24)</f>
        <v/>
      </c>
      <c r="B376" s="61">
        <f>IF(Firmalar!$B$24="","",Firmalar!$I$24)</f>
        <v/>
      </c>
      <c r="C376" s="61" t="inlineStr">
        <is>
          <t>Çevre eğitimi</t>
        </is>
      </c>
      <c r="D376" s="62">
        <f>IF(Firmalar!$B$24="","",Firmalar!$FY$24)</f>
        <v/>
      </c>
      <c r="E376" s="63">
        <f>IF(OR(A376="",D376=""),"",D376-TODAY())</f>
        <v/>
      </c>
      <c r="F376" s="64">
        <f>IF(OR(A376="",D376=""),"",IF(D376&lt;TODAY(),"Süresi geçti",IF(D376&lt;=TODAY()+30,"30 gün içinde",IF(D376&lt;=TODAY()+90,"90 gün içinde","İleride"))))</f>
        <v/>
      </c>
      <c r="G376" s="64">
        <f>IF(A376="","",Firmalar!$H$24)</f>
        <v/>
      </c>
    </row>
    <row r="377" ht="18" customHeight="1">
      <c r="A377" s="61">
        <f>IF(Firmalar!$B$24="","",Firmalar!$B$24)</f>
        <v/>
      </c>
      <c r="B377" s="61">
        <f>IF(Firmalar!$B$24="","",Firmalar!$I$24)</f>
        <v/>
      </c>
      <c r="C377" s="61" t="inlineStr">
        <is>
          <t>Eğitim planı</t>
        </is>
      </c>
      <c r="D377" s="62">
        <f>IF(Firmalar!$B$24="","",Firmalar!$FZ$24)</f>
        <v/>
      </c>
      <c r="E377" s="63">
        <f>IF(OR(A377="",D377=""),"",D377-TODAY())</f>
        <v/>
      </c>
      <c r="F377" s="64">
        <f>IF(OR(A377="",D377=""),"",IF(D377&lt;TODAY(),"Süresi geçti",IF(D377&lt;=TODAY()+30,"30 gün içinde",IF(D377&lt;=TODAY()+90,"90 gün içinde","İleride"))))</f>
        <v/>
      </c>
      <c r="G377" s="64">
        <f>IF(A377="","",Firmalar!$H$24)</f>
        <v/>
      </c>
    </row>
    <row r="378" ht="18" customHeight="1">
      <c r="A378" s="61">
        <f>IF(Firmalar!$B$24="","",Firmalar!$B$24)</f>
        <v/>
      </c>
      <c r="B378" s="61">
        <f>IF(Firmalar!$B$24="","",Firmalar!$I$24)</f>
        <v/>
      </c>
      <c r="C378" s="61" t="inlineStr">
        <is>
          <t>Kanal belgesi bitiş</t>
        </is>
      </c>
      <c r="D378" s="62">
        <f>IF(Firmalar!$B$24="","",Firmalar!$GA$24)</f>
        <v/>
      </c>
      <c r="E378" s="63">
        <f>IF(OR(A378="",D378=""),"",D378-TODAY())</f>
        <v/>
      </c>
      <c r="F378" s="64">
        <f>IF(OR(A378="",D378=""),"",IF(D378&lt;TODAY(),"Süresi geçti",IF(D378&lt;=TODAY()+30,"30 gün içinde",IF(D378&lt;=TODAY()+90,"90 gün içinde","İleride"))))</f>
        <v/>
      </c>
      <c r="G378" s="64">
        <f>IF(A378="","",Firmalar!$H$24)</f>
        <v/>
      </c>
    </row>
    <row r="379" ht="18" customHeight="1">
      <c r="A379" s="61">
        <f>IF(Firmalar!$B$24="","",Firmalar!$B$24)</f>
        <v/>
      </c>
      <c r="B379" s="61">
        <f>IF(Firmalar!$B$24="","",Firmalar!$I$24)</f>
        <v/>
      </c>
      <c r="C379" s="61" t="inlineStr">
        <is>
          <t>Deşarj izni bitiş</t>
        </is>
      </c>
      <c r="D379" s="62">
        <f>IF(Firmalar!$B$24="","",Firmalar!$GB$24)</f>
        <v/>
      </c>
      <c r="E379" s="63">
        <f>IF(OR(A379="",D379=""),"",D379-TODAY())</f>
        <v/>
      </c>
      <c r="F379" s="64">
        <f>IF(OR(A379="",D379=""),"",IF(D379&lt;TODAY(),"Süresi geçti",IF(D379&lt;=TODAY()+30,"30 gün içinde",IF(D379&lt;=TODAY()+90,"90 gün içinde","İleride"))))</f>
        <v/>
      </c>
      <c r="G379" s="64">
        <f>IF(A379="","",Firmalar!$H$24)</f>
        <v/>
      </c>
    </row>
    <row r="380" ht="18" customHeight="1">
      <c r="A380" s="61">
        <f>IF(Firmalar!$B$24="","",Firmalar!$B$24)</f>
        <v/>
      </c>
      <c r="B380" s="61">
        <f>IF(Firmalar!$B$24="","",Firmalar!$I$24)</f>
        <v/>
      </c>
      <c r="C380" s="61" t="inlineStr">
        <is>
          <t>Atıksu analizi</t>
        </is>
      </c>
      <c r="D380" s="62">
        <f>IF(Firmalar!$B$24="","",Firmalar!$GC$24)</f>
        <v/>
      </c>
      <c r="E380" s="63">
        <f>IF(OR(A380="",D380=""),"",D380-TODAY())</f>
        <v/>
      </c>
      <c r="F380" s="64">
        <f>IF(OR(A380="",D380=""),"",IF(D380&lt;TODAY(),"Süresi geçti",IF(D380&lt;=TODAY()+30,"30 gün içinde",IF(D380&lt;=TODAY()+90,"90 gün içinde","İleride"))))</f>
        <v/>
      </c>
      <c r="G380" s="64">
        <f>IF(A380="","",Firmalar!$H$24)</f>
        <v/>
      </c>
    </row>
    <row r="381" ht="18" customHeight="1">
      <c r="A381" s="61">
        <f>IF(Firmalar!$B$24="","",Firmalar!$B$24)</f>
        <v/>
      </c>
      <c r="B381" s="61">
        <f>IF(Firmalar!$B$24="","",Firmalar!$I$24)</f>
        <v/>
      </c>
      <c r="C381" s="61" t="inlineStr">
        <is>
          <t>Saha ziyareti</t>
        </is>
      </c>
      <c r="D381" s="62">
        <f>IF(Firmalar!$B$24="","",Firmalar!$GD$24)</f>
        <v/>
      </c>
      <c r="E381" s="63">
        <f>IF(OR(A381="",D381=""),"",D381-TODAY())</f>
        <v/>
      </c>
      <c r="F381" s="64">
        <f>IF(OR(A381="",D381=""),"",IF(D381&lt;TODAY(),"Süresi geçti",IF(D381&lt;=TODAY()+30,"30 gün içinde",IF(D381&lt;=TODAY()+90,"90 gün içinde","İleride"))))</f>
        <v/>
      </c>
      <c r="G381" s="64">
        <f>IF(A381="","",Firmalar!$H$24)</f>
        <v/>
      </c>
    </row>
    <row r="382" ht="18" customHeight="1">
      <c r="A382" s="61">
        <f>IF(Firmalar!$B$24="","",Firmalar!$B$24)</f>
        <v/>
      </c>
      <c r="B382" s="61">
        <f>IF(Firmalar!$B$24="","",Firmalar!$I$24)</f>
        <v/>
      </c>
      <c r="C382" s="61" t="inlineStr">
        <is>
          <t>Resmî yazı cevabı</t>
        </is>
      </c>
      <c r="D382" s="62">
        <f>IF(Firmalar!$B$24="","",Firmalar!$GE$24)</f>
        <v/>
      </c>
      <c r="E382" s="63">
        <f>IF(OR(A382="",D382=""),"",D382-TODAY())</f>
        <v/>
      </c>
      <c r="F382" s="64">
        <f>IF(OR(A382="",D382=""),"",IF(D382&lt;TODAY(),"Süresi geçti",IF(D382&lt;=TODAY()+30,"30 gün içinde",IF(D382&lt;=TODAY()+90,"90 gün içinde","İleride"))))</f>
        <v/>
      </c>
      <c r="G382" s="64">
        <f>IF(A382="","",Firmalar!$H$24)</f>
        <v/>
      </c>
    </row>
    <row r="383" ht="18" customHeight="1">
      <c r="A383" s="61">
        <f>IF(Firmalar!$B$24="","",Firmalar!$B$24)</f>
        <v/>
      </c>
      <c r="B383" s="61">
        <f>IF(Firmalar!$B$24="","",Firmalar!$I$24)</f>
        <v/>
      </c>
      <c r="C383" s="61" t="inlineStr">
        <is>
          <t>Uygunsuzluk kapanışı</t>
        </is>
      </c>
      <c r="D383" s="62">
        <f>IF(Firmalar!$B$24="","",Firmalar!$GF$24)</f>
        <v/>
      </c>
      <c r="E383" s="63">
        <f>IF(OR(A383="",D383=""),"",D383-TODAY())</f>
        <v/>
      </c>
      <c r="F383" s="64">
        <f>IF(OR(A383="",D383=""),"",IF(D383&lt;TODAY(),"Süresi geçti",IF(D383&lt;=TODAY()+30,"30 gün içinde",IF(D383&lt;=TODAY()+90,"90 gün içinde","İleride"))))</f>
        <v/>
      </c>
      <c r="G383" s="64">
        <f>IF(A383="","",Firmalar!$H$24)</f>
        <v/>
      </c>
    </row>
    <row r="384" ht="18" customHeight="1">
      <c r="A384" s="61">
        <f>IF(Firmalar!$B$24="","",Firmalar!$B$24)</f>
        <v/>
      </c>
      <c r="B384" s="61">
        <f>IF(Firmalar!$B$24="","",Firmalar!$I$24)</f>
        <v/>
      </c>
      <c r="C384" s="61" t="inlineStr">
        <is>
          <t>Öncelikli işlem</t>
        </is>
      </c>
      <c r="D384" s="62">
        <f>IF(Firmalar!$B$24="","",Firmalar!$GG$24)</f>
        <v/>
      </c>
      <c r="E384" s="63">
        <f>IF(OR(A384="",D384=""),"",D384-TODAY())</f>
        <v/>
      </c>
      <c r="F384" s="64">
        <f>IF(OR(A384="",D384=""),"",IF(D384&lt;TODAY(),"Süresi geçti",IF(D384&lt;=TODAY()+30,"30 gün içinde",IF(D384&lt;=TODAY()+90,"90 gün içinde","İleride"))))</f>
        <v/>
      </c>
      <c r="G384" s="64">
        <f>IF(A384="","",Firmalar!$H$24)</f>
        <v/>
      </c>
    </row>
    <row r="385" ht="18" customHeight="1">
      <c r="A385" s="61">
        <f>IF(Firmalar!$B$25="","",Firmalar!$B$25)</f>
        <v/>
      </c>
      <c r="B385" s="61">
        <f>IF(Firmalar!$B$25="","",Firmalar!$I$25)</f>
        <v/>
      </c>
      <c r="C385" s="61" t="inlineStr">
        <is>
          <t>Çevre izni bitiş</t>
        </is>
      </c>
      <c r="D385" s="62">
        <f>IF(Firmalar!$B$25="","",Firmalar!$FO$25)</f>
        <v/>
      </c>
      <c r="E385" s="63">
        <f>IF(OR(A385="",D385=""),"",D385-TODAY())</f>
        <v/>
      </c>
      <c r="F385" s="64">
        <f>IF(OR(A385="",D385=""),"",IF(D385&lt;TODAY(),"Süresi geçti",IF(D385&lt;=TODAY()+30,"30 gün içinde",IF(D385&lt;=TODAY()+90,"90 gün içinde","İleride"))))</f>
        <v/>
      </c>
      <c r="G385" s="64">
        <f>IF(A385="","",Firmalar!$H$25)</f>
        <v/>
      </c>
    </row>
    <row r="386" ht="18" customHeight="1">
      <c r="A386" s="61">
        <f>IF(Firmalar!$B$25="","",Firmalar!$B$25)</f>
        <v/>
      </c>
      <c r="B386" s="61">
        <f>IF(Firmalar!$B$25="","",Firmalar!$I$25)</f>
        <v/>
      </c>
      <c r="C386" s="61" t="inlineStr">
        <is>
          <t>Çevre izni başvurusu</t>
        </is>
      </c>
      <c r="D386" s="62">
        <f>IF(Firmalar!$B$25="","",Firmalar!$FP$25)</f>
        <v/>
      </c>
      <c r="E386" s="63">
        <f>IF(OR(A386="",D386=""),"",D386-TODAY())</f>
        <v/>
      </c>
      <c r="F386" s="64">
        <f>IF(OR(A386="",D386=""),"",IF(D386&lt;TODAY(),"Süresi geçti",IF(D386&lt;=TODAY()+30,"30 gün içinde",IF(D386&lt;=TODAY()+90,"90 gün içinde","İleride"))))</f>
        <v/>
      </c>
      <c r="G386" s="64">
        <f>IF(A386="","",Firmalar!$H$25)</f>
        <v/>
      </c>
    </row>
    <row r="387" ht="18" customHeight="1">
      <c r="A387" s="61">
        <f>IF(Firmalar!$B$25="","",Firmalar!$B$25)</f>
        <v/>
      </c>
      <c r="B387" s="61">
        <f>IF(Firmalar!$B$25="","",Firmalar!$I$25)</f>
        <v/>
      </c>
      <c r="C387" s="61" t="inlineStr">
        <is>
          <t>GFB bitiş</t>
        </is>
      </c>
      <c r="D387" s="62">
        <f>IF(Firmalar!$B$25="","",Firmalar!$FQ$25)</f>
        <v/>
      </c>
      <c r="E387" s="63">
        <f>IF(OR(A387="",D387=""),"",D387-TODAY())</f>
        <v/>
      </c>
      <c r="F387" s="64">
        <f>IF(OR(A387="",D387=""),"",IF(D387&lt;TODAY(),"Süresi geçti",IF(D387&lt;=TODAY()+30,"30 gün içinde",IF(D387&lt;=TODAY()+90,"90 gün içinde","İleride"))))</f>
        <v/>
      </c>
      <c r="G387" s="64">
        <f>IF(A387="","",Firmalar!$H$25)</f>
        <v/>
      </c>
    </row>
    <row r="388" ht="18" customHeight="1">
      <c r="A388" s="61">
        <f>IF(Firmalar!$B$25="","",Firmalar!$B$25)</f>
        <v/>
      </c>
      <c r="B388" s="61">
        <f>IF(Firmalar!$B$25="","",Firmalar!$I$25)</f>
        <v/>
      </c>
      <c r="C388" s="61" t="inlineStr">
        <is>
          <t>Sözleşme bitiş</t>
        </is>
      </c>
      <c r="D388" s="62">
        <f>IF(Firmalar!$B$25="","",Firmalar!$FR$25)</f>
        <v/>
      </c>
      <c r="E388" s="63">
        <f>IF(OR(A388="",D388=""),"",D388-TODAY())</f>
        <v/>
      </c>
      <c r="F388" s="64">
        <f>IF(OR(A388="",D388=""),"",IF(D388&lt;TODAY(),"Süresi geçti",IF(D388&lt;=TODAY()+30,"30 gün içinde",IF(D388&lt;=TODAY()+90,"90 gün içinde","İleride"))))</f>
        <v/>
      </c>
      <c r="G388" s="64">
        <f>IF(A388="","",Firmalar!$H$25)</f>
        <v/>
      </c>
    </row>
    <row r="389" ht="18" customHeight="1">
      <c r="A389" s="61">
        <f>IF(Firmalar!$B$25="","",Firmalar!$B$25)</f>
        <v/>
      </c>
      <c r="B389" s="61">
        <f>IF(Firmalar!$B$25="","",Firmalar!$I$25)</f>
        <v/>
      </c>
      <c r="C389" s="61" t="inlineStr">
        <is>
          <t>Sıfır Atık bitiş</t>
        </is>
      </c>
      <c r="D389" s="62">
        <f>IF(Firmalar!$B$25="","",Firmalar!$FS$25)</f>
        <v/>
      </c>
      <c r="E389" s="63">
        <f>IF(OR(A389="",D389=""),"",D389-TODAY())</f>
        <v/>
      </c>
      <c r="F389" s="64">
        <f>IF(OR(A389="",D389=""),"",IF(D389&lt;TODAY(),"Süresi geçti",IF(D389&lt;=TODAY()+30,"30 gün içinde",IF(D389&lt;=TODAY()+90,"90 gün içinde","İleride"))))</f>
        <v/>
      </c>
      <c r="G389" s="64">
        <f>IF(A389="","",Firmalar!$H$25)</f>
        <v/>
      </c>
    </row>
    <row r="390" ht="18" customHeight="1">
      <c r="A390" s="61">
        <f>IF(Firmalar!$B$25="","",Firmalar!$B$25)</f>
        <v/>
      </c>
      <c r="B390" s="61">
        <f>IF(Firmalar!$B$25="","",Firmalar!$I$25)</f>
        <v/>
      </c>
      <c r="C390" s="61" t="inlineStr">
        <is>
          <t>Atık planı bitiş</t>
        </is>
      </c>
      <c r="D390" s="62">
        <f>IF(Firmalar!$B$25="","",Firmalar!$FT$25)</f>
        <v/>
      </c>
      <c r="E390" s="63">
        <f>IF(OR(A390="",D390=""),"",D390-TODAY())</f>
        <v/>
      </c>
      <c r="F390" s="64">
        <f>IF(OR(A390="",D390=""),"",IF(D390&lt;TODAY(),"Süresi geçti",IF(D390&lt;=TODAY()+30,"30 gün içinde",IF(D390&lt;=TODAY()+90,"90 gün içinde","İleride"))))</f>
        <v/>
      </c>
      <c r="G390" s="64">
        <f>IF(A390="","",Firmalar!$H$25)</f>
        <v/>
      </c>
    </row>
    <row r="391" ht="18" customHeight="1">
      <c r="A391" s="61">
        <f>IF(Firmalar!$B$25="","",Firmalar!$B$25)</f>
        <v/>
      </c>
      <c r="B391" s="61">
        <f>IF(Firmalar!$B$25="","",Firmalar!$I$25)</f>
        <v/>
      </c>
      <c r="C391" s="61" t="inlineStr">
        <is>
          <t>Emisyon teyidi</t>
        </is>
      </c>
      <c r="D391" s="62">
        <f>IF(Firmalar!$B$25="","",Firmalar!$FU$25)</f>
        <v/>
      </c>
      <c r="E391" s="63">
        <f>IF(OR(A391="",D391=""),"",D391-TODAY())</f>
        <v/>
      </c>
      <c r="F391" s="64">
        <f>IF(OR(A391="",D391=""),"",IF(D391&lt;TODAY(),"Süresi geçti",IF(D391&lt;=TODAY()+30,"30 gün içinde",IF(D391&lt;=TODAY()+90,"90 gün içinde","İleride"))))</f>
        <v/>
      </c>
      <c r="G391" s="64">
        <f>IF(A391="","",Firmalar!$H$25)</f>
        <v/>
      </c>
    </row>
    <row r="392" ht="18" customHeight="1">
      <c r="A392" s="61">
        <f>IF(Firmalar!$B$25="","",Firmalar!$B$25)</f>
        <v/>
      </c>
      <c r="B392" s="61">
        <f>IF(Firmalar!$B$25="","",Firmalar!$I$25)</f>
        <v/>
      </c>
      <c r="C392" s="61" t="inlineStr">
        <is>
          <t>Emisyon ölçümü</t>
        </is>
      </c>
      <c r="D392" s="62">
        <f>IF(Firmalar!$B$25="","",Firmalar!$FV$25)</f>
        <v/>
      </c>
      <c r="E392" s="63">
        <f>IF(OR(A392="",D392=""),"",D392-TODAY())</f>
        <v/>
      </c>
      <c r="F392" s="64">
        <f>IF(OR(A392="",D392=""),"",IF(D392&lt;TODAY(),"Süresi geçti",IF(D392&lt;=TODAY()+30,"30 gün içinde",IF(D392&lt;=TODAY()+90,"90 gün içinde","İleride"))))</f>
        <v/>
      </c>
      <c r="G392" s="64">
        <f>IF(A392="","",Firmalar!$H$25)</f>
        <v/>
      </c>
    </row>
    <row r="393" ht="18" customHeight="1">
      <c r="A393" s="61">
        <f>IF(Firmalar!$B$25="","",Firmalar!$B$25)</f>
        <v/>
      </c>
      <c r="B393" s="61">
        <f>IF(Firmalar!$B$25="","",Firmalar!$I$25)</f>
        <v/>
      </c>
      <c r="C393" s="61" t="inlineStr">
        <is>
          <t>İç tetkik</t>
        </is>
      </c>
      <c r="D393" s="62">
        <f>IF(Firmalar!$B$25="","",Firmalar!$FW$25)</f>
        <v/>
      </c>
      <c r="E393" s="63">
        <f>IF(OR(A393="",D393=""),"",D393-TODAY())</f>
        <v/>
      </c>
      <c r="F393" s="64">
        <f>IF(OR(A393="",D393=""),"",IF(D393&lt;TODAY(),"Süresi geçti",IF(D393&lt;=TODAY()+30,"30 gün içinde",IF(D393&lt;=TODAY()+90,"90 gün içinde","İleride"))))</f>
        <v/>
      </c>
      <c r="G393" s="64">
        <f>IF(A393="","",Firmalar!$H$25)</f>
        <v/>
      </c>
    </row>
    <row r="394" ht="18" customHeight="1">
      <c r="A394" s="61">
        <f>IF(Firmalar!$B$25="","",Firmalar!$B$25)</f>
        <v/>
      </c>
      <c r="B394" s="61">
        <f>IF(Firmalar!$B$25="","",Firmalar!$I$25)</f>
        <v/>
      </c>
      <c r="C394" s="61" t="inlineStr">
        <is>
          <t>İç tetkik planı</t>
        </is>
      </c>
      <c r="D394" s="62">
        <f>IF(Firmalar!$B$25="","",Firmalar!$FX$25)</f>
        <v/>
      </c>
      <c r="E394" s="63">
        <f>IF(OR(A394="",D394=""),"",D394-TODAY())</f>
        <v/>
      </c>
      <c r="F394" s="64">
        <f>IF(OR(A394="",D394=""),"",IF(D394&lt;TODAY(),"Süresi geçti",IF(D394&lt;=TODAY()+30,"30 gün içinde",IF(D394&lt;=TODAY()+90,"90 gün içinde","İleride"))))</f>
        <v/>
      </c>
      <c r="G394" s="64">
        <f>IF(A394="","",Firmalar!$H$25)</f>
        <v/>
      </c>
    </row>
    <row r="395" ht="18" customHeight="1">
      <c r="A395" s="61">
        <f>IF(Firmalar!$B$25="","",Firmalar!$B$25)</f>
        <v/>
      </c>
      <c r="B395" s="61">
        <f>IF(Firmalar!$B$25="","",Firmalar!$I$25)</f>
        <v/>
      </c>
      <c r="C395" s="61" t="inlineStr">
        <is>
          <t>Çevre eğitimi</t>
        </is>
      </c>
      <c r="D395" s="62">
        <f>IF(Firmalar!$B$25="","",Firmalar!$FY$25)</f>
        <v/>
      </c>
      <c r="E395" s="63">
        <f>IF(OR(A395="",D395=""),"",D395-TODAY())</f>
        <v/>
      </c>
      <c r="F395" s="64">
        <f>IF(OR(A395="",D395=""),"",IF(D395&lt;TODAY(),"Süresi geçti",IF(D395&lt;=TODAY()+30,"30 gün içinde",IF(D395&lt;=TODAY()+90,"90 gün içinde","İleride"))))</f>
        <v/>
      </c>
      <c r="G395" s="64">
        <f>IF(A395="","",Firmalar!$H$25)</f>
        <v/>
      </c>
    </row>
    <row r="396" ht="18" customHeight="1">
      <c r="A396" s="61">
        <f>IF(Firmalar!$B$25="","",Firmalar!$B$25)</f>
        <v/>
      </c>
      <c r="B396" s="61">
        <f>IF(Firmalar!$B$25="","",Firmalar!$I$25)</f>
        <v/>
      </c>
      <c r="C396" s="61" t="inlineStr">
        <is>
          <t>Eğitim planı</t>
        </is>
      </c>
      <c r="D396" s="62">
        <f>IF(Firmalar!$B$25="","",Firmalar!$FZ$25)</f>
        <v/>
      </c>
      <c r="E396" s="63">
        <f>IF(OR(A396="",D396=""),"",D396-TODAY())</f>
        <v/>
      </c>
      <c r="F396" s="64">
        <f>IF(OR(A396="",D396=""),"",IF(D396&lt;TODAY(),"Süresi geçti",IF(D396&lt;=TODAY()+30,"30 gün içinde",IF(D396&lt;=TODAY()+90,"90 gün içinde","İleride"))))</f>
        <v/>
      </c>
      <c r="G396" s="64">
        <f>IF(A396="","",Firmalar!$H$25)</f>
        <v/>
      </c>
    </row>
    <row r="397" ht="18" customHeight="1">
      <c r="A397" s="61">
        <f>IF(Firmalar!$B$25="","",Firmalar!$B$25)</f>
        <v/>
      </c>
      <c r="B397" s="61">
        <f>IF(Firmalar!$B$25="","",Firmalar!$I$25)</f>
        <v/>
      </c>
      <c r="C397" s="61" t="inlineStr">
        <is>
          <t>Kanal belgesi bitiş</t>
        </is>
      </c>
      <c r="D397" s="62">
        <f>IF(Firmalar!$B$25="","",Firmalar!$GA$25)</f>
        <v/>
      </c>
      <c r="E397" s="63">
        <f>IF(OR(A397="",D397=""),"",D397-TODAY())</f>
        <v/>
      </c>
      <c r="F397" s="64">
        <f>IF(OR(A397="",D397=""),"",IF(D397&lt;TODAY(),"Süresi geçti",IF(D397&lt;=TODAY()+30,"30 gün içinde",IF(D397&lt;=TODAY()+90,"90 gün içinde","İleride"))))</f>
        <v/>
      </c>
      <c r="G397" s="64">
        <f>IF(A397="","",Firmalar!$H$25)</f>
        <v/>
      </c>
    </row>
    <row r="398" ht="18" customHeight="1">
      <c r="A398" s="61">
        <f>IF(Firmalar!$B$25="","",Firmalar!$B$25)</f>
        <v/>
      </c>
      <c r="B398" s="61">
        <f>IF(Firmalar!$B$25="","",Firmalar!$I$25)</f>
        <v/>
      </c>
      <c r="C398" s="61" t="inlineStr">
        <is>
          <t>Deşarj izni bitiş</t>
        </is>
      </c>
      <c r="D398" s="62">
        <f>IF(Firmalar!$B$25="","",Firmalar!$GB$25)</f>
        <v/>
      </c>
      <c r="E398" s="63">
        <f>IF(OR(A398="",D398=""),"",D398-TODAY())</f>
        <v/>
      </c>
      <c r="F398" s="64">
        <f>IF(OR(A398="",D398=""),"",IF(D398&lt;TODAY(),"Süresi geçti",IF(D398&lt;=TODAY()+30,"30 gün içinde",IF(D398&lt;=TODAY()+90,"90 gün içinde","İleride"))))</f>
        <v/>
      </c>
      <c r="G398" s="64">
        <f>IF(A398="","",Firmalar!$H$25)</f>
        <v/>
      </c>
    </row>
    <row r="399" ht="18" customHeight="1">
      <c r="A399" s="61">
        <f>IF(Firmalar!$B$25="","",Firmalar!$B$25)</f>
        <v/>
      </c>
      <c r="B399" s="61">
        <f>IF(Firmalar!$B$25="","",Firmalar!$I$25)</f>
        <v/>
      </c>
      <c r="C399" s="61" t="inlineStr">
        <is>
          <t>Atıksu analizi</t>
        </is>
      </c>
      <c r="D399" s="62">
        <f>IF(Firmalar!$B$25="","",Firmalar!$GC$25)</f>
        <v/>
      </c>
      <c r="E399" s="63">
        <f>IF(OR(A399="",D399=""),"",D399-TODAY())</f>
        <v/>
      </c>
      <c r="F399" s="64">
        <f>IF(OR(A399="",D399=""),"",IF(D399&lt;TODAY(),"Süresi geçti",IF(D399&lt;=TODAY()+30,"30 gün içinde",IF(D399&lt;=TODAY()+90,"90 gün içinde","İleride"))))</f>
        <v/>
      </c>
      <c r="G399" s="64">
        <f>IF(A399="","",Firmalar!$H$25)</f>
        <v/>
      </c>
    </row>
    <row r="400" ht="18" customHeight="1">
      <c r="A400" s="61">
        <f>IF(Firmalar!$B$25="","",Firmalar!$B$25)</f>
        <v/>
      </c>
      <c r="B400" s="61">
        <f>IF(Firmalar!$B$25="","",Firmalar!$I$25)</f>
        <v/>
      </c>
      <c r="C400" s="61" t="inlineStr">
        <is>
          <t>Saha ziyareti</t>
        </is>
      </c>
      <c r="D400" s="62">
        <f>IF(Firmalar!$B$25="","",Firmalar!$GD$25)</f>
        <v/>
      </c>
      <c r="E400" s="63">
        <f>IF(OR(A400="",D400=""),"",D400-TODAY())</f>
        <v/>
      </c>
      <c r="F400" s="64">
        <f>IF(OR(A400="",D400=""),"",IF(D400&lt;TODAY(),"Süresi geçti",IF(D400&lt;=TODAY()+30,"30 gün içinde",IF(D400&lt;=TODAY()+90,"90 gün içinde","İleride"))))</f>
        <v/>
      </c>
      <c r="G400" s="64">
        <f>IF(A400="","",Firmalar!$H$25)</f>
        <v/>
      </c>
    </row>
    <row r="401" ht="18" customHeight="1">
      <c r="A401" s="61">
        <f>IF(Firmalar!$B$25="","",Firmalar!$B$25)</f>
        <v/>
      </c>
      <c r="B401" s="61">
        <f>IF(Firmalar!$B$25="","",Firmalar!$I$25)</f>
        <v/>
      </c>
      <c r="C401" s="61" t="inlineStr">
        <is>
          <t>Resmî yazı cevabı</t>
        </is>
      </c>
      <c r="D401" s="62">
        <f>IF(Firmalar!$B$25="","",Firmalar!$GE$25)</f>
        <v/>
      </c>
      <c r="E401" s="63">
        <f>IF(OR(A401="",D401=""),"",D401-TODAY())</f>
        <v/>
      </c>
      <c r="F401" s="64">
        <f>IF(OR(A401="",D401=""),"",IF(D401&lt;TODAY(),"Süresi geçti",IF(D401&lt;=TODAY()+30,"30 gün içinde",IF(D401&lt;=TODAY()+90,"90 gün içinde","İleride"))))</f>
        <v/>
      </c>
      <c r="G401" s="64">
        <f>IF(A401="","",Firmalar!$H$25)</f>
        <v/>
      </c>
    </row>
    <row r="402" ht="18" customHeight="1">
      <c r="A402" s="61">
        <f>IF(Firmalar!$B$25="","",Firmalar!$B$25)</f>
        <v/>
      </c>
      <c r="B402" s="61">
        <f>IF(Firmalar!$B$25="","",Firmalar!$I$25)</f>
        <v/>
      </c>
      <c r="C402" s="61" t="inlineStr">
        <is>
          <t>Uygunsuzluk kapanışı</t>
        </is>
      </c>
      <c r="D402" s="62">
        <f>IF(Firmalar!$B$25="","",Firmalar!$GF$25)</f>
        <v/>
      </c>
      <c r="E402" s="63">
        <f>IF(OR(A402="",D402=""),"",D402-TODAY())</f>
        <v/>
      </c>
      <c r="F402" s="64">
        <f>IF(OR(A402="",D402=""),"",IF(D402&lt;TODAY(),"Süresi geçti",IF(D402&lt;=TODAY()+30,"30 gün içinde",IF(D402&lt;=TODAY()+90,"90 gün içinde","İleride"))))</f>
        <v/>
      </c>
      <c r="G402" s="64">
        <f>IF(A402="","",Firmalar!$H$25)</f>
        <v/>
      </c>
    </row>
    <row r="403" ht="18" customHeight="1">
      <c r="A403" s="61">
        <f>IF(Firmalar!$B$25="","",Firmalar!$B$25)</f>
        <v/>
      </c>
      <c r="B403" s="61">
        <f>IF(Firmalar!$B$25="","",Firmalar!$I$25)</f>
        <v/>
      </c>
      <c r="C403" s="61" t="inlineStr">
        <is>
          <t>Öncelikli işlem</t>
        </is>
      </c>
      <c r="D403" s="62">
        <f>IF(Firmalar!$B$25="","",Firmalar!$GG$25)</f>
        <v/>
      </c>
      <c r="E403" s="63">
        <f>IF(OR(A403="",D403=""),"",D403-TODAY())</f>
        <v/>
      </c>
      <c r="F403" s="64">
        <f>IF(OR(A403="",D403=""),"",IF(D403&lt;TODAY(),"Süresi geçti",IF(D403&lt;=TODAY()+30,"30 gün içinde",IF(D403&lt;=TODAY()+90,"90 gün içinde","İleride"))))</f>
        <v/>
      </c>
      <c r="G403" s="64">
        <f>IF(A403="","",Firmalar!$H$25)</f>
        <v/>
      </c>
    </row>
    <row r="404" ht="18" customHeight="1">
      <c r="A404" s="61">
        <f>IF(Firmalar!$B$26="","",Firmalar!$B$26)</f>
        <v/>
      </c>
      <c r="B404" s="61">
        <f>IF(Firmalar!$B$26="","",Firmalar!$I$26)</f>
        <v/>
      </c>
      <c r="C404" s="61" t="inlineStr">
        <is>
          <t>Çevre izni bitiş</t>
        </is>
      </c>
      <c r="D404" s="62">
        <f>IF(Firmalar!$B$26="","",Firmalar!$FO$26)</f>
        <v/>
      </c>
      <c r="E404" s="63">
        <f>IF(OR(A404="",D404=""),"",D404-TODAY())</f>
        <v/>
      </c>
      <c r="F404" s="64">
        <f>IF(OR(A404="",D404=""),"",IF(D404&lt;TODAY(),"Süresi geçti",IF(D404&lt;=TODAY()+30,"30 gün içinde",IF(D404&lt;=TODAY()+90,"90 gün içinde","İleride"))))</f>
        <v/>
      </c>
      <c r="G404" s="64">
        <f>IF(A404="","",Firmalar!$H$26)</f>
        <v/>
      </c>
    </row>
    <row r="405" ht="18" customHeight="1">
      <c r="A405" s="61">
        <f>IF(Firmalar!$B$26="","",Firmalar!$B$26)</f>
        <v/>
      </c>
      <c r="B405" s="61">
        <f>IF(Firmalar!$B$26="","",Firmalar!$I$26)</f>
        <v/>
      </c>
      <c r="C405" s="61" t="inlineStr">
        <is>
          <t>Çevre izni başvurusu</t>
        </is>
      </c>
      <c r="D405" s="62">
        <f>IF(Firmalar!$B$26="","",Firmalar!$FP$26)</f>
        <v/>
      </c>
      <c r="E405" s="63">
        <f>IF(OR(A405="",D405=""),"",D405-TODAY())</f>
        <v/>
      </c>
      <c r="F405" s="64">
        <f>IF(OR(A405="",D405=""),"",IF(D405&lt;TODAY(),"Süresi geçti",IF(D405&lt;=TODAY()+30,"30 gün içinde",IF(D405&lt;=TODAY()+90,"90 gün içinde","İleride"))))</f>
        <v/>
      </c>
      <c r="G405" s="64">
        <f>IF(A405="","",Firmalar!$H$26)</f>
        <v/>
      </c>
    </row>
    <row r="406" ht="18" customHeight="1">
      <c r="A406" s="61">
        <f>IF(Firmalar!$B$26="","",Firmalar!$B$26)</f>
        <v/>
      </c>
      <c r="B406" s="61">
        <f>IF(Firmalar!$B$26="","",Firmalar!$I$26)</f>
        <v/>
      </c>
      <c r="C406" s="61" t="inlineStr">
        <is>
          <t>GFB bitiş</t>
        </is>
      </c>
      <c r="D406" s="62">
        <f>IF(Firmalar!$B$26="","",Firmalar!$FQ$26)</f>
        <v/>
      </c>
      <c r="E406" s="63">
        <f>IF(OR(A406="",D406=""),"",D406-TODAY())</f>
        <v/>
      </c>
      <c r="F406" s="64">
        <f>IF(OR(A406="",D406=""),"",IF(D406&lt;TODAY(),"Süresi geçti",IF(D406&lt;=TODAY()+30,"30 gün içinde",IF(D406&lt;=TODAY()+90,"90 gün içinde","İleride"))))</f>
        <v/>
      </c>
      <c r="G406" s="64">
        <f>IF(A406="","",Firmalar!$H$26)</f>
        <v/>
      </c>
    </row>
    <row r="407" ht="18" customHeight="1">
      <c r="A407" s="61">
        <f>IF(Firmalar!$B$26="","",Firmalar!$B$26)</f>
        <v/>
      </c>
      <c r="B407" s="61">
        <f>IF(Firmalar!$B$26="","",Firmalar!$I$26)</f>
        <v/>
      </c>
      <c r="C407" s="61" t="inlineStr">
        <is>
          <t>Sözleşme bitiş</t>
        </is>
      </c>
      <c r="D407" s="62">
        <f>IF(Firmalar!$B$26="","",Firmalar!$FR$26)</f>
        <v/>
      </c>
      <c r="E407" s="63">
        <f>IF(OR(A407="",D407=""),"",D407-TODAY())</f>
        <v/>
      </c>
      <c r="F407" s="64">
        <f>IF(OR(A407="",D407=""),"",IF(D407&lt;TODAY(),"Süresi geçti",IF(D407&lt;=TODAY()+30,"30 gün içinde",IF(D407&lt;=TODAY()+90,"90 gün içinde","İleride"))))</f>
        <v/>
      </c>
      <c r="G407" s="64">
        <f>IF(A407="","",Firmalar!$H$26)</f>
        <v/>
      </c>
    </row>
    <row r="408" ht="18" customHeight="1">
      <c r="A408" s="61">
        <f>IF(Firmalar!$B$26="","",Firmalar!$B$26)</f>
        <v/>
      </c>
      <c r="B408" s="61">
        <f>IF(Firmalar!$B$26="","",Firmalar!$I$26)</f>
        <v/>
      </c>
      <c r="C408" s="61" t="inlineStr">
        <is>
          <t>Sıfır Atık bitiş</t>
        </is>
      </c>
      <c r="D408" s="62">
        <f>IF(Firmalar!$B$26="","",Firmalar!$FS$26)</f>
        <v/>
      </c>
      <c r="E408" s="63">
        <f>IF(OR(A408="",D408=""),"",D408-TODAY())</f>
        <v/>
      </c>
      <c r="F408" s="64">
        <f>IF(OR(A408="",D408=""),"",IF(D408&lt;TODAY(),"Süresi geçti",IF(D408&lt;=TODAY()+30,"30 gün içinde",IF(D408&lt;=TODAY()+90,"90 gün içinde","İleride"))))</f>
        <v/>
      </c>
      <c r="G408" s="64">
        <f>IF(A408="","",Firmalar!$H$26)</f>
        <v/>
      </c>
    </row>
    <row r="409" ht="18" customHeight="1">
      <c r="A409" s="61">
        <f>IF(Firmalar!$B$26="","",Firmalar!$B$26)</f>
        <v/>
      </c>
      <c r="B409" s="61">
        <f>IF(Firmalar!$B$26="","",Firmalar!$I$26)</f>
        <v/>
      </c>
      <c r="C409" s="61" t="inlineStr">
        <is>
          <t>Atık planı bitiş</t>
        </is>
      </c>
      <c r="D409" s="62">
        <f>IF(Firmalar!$B$26="","",Firmalar!$FT$26)</f>
        <v/>
      </c>
      <c r="E409" s="63">
        <f>IF(OR(A409="",D409=""),"",D409-TODAY())</f>
        <v/>
      </c>
      <c r="F409" s="64">
        <f>IF(OR(A409="",D409=""),"",IF(D409&lt;TODAY(),"Süresi geçti",IF(D409&lt;=TODAY()+30,"30 gün içinde",IF(D409&lt;=TODAY()+90,"90 gün içinde","İleride"))))</f>
        <v/>
      </c>
      <c r="G409" s="64">
        <f>IF(A409="","",Firmalar!$H$26)</f>
        <v/>
      </c>
    </row>
    <row r="410" ht="18" customHeight="1">
      <c r="A410" s="61">
        <f>IF(Firmalar!$B$26="","",Firmalar!$B$26)</f>
        <v/>
      </c>
      <c r="B410" s="61">
        <f>IF(Firmalar!$B$26="","",Firmalar!$I$26)</f>
        <v/>
      </c>
      <c r="C410" s="61" t="inlineStr">
        <is>
          <t>Emisyon teyidi</t>
        </is>
      </c>
      <c r="D410" s="62">
        <f>IF(Firmalar!$B$26="","",Firmalar!$FU$26)</f>
        <v/>
      </c>
      <c r="E410" s="63">
        <f>IF(OR(A410="",D410=""),"",D410-TODAY())</f>
        <v/>
      </c>
      <c r="F410" s="64">
        <f>IF(OR(A410="",D410=""),"",IF(D410&lt;TODAY(),"Süresi geçti",IF(D410&lt;=TODAY()+30,"30 gün içinde",IF(D410&lt;=TODAY()+90,"90 gün içinde","İleride"))))</f>
        <v/>
      </c>
      <c r="G410" s="64">
        <f>IF(A410="","",Firmalar!$H$26)</f>
        <v/>
      </c>
    </row>
    <row r="411" ht="18" customHeight="1">
      <c r="A411" s="61">
        <f>IF(Firmalar!$B$26="","",Firmalar!$B$26)</f>
        <v/>
      </c>
      <c r="B411" s="61">
        <f>IF(Firmalar!$B$26="","",Firmalar!$I$26)</f>
        <v/>
      </c>
      <c r="C411" s="61" t="inlineStr">
        <is>
          <t>Emisyon ölçümü</t>
        </is>
      </c>
      <c r="D411" s="62">
        <f>IF(Firmalar!$B$26="","",Firmalar!$FV$26)</f>
        <v/>
      </c>
      <c r="E411" s="63">
        <f>IF(OR(A411="",D411=""),"",D411-TODAY())</f>
        <v/>
      </c>
      <c r="F411" s="64">
        <f>IF(OR(A411="",D411=""),"",IF(D411&lt;TODAY(),"Süresi geçti",IF(D411&lt;=TODAY()+30,"30 gün içinde",IF(D411&lt;=TODAY()+90,"90 gün içinde","İleride"))))</f>
        <v/>
      </c>
      <c r="G411" s="64">
        <f>IF(A411="","",Firmalar!$H$26)</f>
        <v/>
      </c>
    </row>
    <row r="412" ht="18" customHeight="1">
      <c r="A412" s="61">
        <f>IF(Firmalar!$B$26="","",Firmalar!$B$26)</f>
        <v/>
      </c>
      <c r="B412" s="61">
        <f>IF(Firmalar!$B$26="","",Firmalar!$I$26)</f>
        <v/>
      </c>
      <c r="C412" s="61" t="inlineStr">
        <is>
          <t>İç tetkik</t>
        </is>
      </c>
      <c r="D412" s="62">
        <f>IF(Firmalar!$B$26="","",Firmalar!$FW$26)</f>
        <v/>
      </c>
      <c r="E412" s="63">
        <f>IF(OR(A412="",D412=""),"",D412-TODAY())</f>
        <v/>
      </c>
      <c r="F412" s="64">
        <f>IF(OR(A412="",D412=""),"",IF(D412&lt;TODAY(),"Süresi geçti",IF(D412&lt;=TODAY()+30,"30 gün içinde",IF(D412&lt;=TODAY()+90,"90 gün içinde","İleride"))))</f>
        <v/>
      </c>
      <c r="G412" s="64">
        <f>IF(A412="","",Firmalar!$H$26)</f>
        <v/>
      </c>
    </row>
    <row r="413" ht="18" customHeight="1">
      <c r="A413" s="61">
        <f>IF(Firmalar!$B$26="","",Firmalar!$B$26)</f>
        <v/>
      </c>
      <c r="B413" s="61">
        <f>IF(Firmalar!$B$26="","",Firmalar!$I$26)</f>
        <v/>
      </c>
      <c r="C413" s="61" t="inlineStr">
        <is>
          <t>İç tetkik planı</t>
        </is>
      </c>
      <c r="D413" s="62">
        <f>IF(Firmalar!$B$26="","",Firmalar!$FX$26)</f>
        <v/>
      </c>
      <c r="E413" s="63">
        <f>IF(OR(A413="",D413=""),"",D413-TODAY())</f>
        <v/>
      </c>
      <c r="F413" s="64">
        <f>IF(OR(A413="",D413=""),"",IF(D413&lt;TODAY(),"Süresi geçti",IF(D413&lt;=TODAY()+30,"30 gün içinde",IF(D413&lt;=TODAY()+90,"90 gün içinde","İleride"))))</f>
        <v/>
      </c>
      <c r="G413" s="64">
        <f>IF(A413="","",Firmalar!$H$26)</f>
        <v/>
      </c>
    </row>
    <row r="414" ht="18" customHeight="1">
      <c r="A414" s="61">
        <f>IF(Firmalar!$B$26="","",Firmalar!$B$26)</f>
        <v/>
      </c>
      <c r="B414" s="61">
        <f>IF(Firmalar!$B$26="","",Firmalar!$I$26)</f>
        <v/>
      </c>
      <c r="C414" s="61" t="inlineStr">
        <is>
          <t>Çevre eğitimi</t>
        </is>
      </c>
      <c r="D414" s="62">
        <f>IF(Firmalar!$B$26="","",Firmalar!$FY$26)</f>
        <v/>
      </c>
      <c r="E414" s="63">
        <f>IF(OR(A414="",D414=""),"",D414-TODAY())</f>
        <v/>
      </c>
      <c r="F414" s="64">
        <f>IF(OR(A414="",D414=""),"",IF(D414&lt;TODAY(),"Süresi geçti",IF(D414&lt;=TODAY()+30,"30 gün içinde",IF(D414&lt;=TODAY()+90,"90 gün içinde","İleride"))))</f>
        <v/>
      </c>
      <c r="G414" s="64">
        <f>IF(A414="","",Firmalar!$H$26)</f>
        <v/>
      </c>
    </row>
    <row r="415" ht="18" customHeight="1">
      <c r="A415" s="61">
        <f>IF(Firmalar!$B$26="","",Firmalar!$B$26)</f>
        <v/>
      </c>
      <c r="B415" s="61">
        <f>IF(Firmalar!$B$26="","",Firmalar!$I$26)</f>
        <v/>
      </c>
      <c r="C415" s="61" t="inlineStr">
        <is>
          <t>Eğitim planı</t>
        </is>
      </c>
      <c r="D415" s="62">
        <f>IF(Firmalar!$B$26="","",Firmalar!$FZ$26)</f>
        <v/>
      </c>
      <c r="E415" s="63">
        <f>IF(OR(A415="",D415=""),"",D415-TODAY())</f>
        <v/>
      </c>
      <c r="F415" s="64">
        <f>IF(OR(A415="",D415=""),"",IF(D415&lt;TODAY(),"Süresi geçti",IF(D415&lt;=TODAY()+30,"30 gün içinde",IF(D415&lt;=TODAY()+90,"90 gün içinde","İleride"))))</f>
        <v/>
      </c>
      <c r="G415" s="64">
        <f>IF(A415="","",Firmalar!$H$26)</f>
        <v/>
      </c>
    </row>
    <row r="416" ht="18" customHeight="1">
      <c r="A416" s="61">
        <f>IF(Firmalar!$B$26="","",Firmalar!$B$26)</f>
        <v/>
      </c>
      <c r="B416" s="61">
        <f>IF(Firmalar!$B$26="","",Firmalar!$I$26)</f>
        <v/>
      </c>
      <c r="C416" s="61" t="inlineStr">
        <is>
          <t>Kanal belgesi bitiş</t>
        </is>
      </c>
      <c r="D416" s="62">
        <f>IF(Firmalar!$B$26="","",Firmalar!$GA$26)</f>
        <v/>
      </c>
      <c r="E416" s="63">
        <f>IF(OR(A416="",D416=""),"",D416-TODAY())</f>
        <v/>
      </c>
      <c r="F416" s="64">
        <f>IF(OR(A416="",D416=""),"",IF(D416&lt;TODAY(),"Süresi geçti",IF(D416&lt;=TODAY()+30,"30 gün içinde",IF(D416&lt;=TODAY()+90,"90 gün içinde","İleride"))))</f>
        <v/>
      </c>
      <c r="G416" s="64">
        <f>IF(A416="","",Firmalar!$H$26)</f>
        <v/>
      </c>
    </row>
    <row r="417" ht="18" customHeight="1">
      <c r="A417" s="61">
        <f>IF(Firmalar!$B$26="","",Firmalar!$B$26)</f>
        <v/>
      </c>
      <c r="B417" s="61">
        <f>IF(Firmalar!$B$26="","",Firmalar!$I$26)</f>
        <v/>
      </c>
      <c r="C417" s="61" t="inlineStr">
        <is>
          <t>Deşarj izni bitiş</t>
        </is>
      </c>
      <c r="D417" s="62">
        <f>IF(Firmalar!$B$26="","",Firmalar!$GB$26)</f>
        <v/>
      </c>
      <c r="E417" s="63">
        <f>IF(OR(A417="",D417=""),"",D417-TODAY())</f>
        <v/>
      </c>
      <c r="F417" s="64">
        <f>IF(OR(A417="",D417=""),"",IF(D417&lt;TODAY(),"Süresi geçti",IF(D417&lt;=TODAY()+30,"30 gün içinde",IF(D417&lt;=TODAY()+90,"90 gün içinde","İleride"))))</f>
        <v/>
      </c>
      <c r="G417" s="64">
        <f>IF(A417="","",Firmalar!$H$26)</f>
        <v/>
      </c>
    </row>
    <row r="418" ht="18" customHeight="1">
      <c r="A418" s="61">
        <f>IF(Firmalar!$B$26="","",Firmalar!$B$26)</f>
        <v/>
      </c>
      <c r="B418" s="61">
        <f>IF(Firmalar!$B$26="","",Firmalar!$I$26)</f>
        <v/>
      </c>
      <c r="C418" s="61" t="inlineStr">
        <is>
          <t>Atıksu analizi</t>
        </is>
      </c>
      <c r="D418" s="62">
        <f>IF(Firmalar!$B$26="","",Firmalar!$GC$26)</f>
        <v/>
      </c>
      <c r="E418" s="63">
        <f>IF(OR(A418="",D418=""),"",D418-TODAY())</f>
        <v/>
      </c>
      <c r="F418" s="64">
        <f>IF(OR(A418="",D418=""),"",IF(D418&lt;TODAY(),"Süresi geçti",IF(D418&lt;=TODAY()+30,"30 gün içinde",IF(D418&lt;=TODAY()+90,"90 gün içinde","İleride"))))</f>
        <v/>
      </c>
      <c r="G418" s="64">
        <f>IF(A418="","",Firmalar!$H$26)</f>
        <v/>
      </c>
    </row>
    <row r="419" ht="18" customHeight="1">
      <c r="A419" s="61">
        <f>IF(Firmalar!$B$26="","",Firmalar!$B$26)</f>
        <v/>
      </c>
      <c r="B419" s="61">
        <f>IF(Firmalar!$B$26="","",Firmalar!$I$26)</f>
        <v/>
      </c>
      <c r="C419" s="61" t="inlineStr">
        <is>
          <t>Saha ziyareti</t>
        </is>
      </c>
      <c r="D419" s="62">
        <f>IF(Firmalar!$B$26="","",Firmalar!$GD$26)</f>
        <v/>
      </c>
      <c r="E419" s="63">
        <f>IF(OR(A419="",D419=""),"",D419-TODAY())</f>
        <v/>
      </c>
      <c r="F419" s="64">
        <f>IF(OR(A419="",D419=""),"",IF(D419&lt;TODAY(),"Süresi geçti",IF(D419&lt;=TODAY()+30,"30 gün içinde",IF(D419&lt;=TODAY()+90,"90 gün içinde","İleride"))))</f>
        <v/>
      </c>
      <c r="G419" s="64">
        <f>IF(A419="","",Firmalar!$H$26)</f>
        <v/>
      </c>
    </row>
    <row r="420" ht="18" customHeight="1">
      <c r="A420" s="61">
        <f>IF(Firmalar!$B$26="","",Firmalar!$B$26)</f>
        <v/>
      </c>
      <c r="B420" s="61">
        <f>IF(Firmalar!$B$26="","",Firmalar!$I$26)</f>
        <v/>
      </c>
      <c r="C420" s="61" t="inlineStr">
        <is>
          <t>Resmî yazı cevabı</t>
        </is>
      </c>
      <c r="D420" s="62">
        <f>IF(Firmalar!$B$26="","",Firmalar!$GE$26)</f>
        <v/>
      </c>
      <c r="E420" s="63">
        <f>IF(OR(A420="",D420=""),"",D420-TODAY())</f>
        <v/>
      </c>
      <c r="F420" s="64">
        <f>IF(OR(A420="",D420=""),"",IF(D420&lt;TODAY(),"Süresi geçti",IF(D420&lt;=TODAY()+30,"30 gün içinde",IF(D420&lt;=TODAY()+90,"90 gün içinde","İleride"))))</f>
        <v/>
      </c>
      <c r="G420" s="64">
        <f>IF(A420="","",Firmalar!$H$26)</f>
        <v/>
      </c>
    </row>
    <row r="421" ht="18" customHeight="1">
      <c r="A421" s="61">
        <f>IF(Firmalar!$B$26="","",Firmalar!$B$26)</f>
        <v/>
      </c>
      <c r="B421" s="61">
        <f>IF(Firmalar!$B$26="","",Firmalar!$I$26)</f>
        <v/>
      </c>
      <c r="C421" s="61" t="inlineStr">
        <is>
          <t>Uygunsuzluk kapanışı</t>
        </is>
      </c>
      <c r="D421" s="62">
        <f>IF(Firmalar!$B$26="","",Firmalar!$GF$26)</f>
        <v/>
      </c>
      <c r="E421" s="63">
        <f>IF(OR(A421="",D421=""),"",D421-TODAY())</f>
        <v/>
      </c>
      <c r="F421" s="64">
        <f>IF(OR(A421="",D421=""),"",IF(D421&lt;TODAY(),"Süresi geçti",IF(D421&lt;=TODAY()+30,"30 gün içinde",IF(D421&lt;=TODAY()+90,"90 gün içinde","İleride"))))</f>
        <v/>
      </c>
      <c r="G421" s="64">
        <f>IF(A421="","",Firmalar!$H$26)</f>
        <v/>
      </c>
    </row>
    <row r="422" ht="18" customHeight="1">
      <c r="A422" s="61">
        <f>IF(Firmalar!$B$26="","",Firmalar!$B$26)</f>
        <v/>
      </c>
      <c r="B422" s="61">
        <f>IF(Firmalar!$B$26="","",Firmalar!$I$26)</f>
        <v/>
      </c>
      <c r="C422" s="61" t="inlineStr">
        <is>
          <t>Öncelikli işlem</t>
        </is>
      </c>
      <c r="D422" s="62">
        <f>IF(Firmalar!$B$26="","",Firmalar!$GG$26)</f>
        <v/>
      </c>
      <c r="E422" s="63">
        <f>IF(OR(A422="",D422=""),"",D422-TODAY())</f>
        <v/>
      </c>
      <c r="F422" s="64">
        <f>IF(OR(A422="",D422=""),"",IF(D422&lt;TODAY(),"Süresi geçti",IF(D422&lt;=TODAY()+30,"30 gün içinde",IF(D422&lt;=TODAY()+90,"90 gün içinde","İleride"))))</f>
        <v/>
      </c>
      <c r="G422" s="64">
        <f>IF(A422="","",Firmalar!$H$26)</f>
        <v/>
      </c>
    </row>
    <row r="423" ht="18" customHeight="1">
      <c r="A423" s="61">
        <f>IF(Firmalar!$B$27="","",Firmalar!$B$27)</f>
        <v/>
      </c>
      <c r="B423" s="61">
        <f>IF(Firmalar!$B$27="","",Firmalar!$I$27)</f>
        <v/>
      </c>
      <c r="C423" s="61" t="inlineStr">
        <is>
          <t>Çevre izni bitiş</t>
        </is>
      </c>
      <c r="D423" s="62">
        <f>IF(Firmalar!$B$27="","",Firmalar!$FO$27)</f>
        <v/>
      </c>
      <c r="E423" s="63">
        <f>IF(OR(A423="",D423=""),"",D423-TODAY())</f>
        <v/>
      </c>
      <c r="F423" s="64">
        <f>IF(OR(A423="",D423=""),"",IF(D423&lt;TODAY(),"Süresi geçti",IF(D423&lt;=TODAY()+30,"30 gün içinde",IF(D423&lt;=TODAY()+90,"90 gün içinde","İleride"))))</f>
        <v/>
      </c>
      <c r="G423" s="64">
        <f>IF(A423="","",Firmalar!$H$27)</f>
        <v/>
      </c>
    </row>
    <row r="424" ht="18" customHeight="1">
      <c r="A424" s="61">
        <f>IF(Firmalar!$B$27="","",Firmalar!$B$27)</f>
        <v/>
      </c>
      <c r="B424" s="61">
        <f>IF(Firmalar!$B$27="","",Firmalar!$I$27)</f>
        <v/>
      </c>
      <c r="C424" s="61" t="inlineStr">
        <is>
          <t>Çevre izni başvurusu</t>
        </is>
      </c>
      <c r="D424" s="62">
        <f>IF(Firmalar!$B$27="","",Firmalar!$FP$27)</f>
        <v/>
      </c>
      <c r="E424" s="63">
        <f>IF(OR(A424="",D424=""),"",D424-TODAY())</f>
        <v/>
      </c>
      <c r="F424" s="64">
        <f>IF(OR(A424="",D424=""),"",IF(D424&lt;TODAY(),"Süresi geçti",IF(D424&lt;=TODAY()+30,"30 gün içinde",IF(D424&lt;=TODAY()+90,"90 gün içinde","İleride"))))</f>
        <v/>
      </c>
      <c r="G424" s="64">
        <f>IF(A424="","",Firmalar!$H$27)</f>
        <v/>
      </c>
    </row>
    <row r="425" ht="18" customHeight="1">
      <c r="A425" s="61">
        <f>IF(Firmalar!$B$27="","",Firmalar!$B$27)</f>
        <v/>
      </c>
      <c r="B425" s="61">
        <f>IF(Firmalar!$B$27="","",Firmalar!$I$27)</f>
        <v/>
      </c>
      <c r="C425" s="61" t="inlineStr">
        <is>
          <t>GFB bitiş</t>
        </is>
      </c>
      <c r="D425" s="62">
        <f>IF(Firmalar!$B$27="","",Firmalar!$FQ$27)</f>
        <v/>
      </c>
      <c r="E425" s="63">
        <f>IF(OR(A425="",D425=""),"",D425-TODAY())</f>
        <v/>
      </c>
      <c r="F425" s="64">
        <f>IF(OR(A425="",D425=""),"",IF(D425&lt;TODAY(),"Süresi geçti",IF(D425&lt;=TODAY()+30,"30 gün içinde",IF(D425&lt;=TODAY()+90,"90 gün içinde","İleride"))))</f>
        <v/>
      </c>
      <c r="G425" s="64">
        <f>IF(A425="","",Firmalar!$H$27)</f>
        <v/>
      </c>
    </row>
    <row r="426" ht="18" customHeight="1">
      <c r="A426" s="61">
        <f>IF(Firmalar!$B$27="","",Firmalar!$B$27)</f>
        <v/>
      </c>
      <c r="B426" s="61">
        <f>IF(Firmalar!$B$27="","",Firmalar!$I$27)</f>
        <v/>
      </c>
      <c r="C426" s="61" t="inlineStr">
        <is>
          <t>Sözleşme bitiş</t>
        </is>
      </c>
      <c r="D426" s="62">
        <f>IF(Firmalar!$B$27="","",Firmalar!$FR$27)</f>
        <v/>
      </c>
      <c r="E426" s="63">
        <f>IF(OR(A426="",D426=""),"",D426-TODAY())</f>
        <v/>
      </c>
      <c r="F426" s="64">
        <f>IF(OR(A426="",D426=""),"",IF(D426&lt;TODAY(),"Süresi geçti",IF(D426&lt;=TODAY()+30,"30 gün içinde",IF(D426&lt;=TODAY()+90,"90 gün içinde","İleride"))))</f>
        <v/>
      </c>
      <c r="G426" s="64">
        <f>IF(A426="","",Firmalar!$H$27)</f>
        <v/>
      </c>
    </row>
    <row r="427" ht="18" customHeight="1">
      <c r="A427" s="61">
        <f>IF(Firmalar!$B$27="","",Firmalar!$B$27)</f>
        <v/>
      </c>
      <c r="B427" s="61">
        <f>IF(Firmalar!$B$27="","",Firmalar!$I$27)</f>
        <v/>
      </c>
      <c r="C427" s="61" t="inlineStr">
        <is>
          <t>Sıfır Atık bitiş</t>
        </is>
      </c>
      <c r="D427" s="62">
        <f>IF(Firmalar!$B$27="","",Firmalar!$FS$27)</f>
        <v/>
      </c>
      <c r="E427" s="63">
        <f>IF(OR(A427="",D427=""),"",D427-TODAY())</f>
        <v/>
      </c>
      <c r="F427" s="64">
        <f>IF(OR(A427="",D427=""),"",IF(D427&lt;TODAY(),"Süresi geçti",IF(D427&lt;=TODAY()+30,"30 gün içinde",IF(D427&lt;=TODAY()+90,"90 gün içinde","İleride"))))</f>
        <v/>
      </c>
      <c r="G427" s="64">
        <f>IF(A427="","",Firmalar!$H$27)</f>
        <v/>
      </c>
    </row>
    <row r="428" ht="18" customHeight="1">
      <c r="A428" s="61">
        <f>IF(Firmalar!$B$27="","",Firmalar!$B$27)</f>
        <v/>
      </c>
      <c r="B428" s="61">
        <f>IF(Firmalar!$B$27="","",Firmalar!$I$27)</f>
        <v/>
      </c>
      <c r="C428" s="61" t="inlineStr">
        <is>
          <t>Atık planı bitiş</t>
        </is>
      </c>
      <c r="D428" s="62">
        <f>IF(Firmalar!$B$27="","",Firmalar!$FT$27)</f>
        <v/>
      </c>
      <c r="E428" s="63">
        <f>IF(OR(A428="",D428=""),"",D428-TODAY())</f>
        <v/>
      </c>
      <c r="F428" s="64">
        <f>IF(OR(A428="",D428=""),"",IF(D428&lt;TODAY(),"Süresi geçti",IF(D428&lt;=TODAY()+30,"30 gün içinde",IF(D428&lt;=TODAY()+90,"90 gün içinde","İleride"))))</f>
        <v/>
      </c>
      <c r="G428" s="64">
        <f>IF(A428="","",Firmalar!$H$27)</f>
        <v/>
      </c>
    </row>
    <row r="429" ht="18" customHeight="1">
      <c r="A429" s="61">
        <f>IF(Firmalar!$B$27="","",Firmalar!$B$27)</f>
        <v/>
      </c>
      <c r="B429" s="61">
        <f>IF(Firmalar!$B$27="","",Firmalar!$I$27)</f>
        <v/>
      </c>
      <c r="C429" s="61" t="inlineStr">
        <is>
          <t>Emisyon teyidi</t>
        </is>
      </c>
      <c r="D429" s="62">
        <f>IF(Firmalar!$B$27="","",Firmalar!$FU$27)</f>
        <v/>
      </c>
      <c r="E429" s="63">
        <f>IF(OR(A429="",D429=""),"",D429-TODAY())</f>
        <v/>
      </c>
      <c r="F429" s="64">
        <f>IF(OR(A429="",D429=""),"",IF(D429&lt;TODAY(),"Süresi geçti",IF(D429&lt;=TODAY()+30,"30 gün içinde",IF(D429&lt;=TODAY()+90,"90 gün içinde","İleride"))))</f>
        <v/>
      </c>
      <c r="G429" s="64">
        <f>IF(A429="","",Firmalar!$H$27)</f>
        <v/>
      </c>
    </row>
    <row r="430" ht="18" customHeight="1">
      <c r="A430" s="61">
        <f>IF(Firmalar!$B$27="","",Firmalar!$B$27)</f>
        <v/>
      </c>
      <c r="B430" s="61">
        <f>IF(Firmalar!$B$27="","",Firmalar!$I$27)</f>
        <v/>
      </c>
      <c r="C430" s="61" t="inlineStr">
        <is>
          <t>Emisyon ölçümü</t>
        </is>
      </c>
      <c r="D430" s="62">
        <f>IF(Firmalar!$B$27="","",Firmalar!$FV$27)</f>
        <v/>
      </c>
      <c r="E430" s="63">
        <f>IF(OR(A430="",D430=""),"",D430-TODAY())</f>
        <v/>
      </c>
      <c r="F430" s="64">
        <f>IF(OR(A430="",D430=""),"",IF(D430&lt;TODAY(),"Süresi geçti",IF(D430&lt;=TODAY()+30,"30 gün içinde",IF(D430&lt;=TODAY()+90,"90 gün içinde","İleride"))))</f>
        <v/>
      </c>
      <c r="G430" s="64">
        <f>IF(A430="","",Firmalar!$H$27)</f>
        <v/>
      </c>
    </row>
    <row r="431" ht="18" customHeight="1">
      <c r="A431" s="61">
        <f>IF(Firmalar!$B$27="","",Firmalar!$B$27)</f>
        <v/>
      </c>
      <c r="B431" s="61">
        <f>IF(Firmalar!$B$27="","",Firmalar!$I$27)</f>
        <v/>
      </c>
      <c r="C431" s="61" t="inlineStr">
        <is>
          <t>İç tetkik</t>
        </is>
      </c>
      <c r="D431" s="62">
        <f>IF(Firmalar!$B$27="","",Firmalar!$FW$27)</f>
        <v/>
      </c>
      <c r="E431" s="63">
        <f>IF(OR(A431="",D431=""),"",D431-TODAY())</f>
        <v/>
      </c>
      <c r="F431" s="64">
        <f>IF(OR(A431="",D431=""),"",IF(D431&lt;TODAY(),"Süresi geçti",IF(D431&lt;=TODAY()+30,"30 gün içinde",IF(D431&lt;=TODAY()+90,"90 gün içinde","İleride"))))</f>
        <v/>
      </c>
      <c r="G431" s="64">
        <f>IF(A431="","",Firmalar!$H$27)</f>
        <v/>
      </c>
    </row>
    <row r="432" ht="18" customHeight="1">
      <c r="A432" s="61">
        <f>IF(Firmalar!$B$27="","",Firmalar!$B$27)</f>
        <v/>
      </c>
      <c r="B432" s="61">
        <f>IF(Firmalar!$B$27="","",Firmalar!$I$27)</f>
        <v/>
      </c>
      <c r="C432" s="61" t="inlineStr">
        <is>
          <t>İç tetkik planı</t>
        </is>
      </c>
      <c r="D432" s="62">
        <f>IF(Firmalar!$B$27="","",Firmalar!$FX$27)</f>
        <v/>
      </c>
      <c r="E432" s="63">
        <f>IF(OR(A432="",D432=""),"",D432-TODAY())</f>
        <v/>
      </c>
      <c r="F432" s="64">
        <f>IF(OR(A432="",D432=""),"",IF(D432&lt;TODAY(),"Süresi geçti",IF(D432&lt;=TODAY()+30,"30 gün içinde",IF(D432&lt;=TODAY()+90,"90 gün içinde","İleride"))))</f>
        <v/>
      </c>
      <c r="G432" s="64">
        <f>IF(A432="","",Firmalar!$H$27)</f>
        <v/>
      </c>
    </row>
    <row r="433" ht="18" customHeight="1">
      <c r="A433" s="61">
        <f>IF(Firmalar!$B$27="","",Firmalar!$B$27)</f>
        <v/>
      </c>
      <c r="B433" s="61">
        <f>IF(Firmalar!$B$27="","",Firmalar!$I$27)</f>
        <v/>
      </c>
      <c r="C433" s="61" t="inlineStr">
        <is>
          <t>Çevre eğitimi</t>
        </is>
      </c>
      <c r="D433" s="62">
        <f>IF(Firmalar!$B$27="","",Firmalar!$FY$27)</f>
        <v/>
      </c>
      <c r="E433" s="63">
        <f>IF(OR(A433="",D433=""),"",D433-TODAY())</f>
        <v/>
      </c>
      <c r="F433" s="64">
        <f>IF(OR(A433="",D433=""),"",IF(D433&lt;TODAY(),"Süresi geçti",IF(D433&lt;=TODAY()+30,"30 gün içinde",IF(D433&lt;=TODAY()+90,"90 gün içinde","İleride"))))</f>
        <v/>
      </c>
      <c r="G433" s="64">
        <f>IF(A433="","",Firmalar!$H$27)</f>
        <v/>
      </c>
    </row>
    <row r="434" ht="18" customHeight="1">
      <c r="A434" s="61">
        <f>IF(Firmalar!$B$27="","",Firmalar!$B$27)</f>
        <v/>
      </c>
      <c r="B434" s="61">
        <f>IF(Firmalar!$B$27="","",Firmalar!$I$27)</f>
        <v/>
      </c>
      <c r="C434" s="61" t="inlineStr">
        <is>
          <t>Eğitim planı</t>
        </is>
      </c>
      <c r="D434" s="62">
        <f>IF(Firmalar!$B$27="","",Firmalar!$FZ$27)</f>
        <v/>
      </c>
      <c r="E434" s="63">
        <f>IF(OR(A434="",D434=""),"",D434-TODAY())</f>
        <v/>
      </c>
      <c r="F434" s="64">
        <f>IF(OR(A434="",D434=""),"",IF(D434&lt;TODAY(),"Süresi geçti",IF(D434&lt;=TODAY()+30,"30 gün içinde",IF(D434&lt;=TODAY()+90,"90 gün içinde","İleride"))))</f>
        <v/>
      </c>
      <c r="G434" s="64">
        <f>IF(A434="","",Firmalar!$H$27)</f>
        <v/>
      </c>
    </row>
    <row r="435" ht="18" customHeight="1">
      <c r="A435" s="61">
        <f>IF(Firmalar!$B$27="","",Firmalar!$B$27)</f>
        <v/>
      </c>
      <c r="B435" s="61">
        <f>IF(Firmalar!$B$27="","",Firmalar!$I$27)</f>
        <v/>
      </c>
      <c r="C435" s="61" t="inlineStr">
        <is>
          <t>Kanal belgesi bitiş</t>
        </is>
      </c>
      <c r="D435" s="62">
        <f>IF(Firmalar!$B$27="","",Firmalar!$GA$27)</f>
        <v/>
      </c>
      <c r="E435" s="63">
        <f>IF(OR(A435="",D435=""),"",D435-TODAY())</f>
        <v/>
      </c>
      <c r="F435" s="64">
        <f>IF(OR(A435="",D435=""),"",IF(D435&lt;TODAY(),"Süresi geçti",IF(D435&lt;=TODAY()+30,"30 gün içinde",IF(D435&lt;=TODAY()+90,"90 gün içinde","İleride"))))</f>
        <v/>
      </c>
      <c r="G435" s="64">
        <f>IF(A435="","",Firmalar!$H$27)</f>
        <v/>
      </c>
    </row>
    <row r="436" ht="18" customHeight="1">
      <c r="A436" s="61">
        <f>IF(Firmalar!$B$27="","",Firmalar!$B$27)</f>
        <v/>
      </c>
      <c r="B436" s="61">
        <f>IF(Firmalar!$B$27="","",Firmalar!$I$27)</f>
        <v/>
      </c>
      <c r="C436" s="61" t="inlineStr">
        <is>
          <t>Deşarj izni bitiş</t>
        </is>
      </c>
      <c r="D436" s="62">
        <f>IF(Firmalar!$B$27="","",Firmalar!$GB$27)</f>
        <v/>
      </c>
      <c r="E436" s="63">
        <f>IF(OR(A436="",D436=""),"",D436-TODAY())</f>
        <v/>
      </c>
      <c r="F436" s="64">
        <f>IF(OR(A436="",D436=""),"",IF(D436&lt;TODAY(),"Süresi geçti",IF(D436&lt;=TODAY()+30,"30 gün içinde",IF(D436&lt;=TODAY()+90,"90 gün içinde","İleride"))))</f>
        <v/>
      </c>
      <c r="G436" s="64">
        <f>IF(A436="","",Firmalar!$H$27)</f>
        <v/>
      </c>
    </row>
    <row r="437" ht="18" customHeight="1">
      <c r="A437" s="61">
        <f>IF(Firmalar!$B$27="","",Firmalar!$B$27)</f>
        <v/>
      </c>
      <c r="B437" s="61">
        <f>IF(Firmalar!$B$27="","",Firmalar!$I$27)</f>
        <v/>
      </c>
      <c r="C437" s="61" t="inlineStr">
        <is>
          <t>Atıksu analizi</t>
        </is>
      </c>
      <c r="D437" s="62">
        <f>IF(Firmalar!$B$27="","",Firmalar!$GC$27)</f>
        <v/>
      </c>
      <c r="E437" s="63">
        <f>IF(OR(A437="",D437=""),"",D437-TODAY())</f>
        <v/>
      </c>
      <c r="F437" s="64">
        <f>IF(OR(A437="",D437=""),"",IF(D437&lt;TODAY(),"Süresi geçti",IF(D437&lt;=TODAY()+30,"30 gün içinde",IF(D437&lt;=TODAY()+90,"90 gün içinde","İleride"))))</f>
        <v/>
      </c>
      <c r="G437" s="64">
        <f>IF(A437="","",Firmalar!$H$27)</f>
        <v/>
      </c>
    </row>
    <row r="438" ht="18" customHeight="1">
      <c r="A438" s="61">
        <f>IF(Firmalar!$B$27="","",Firmalar!$B$27)</f>
        <v/>
      </c>
      <c r="B438" s="61">
        <f>IF(Firmalar!$B$27="","",Firmalar!$I$27)</f>
        <v/>
      </c>
      <c r="C438" s="61" t="inlineStr">
        <is>
          <t>Saha ziyareti</t>
        </is>
      </c>
      <c r="D438" s="62">
        <f>IF(Firmalar!$B$27="","",Firmalar!$GD$27)</f>
        <v/>
      </c>
      <c r="E438" s="63">
        <f>IF(OR(A438="",D438=""),"",D438-TODAY())</f>
        <v/>
      </c>
      <c r="F438" s="64">
        <f>IF(OR(A438="",D438=""),"",IF(D438&lt;TODAY(),"Süresi geçti",IF(D438&lt;=TODAY()+30,"30 gün içinde",IF(D438&lt;=TODAY()+90,"90 gün içinde","İleride"))))</f>
        <v/>
      </c>
      <c r="G438" s="64">
        <f>IF(A438="","",Firmalar!$H$27)</f>
        <v/>
      </c>
    </row>
    <row r="439" ht="18" customHeight="1">
      <c r="A439" s="61">
        <f>IF(Firmalar!$B$27="","",Firmalar!$B$27)</f>
        <v/>
      </c>
      <c r="B439" s="61">
        <f>IF(Firmalar!$B$27="","",Firmalar!$I$27)</f>
        <v/>
      </c>
      <c r="C439" s="61" t="inlineStr">
        <is>
          <t>Resmî yazı cevabı</t>
        </is>
      </c>
      <c r="D439" s="62">
        <f>IF(Firmalar!$B$27="","",Firmalar!$GE$27)</f>
        <v/>
      </c>
      <c r="E439" s="63">
        <f>IF(OR(A439="",D439=""),"",D439-TODAY())</f>
        <v/>
      </c>
      <c r="F439" s="64">
        <f>IF(OR(A439="",D439=""),"",IF(D439&lt;TODAY(),"Süresi geçti",IF(D439&lt;=TODAY()+30,"30 gün içinde",IF(D439&lt;=TODAY()+90,"90 gün içinde","İleride"))))</f>
        <v/>
      </c>
      <c r="G439" s="64">
        <f>IF(A439="","",Firmalar!$H$27)</f>
        <v/>
      </c>
    </row>
    <row r="440" ht="18" customHeight="1">
      <c r="A440" s="61">
        <f>IF(Firmalar!$B$27="","",Firmalar!$B$27)</f>
        <v/>
      </c>
      <c r="B440" s="61">
        <f>IF(Firmalar!$B$27="","",Firmalar!$I$27)</f>
        <v/>
      </c>
      <c r="C440" s="61" t="inlineStr">
        <is>
          <t>Uygunsuzluk kapanışı</t>
        </is>
      </c>
      <c r="D440" s="62">
        <f>IF(Firmalar!$B$27="","",Firmalar!$GF$27)</f>
        <v/>
      </c>
      <c r="E440" s="63">
        <f>IF(OR(A440="",D440=""),"",D440-TODAY())</f>
        <v/>
      </c>
      <c r="F440" s="64">
        <f>IF(OR(A440="",D440=""),"",IF(D440&lt;TODAY(),"Süresi geçti",IF(D440&lt;=TODAY()+30,"30 gün içinde",IF(D440&lt;=TODAY()+90,"90 gün içinde","İleride"))))</f>
        <v/>
      </c>
      <c r="G440" s="64">
        <f>IF(A440="","",Firmalar!$H$27)</f>
        <v/>
      </c>
    </row>
    <row r="441" ht="18" customHeight="1">
      <c r="A441" s="61">
        <f>IF(Firmalar!$B$27="","",Firmalar!$B$27)</f>
        <v/>
      </c>
      <c r="B441" s="61">
        <f>IF(Firmalar!$B$27="","",Firmalar!$I$27)</f>
        <v/>
      </c>
      <c r="C441" s="61" t="inlineStr">
        <is>
          <t>Öncelikli işlem</t>
        </is>
      </c>
      <c r="D441" s="62">
        <f>IF(Firmalar!$B$27="","",Firmalar!$GG$27)</f>
        <v/>
      </c>
      <c r="E441" s="63">
        <f>IF(OR(A441="",D441=""),"",D441-TODAY())</f>
        <v/>
      </c>
      <c r="F441" s="64">
        <f>IF(OR(A441="",D441=""),"",IF(D441&lt;TODAY(),"Süresi geçti",IF(D441&lt;=TODAY()+30,"30 gün içinde",IF(D441&lt;=TODAY()+90,"90 gün içinde","İleride"))))</f>
        <v/>
      </c>
      <c r="G441" s="64">
        <f>IF(A441="","",Firmalar!$H$27)</f>
        <v/>
      </c>
    </row>
    <row r="442" ht="18" customHeight="1">
      <c r="A442" s="61">
        <f>IF(Firmalar!$B$28="","",Firmalar!$B$28)</f>
        <v/>
      </c>
      <c r="B442" s="61">
        <f>IF(Firmalar!$B$28="","",Firmalar!$I$28)</f>
        <v/>
      </c>
      <c r="C442" s="61" t="inlineStr">
        <is>
          <t>Çevre izni bitiş</t>
        </is>
      </c>
      <c r="D442" s="62">
        <f>IF(Firmalar!$B$28="","",Firmalar!$FO$28)</f>
        <v/>
      </c>
      <c r="E442" s="63">
        <f>IF(OR(A442="",D442=""),"",D442-TODAY())</f>
        <v/>
      </c>
      <c r="F442" s="64">
        <f>IF(OR(A442="",D442=""),"",IF(D442&lt;TODAY(),"Süresi geçti",IF(D442&lt;=TODAY()+30,"30 gün içinde",IF(D442&lt;=TODAY()+90,"90 gün içinde","İleride"))))</f>
        <v/>
      </c>
      <c r="G442" s="64">
        <f>IF(A442="","",Firmalar!$H$28)</f>
        <v/>
      </c>
    </row>
    <row r="443" ht="18" customHeight="1">
      <c r="A443" s="61">
        <f>IF(Firmalar!$B$28="","",Firmalar!$B$28)</f>
        <v/>
      </c>
      <c r="B443" s="61">
        <f>IF(Firmalar!$B$28="","",Firmalar!$I$28)</f>
        <v/>
      </c>
      <c r="C443" s="61" t="inlineStr">
        <is>
          <t>Çevre izni başvurusu</t>
        </is>
      </c>
      <c r="D443" s="62">
        <f>IF(Firmalar!$B$28="","",Firmalar!$FP$28)</f>
        <v/>
      </c>
      <c r="E443" s="63">
        <f>IF(OR(A443="",D443=""),"",D443-TODAY())</f>
        <v/>
      </c>
      <c r="F443" s="64">
        <f>IF(OR(A443="",D443=""),"",IF(D443&lt;TODAY(),"Süresi geçti",IF(D443&lt;=TODAY()+30,"30 gün içinde",IF(D443&lt;=TODAY()+90,"90 gün içinde","İleride"))))</f>
        <v/>
      </c>
      <c r="G443" s="64">
        <f>IF(A443="","",Firmalar!$H$28)</f>
        <v/>
      </c>
    </row>
    <row r="444" ht="18" customHeight="1">
      <c r="A444" s="61">
        <f>IF(Firmalar!$B$28="","",Firmalar!$B$28)</f>
        <v/>
      </c>
      <c r="B444" s="61">
        <f>IF(Firmalar!$B$28="","",Firmalar!$I$28)</f>
        <v/>
      </c>
      <c r="C444" s="61" t="inlineStr">
        <is>
          <t>GFB bitiş</t>
        </is>
      </c>
      <c r="D444" s="62">
        <f>IF(Firmalar!$B$28="","",Firmalar!$FQ$28)</f>
        <v/>
      </c>
      <c r="E444" s="63">
        <f>IF(OR(A444="",D444=""),"",D444-TODAY())</f>
        <v/>
      </c>
      <c r="F444" s="64">
        <f>IF(OR(A444="",D444=""),"",IF(D444&lt;TODAY(),"Süresi geçti",IF(D444&lt;=TODAY()+30,"30 gün içinde",IF(D444&lt;=TODAY()+90,"90 gün içinde","İleride"))))</f>
        <v/>
      </c>
      <c r="G444" s="64">
        <f>IF(A444="","",Firmalar!$H$28)</f>
        <v/>
      </c>
    </row>
    <row r="445" ht="18" customHeight="1">
      <c r="A445" s="61">
        <f>IF(Firmalar!$B$28="","",Firmalar!$B$28)</f>
        <v/>
      </c>
      <c r="B445" s="61">
        <f>IF(Firmalar!$B$28="","",Firmalar!$I$28)</f>
        <v/>
      </c>
      <c r="C445" s="61" t="inlineStr">
        <is>
          <t>Sözleşme bitiş</t>
        </is>
      </c>
      <c r="D445" s="62">
        <f>IF(Firmalar!$B$28="","",Firmalar!$FR$28)</f>
        <v/>
      </c>
      <c r="E445" s="63">
        <f>IF(OR(A445="",D445=""),"",D445-TODAY())</f>
        <v/>
      </c>
      <c r="F445" s="64">
        <f>IF(OR(A445="",D445=""),"",IF(D445&lt;TODAY(),"Süresi geçti",IF(D445&lt;=TODAY()+30,"30 gün içinde",IF(D445&lt;=TODAY()+90,"90 gün içinde","İleride"))))</f>
        <v/>
      </c>
      <c r="G445" s="64">
        <f>IF(A445="","",Firmalar!$H$28)</f>
        <v/>
      </c>
    </row>
    <row r="446" ht="18" customHeight="1">
      <c r="A446" s="61">
        <f>IF(Firmalar!$B$28="","",Firmalar!$B$28)</f>
        <v/>
      </c>
      <c r="B446" s="61">
        <f>IF(Firmalar!$B$28="","",Firmalar!$I$28)</f>
        <v/>
      </c>
      <c r="C446" s="61" t="inlineStr">
        <is>
          <t>Sıfır Atık bitiş</t>
        </is>
      </c>
      <c r="D446" s="62">
        <f>IF(Firmalar!$B$28="","",Firmalar!$FS$28)</f>
        <v/>
      </c>
      <c r="E446" s="63">
        <f>IF(OR(A446="",D446=""),"",D446-TODAY())</f>
        <v/>
      </c>
      <c r="F446" s="64">
        <f>IF(OR(A446="",D446=""),"",IF(D446&lt;TODAY(),"Süresi geçti",IF(D446&lt;=TODAY()+30,"30 gün içinde",IF(D446&lt;=TODAY()+90,"90 gün içinde","İleride"))))</f>
        <v/>
      </c>
      <c r="G446" s="64">
        <f>IF(A446="","",Firmalar!$H$28)</f>
        <v/>
      </c>
    </row>
    <row r="447" ht="18" customHeight="1">
      <c r="A447" s="61">
        <f>IF(Firmalar!$B$28="","",Firmalar!$B$28)</f>
        <v/>
      </c>
      <c r="B447" s="61">
        <f>IF(Firmalar!$B$28="","",Firmalar!$I$28)</f>
        <v/>
      </c>
      <c r="C447" s="61" t="inlineStr">
        <is>
          <t>Atık planı bitiş</t>
        </is>
      </c>
      <c r="D447" s="62">
        <f>IF(Firmalar!$B$28="","",Firmalar!$FT$28)</f>
        <v/>
      </c>
      <c r="E447" s="63">
        <f>IF(OR(A447="",D447=""),"",D447-TODAY())</f>
        <v/>
      </c>
      <c r="F447" s="64">
        <f>IF(OR(A447="",D447=""),"",IF(D447&lt;TODAY(),"Süresi geçti",IF(D447&lt;=TODAY()+30,"30 gün içinde",IF(D447&lt;=TODAY()+90,"90 gün içinde","İleride"))))</f>
        <v/>
      </c>
      <c r="G447" s="64">
        <f>IF(A447="","",Firmalar!$H$28)</f>
        <v/>
      </c>
    </row>
    <row r="448" ht="18" customHeight="1">
      <c r="A448" s="61">
        <f>IF(Firmalar!$B$28="","",Firmalar!$B$28)</f>
        <v/>
      </c>
      <c r="B448" s="61">
        <f>IF(Firmalar!$B$28="","",Firmalar!$I$28)</f>
        <v/>
      </c>
      <c r="C448" s="61" t="inlineStr">
        <is>
          <t>Emisyon teyidi</t>
        </is>
      </c>
      <c r="D448" s="62">
        <f>IF(Firmalar!$B$28="","",Firmalar!$FU$28)</f>
        <v/>
      </c>
      <c r="E448" s="63">
        <f>IF(OR(A448="",D448=""),"",D448-TODAY())</f>
        <v/>
      </c>
      <c r="F448" s="64">
        <f>IF(OR(A448="",D448=""),"",IF(D448&lt;TODAY(),"Süresi geçti",IF(D448&lt;=TODAY()+30,"30 gün içinde",IF(D448&lt;=TODAY()+90,"90 gün içinde","İleride"))))</f>
        <v/>
      </c>
      <c r="G448" s="64">
        <f>IF(A448="","",Firmalar!$H$28)</f>
        <v/>
      </c>
    </row>
    <row r="449" ht="18" customHeight="1">
      <c r="A449" s="61">
        <f>IF(Firmalar!$B$28="","",Firmalar!$B$28)</f>
        <v/>
      </c>
      <c r="B449" s="61">
        <f>IF(Firmalar!$B$28="","",Firmalar!$I$28)</f>
        <v/>
      </c>
      <c r="C449" s="61" t="inlineStr">
        <is>
          <t>Emisyon ölçümü</t>
        </is>
      </c>
      <c r="D449" s="62">
        <f>IF(Firmalar!$B$28="","",Firmalar!$FV$28)</f>
        <v/>
      </c>
      <c r="E449" s="63">
        <f>IF(OR(A449="",D449=""),"",D449-TODAY())</f>
        <v/>
      </c>
      <c r="F449" s="64">
        <f>IF(OR(A449="",D449=""),"",IF(D449&lt;TODAY(),"Süresi geçti",IF(D449&lt;=TODAY()+30,"30 gün içinde",IF(D449&lt;=TODAY()+90,"90 gün içinde","İleride"))))</f>
        <v/>
      </c>
      <c r="G449" s="64">
        <f>IF(A449="","",Firmalar!$H$28)</f>
        <v/>
      </c>
    </row>
    <row r="450" ht="18" customHeight="1">
      <c r="A450" s="61">
        <f>IF(Firmalar!$B$28="","",Firmalar!$B$28)</f>
        <v/>
      </c>
      <c r="B450" s="61">
        <f>IF(Firmalar!$B$28="","",Firmalar!$I$28)</f>
        <v/>
      </c>
      <c r="C450" s="61" t="inlineStr">
        <is>
          <t>İç tetkik</t>
        </is>
      </c>
      <c r="D450" s="62">
        <f>IF(Firmalar!$B$28="","",Firmalar!$FW$28)</f>
        <v/>
      </c>
      <c r="E450" s="63">
        <f>IF(OR(A450="",D450=""),"",D450-TODAY())</f>
        <v/>
      </c>
      <c r="F450" s="64">
        <f>IF(OR(A450="",D450=""),"",IF(D450&lt;TODAY(),"Süresi geçti",IF(D450&lt;=TODAY()+30,"30 gün içinde",IF(D450&lt;=TODAY()+90,"90 gün içinde","İleride"))))</f>
        <v/>
      </c>
      <c r="G450" s="64">
        <f>IF(A450="","",Firmalar!$H$28)</f>
        <v/>
      </c>
    </row>
    <row r="451" ht="18" customHeight="1">
      <c r="A451" s="61">
        <f>IF(Firmalar!$B$28="","",Firmalar!$B$28)</f>
        <v/>
      </c>
      <c r="B451" s="61">
        <f>IF(Firmalar!$B$28="","",Firmalar!$I$28)</f>
        <v/>
      </c>
      <c r="C451" s="61" t="inlineStr">
        <is>
          <t>İç tetkik planı</t>
        </is>
      </c>
      <c r="D451" s="62">
        <f>IF(Firmalar!$B$28="","",Firmalar!$FX$28)</f>
        <v/>
      </c>
      <c r="E451" s="63">
        <f>IF(OR(A451="",D451=""),"",D451-TODAY())</f>
        <v/>
      </c>
      <c r="F451" s="64">
        <f>IF(OR(A451="",D451=""),"",IF(D451&lt;TODAY(),"Süresi geçti",IF(D451&lt;=TODAY()+30,"30 gün içinde",IF(D451&lt;=TODAY()+90,"90 gün içinde","İleride"))))</f>
        <v/>
      </c>
      <c r="G451" s="64">
        <f>IF(A451="","",Firmalar!$H$28)</f>
        <v/>
      </c>
    </row>
    <row r="452" ht="18" customHeight="1">
      <c r="A452" s="61">
        <f>IF(Firmalar!$B$28="","",Firmalar!$B$28)</f>
        <v/>
      </c>
      <c r="B452" s="61">
        <f>IF(Firmalar!$B$28="","",Firmalar!$I$28)</f>
        <v/>
      </c>
      <c r="C452" s="61" t="inlineStr">
        <is>
          <t>Çevre eğitimi</t>
        </is>
      </c>
      <c r="D452" s="62">
        <f>IF(Firmalar!$B$28="","",Firmalar!$FY$28)</f>
        <v/>
      </c>
      <c r="E452" s="63">
        <f>IF(OR(A452="",D452=""),"",D452-TODAY())</f>
        <v/>
      </c>
      <c r="F452" s="64">
        <f>IF(OR(A452="",D452=""),"",IF(D452&lt;TODAY(),"Süresi geçti",IF(D452&lt;=TODAY()+30,"30 gün içinde",IF(D452&lt;=TODAY()+90,"90 gün içinde","İleride"))))</f>
        <v/>
      </c>
      <c r="G452" s="64">
        <f>IF(A452="","",Firmalar!$H$28)</f>
        <v/>
      </c>
    </row>
    <row r="453" ht="18" customHeight="1">
      <c r="A453" s="61">
        <f>IF(Firmalar!$B$28="","",Firmalar!$B$28)</f>
        <v/>
      </c>
      <c r="B453" s="61">
        <f>IF(Firmalar!$B$28="","",Firmalar!$I$28)</f>
        <v/>
      </c>
      <c r="C453" s="61" t="inlineStr">
        <is>
          <t>Eğitim planı</t>
        </is>
      </c>
      <c r="D453" s="62">
        <f>IF(Firmalar!$B$28="","",Firmalar!$FZ$28)</f>
        <v/>
      </c>
      <c r="E453" s="63">
        <f>IF(OR(A453="",D453=""),"",D453-TODAY())</f>
        <v/>
      </c>
      <c r="F453" s="64">
        <f>IF(OR(A453="",D453=""),"",IF(D453&lt;TODAY(),"Süresi geçti",IF(D453&lt;=TODAY()+30,"30 gün içinde",IF(D453&lt;=TODAY()+90,"90 gün içinde","İleride"))))</f>
        <v/>
      </c>
      <c r="G453" s="64">
        <f>IF(A453="","",Firmalar!$H$28)</f>
        <v/>
      </c>
    </row>
    <row r="454" ht="18" customHeight="1">
      <c r="A454" s="61">
        <f>IF(Firmalar!$B$28="","",Firmalar!$B$28)</f>
        <v/>
      </c>
      <c r="B454" s="61">
        <f>IF(Firmalar!$B$28="","",Firmalar!$I$28)</f>
        <v/>
      </c>
      <c r="C454" s="61" t="inlineStr">
        <is>
          <t>Kanal belgesi bitiş</t>
        </is>
      </c>
      <c r="D454" s="62">
        <f>IF(Firmalar!$B$28="","",Firmalar!$GA$28)</f>
        <v/>
      </c>
      <c r="E454" s="63">
        <f>IF(OR(A454="",D454=""),"",D454-TODAY())</f>
        <v/>
      </c>
      <c r="F454" s="64">
        <f>IF(OR(A454="",D454=""),"",IF(D454&lt;TODAY(),"Süresi geçti",IF(D454&lt;=TODAY()+30,"30 gün içinde",IF(D454&lt;=TODAY()+90,"90 gün içinde","İleride"))))</f>
        <v/>
      </c>
      <c r="G454" s="64">
        <f>IF(A454="","",Firmalar!$H$28)</f>
        <v/>
      </c>
    </row>
    <row r="455" ht="18" customHeight="1">
      <c r="A455" s="61">
        <f>IF(Firmalar!$B$28="","",Firmalar!$B$28)</f>
        <v/>
      </c>
      <c r="B455" s="61">
        <f>IF(Firmalar!$B$28="","",Firmalar!$I$28)</f>
        <v/>
      </c>
      <c r="C455" s="61" t="inlineStr">
        <is>
          <t>Deşarj izni bitiş</t>
        </is>
      </c>
      <c r="D455" s="62">
        <f>IF(Firmalar!$B$28="","",Firmalar!$GB$28)</f>
        <v/>
      </c>
      <c r="E455" s="63">
        <f>IF(OR(A455="",D455=""),"",D455-TODAY())</f>
        <v/>
      </c>
      <c r="F455" s="64">
        <f>IF(OR(A455="",D455=""),"",IF(D455&lt;TODAY(),"Süresi geçti",IF(D455&lt;=TODAY()+30,"30 gün içinde",IF(D455&lt;=TODAY()+90,"90 gün içinde","İleride"))))</f>
        <v/>
      </c>
      <c r="G455" s="64">
        <f>IF(A455="","",Firmalar!$H$28)</f>
        <v/>
      </c>
    </row>
    <row r="456" ht="18" customHeight="1">
      <c r="A456" s="61">
        <f>IF(Firmalar!$B$28="","",Firmalar!$B$28)</f>
        <v/>
      </c>
      <c r="B456" s="61">
        <f>IF(Firmalar!$B$28="","",Firmalar!$I$28)</f>
        <v/>
      </c>
      <c r="C456" s="61" t="inlineStr">
        <is>
          <t>Atıksu analizi</t>
        </is>
      </c>
      <c r="D456" s="62">
        <f>IF(Firmalar!$B$28="","",Firmalar!$GC$28)</f>
        <v/>
      </c>
      <c r="E456" s="63">
        <f>IF(OR(A456="",D456=""),"",D456-TODAY())</f>
        <v/>
      </c>
      <c r="F456" s="64">
        <f>IF(OR(A456="",D456=""),"",IF(D456&lt;TODAY(),"Süresi geçti",IF(D456&lt;=TODAY()+30,"30 gün içinde",IF(D456&lt;=TODAY()+90,"90 gün içinde","İleride"))))</f>
        <v/>
      </c>
      <c r="G456" s="64">
        <f>IF(A456="","",Firmalar!$H$28)</f>
        <v/>
      </c>
    </row>
    <row r="457" ht="18" customHeight="1">
      <c r="A457" s="61">
        <f>IF(Firmalar!$B$28="","",Firmalar!$B$28)</f>
        <v/>
      </c>
      <c r="B457" s="61">
        <f>IF(Firmalar!$B$28="","",Firmalar!$I$28)</f>
        <v/>
      </c>
      <c r="C457" s="61" t="inlineStr">
        <is>
          <t>Saha ziyareti</t>
        </is>
      </c>
      <c r="D457" s="62">
        <f>IF(Firmalar!$B$28="","",Firmalar!$GD$28)</f>
        <v/>
      </c>
      <c r="E457" s="63">
        <f>IF(OR(A457="",D457=""),"",D457-TODAY())</f>
        <v/>
      </c>
      <c r="F457" s="64">
        <f>IF(OR(A457="",D457=""),"",IF(D457&lt;TODAY(),"Süresi geçti",IF(D457&lt;=TODAY()+30,"30 gün içinde",IF(D457&lt;=TODAY()+90,"90 gün içinde","İleride"))))</f>
        <v/>
      </c>
      <c r="G457" s="64">
        <f>IF(A457="","",Firmalar!$H$28)</f>
        <v/>
      </c>
    </row>
    <row r="458" ht="18" customHeight="1">
      <c r="A458" s="61">
        <f>IF(Firmalar!$B$28="","",Firmalar!$B$28)</f>
        <v/>
      </c>
      <c r="B458" s="61">
        <f>IF(Firmalar!$B$28="","",Firmalar!$I$28)</f>
        <v/>
      </c>
      <c r="C458" s="61" t="inlineStr">
        <is>
          <t>Resmî yazı cevabı</t>
        </is>
      </c>
      <c r="D458" s="62">
        <f>IF(Firmalar!$B$28="","",Firmalar!$GE$28)</f>
        <v/>
      </c>
      <c r="E458" s="63">
        <f>IF(OR(A458="",D458=""),"",D458-TODAY())</f>
        <v/>
      </c>
      <c r="F458" s="64">
        <f>IF(OR(A458="",D458=""),"",IF(D458&lt;TODAY(),"Süresi geçti",IF(D458&lt;=TODAY()+30,"30 gün içinde",IF(D458&lt;=TODAY()+90,"90 gün içinde","İleride"))))</f>
        <v/>
      </c>
      <c r="G458" s="64">
        <f>IF(A458="","",Firmalar!$H$28)</f>
        <v/>
      </c>
    </row>
    <row r="459" ht="18" customHeight="1">
      <c r="A459" s="61">
        <f>IF(Firmalar!$B$28="","",Firmalar!$B$28)</f>
        <v/>
      </c>
      <c r="B459" s="61">
        <f>IF(Firmalar!$B$28="","",Firmalar!$I$28)</f>
        <v/>
      </c>
      <c r="C459" s="61" t="inlineStr">
        <is>
          <t>Uygunsuzluk kapanışı</t>
        </is>
      </c>
      <c r="D459" s="62">
        <f>IF(Firmalar!$B$28="","",Firmalar!$GF$28)</f>
        <v/>
      </c>
      <c r="E459" s="63">
        <f>IF(OR(A459="",D459=""),"",D459-TODAY())</f>
        <v/>
      </c>
      <c r="F459" s="64">
        <f>IF(OR(A459="",D459=""),"",IF(D459&lt;TODAY(),"Süresi geçti",IF(D459&lt;=TODAY()+30,"30 gün içinde",IF(D459&lt;=TODAY()+90,"90 gün içinde","İleride"))))</f>
        <v/>
      </c>
      <c r="G459" s="64">
        <f>IF(A459="","",Firmalar!$H$28)</f>
        <v/>
      </c>
    </row>
    <row r="460" ht="18" customHeight="1">
      <c r="A460" s="61">
        <f>IF(Firmalar!$B$28="","",Firmalar!$B$28)</f>
        <v/>
      </c>
      <c r="B460" s="61">
        <f>IF(Firmalar!$B$28="","",Firmalar!$I$28)</f>
        <v/>
      </c>
      <c r="C460" s="61" t="inlineStr">
        <is>
          <t>Öncelikli işlem</t>
        </is>
      </c>
      <c r="D460" s="62">
        <f>IF(Firmalar!$B$28="","",Firmalar!$GG$28)</f>
        <v/>
      </c>
      <c r="E460" s="63">
        <f>IF(OR(A460="",D460=""),"",D460-TODAY())</f>
        <v/>
      </c>
      <c r="F460" s="64">
        <f>IF(OR(A460="",D460=""),"",IF(D460&lt;TODAY(),"Süresi geçti",IF(D460&lt;=TODAY()+30,"30 gün içinde",IF(D460&lt;=TODAY()+90,"90 gün içinde","İleride"))))</f>
        <v/>
      </c>
      <c r="G460" s="64">
        <f>IF(A460="","",Firmalar!$H$28)</f>
        <v/>
      </c>
    </row>
    <row r="461" ht="18" customHeight="1">
      <c r="A461" s="61">
        <f>IF(Firmalar!$B$29="","",Firmalar!$B$29)</f>
        <v/>
      </c>
      <c r="B461" s="61">
        <f>IF(Firmalar!$B$29="","",Firmalar!$I$29)</f>
        <v/>
      </c>
      <c r="C461" s="61" t="inlineStr">
        <is>
          <t>Çevre izni bitiş</t>
        </is>
      </c>
      <c r="D461" s="62">
        <f>IF(Firmalar!$B$29="","",Firmalar!$FO$29)</f>
        <v/>
      </c>
      <c r="E461" s="63">
        <f>IF(OR(A461="",D461=""),"",D461-TODAY())</f>
        <v/>
      </c>
      <c r="F461" s="64">
        <f>IF(OR(A461="",D461=""),"",IF(D461&lt;TODAY(),"Süresi geçti",IF(D461&lt;=TODAY()+30,"30 gün içinde",IF(D461&lt;=TODAY()+90,"90 gün içinde","İleride"))))</f>
        <v/>
      </c>
      <c r="G461" s="64">
        <f>IF(A461="","",Firmalar!$H$29)</f>
        <v/>
      </c>
    </row>
    <row r="462" ht="18" customHeight="1">
      <c r="A462" s="61">
        <f>IF(Firmalar!$B$29="","",Firmalar!$B$29)</f>
        <v/>
      </c>
      <c r="B462" s="61">
        <f>IF(Firmalar!$B$29="","",Firmalar!$I$29)</f>
        <v/>
      </c>
      <c r="C462" s="61" t="inlineStr">
        <is>
          <t>Çevre izni başvurusu</t>
        </is>
      </c>
      <c r="D462" s="62">
        <f>IF(Firmalar!$B$29="","",Firmalar!$FP$29)</f>
        <v/>
      </c>
      <c r="E462" s="63">
        <f>IF(OR(A462="",D462=""),"",D462-TODAY())</f>
        <v/>
      </c>
      <c r="F462" s="64">
        <f>IF(OR(A462="",D462=""),"",IF(D462&lt;TODAY(),"Süresi geçti",IF(D462&lt;=TODAY()+30,"30 gün içinde",IF(D462&lt;=TODAY()+90,"90 gün içinde","İleride"))))</f>
        <v/>
      </c>
      <c r="G462" s="64">
        <f>IF(A462="","",Firmalar!$H$29)</f>
        <v/>
      </c>
    </row>
    <row r="463" ht="18" customHeight="1">
      <c r="A463" s="61">
        <f>IF(Firmalar!$B$29="","",Firmalar!$B$29)</f>
        <v/>
      </c>
      <c r="B463" s="61">
        <f>IF(Firmalar!$B$29="","",Firmalar!$I$29)</f>
        <v/>
      </c>
      <c r="C463" s="61" t="inlineStr">
        <is>
          <t>GFB bitiş</t>
        </is>
      </c>
      <c r="D463" s="62">
        <f>IF(Firmalar!$B$29="","",Firmalar!$FQ$29)</f>
        <v/>
      </c>
      <c r="E463" s="63">
        <f>IF(OR(A463="",D463=""),"",D463-TODAY())</f>
        <v/>
      </c>
      <c r="F463" s="64">
        <f>IF(OR(A463="",D463=""),"",IF(D463&lt;TODAY(),"Süresi geçti",IF(D463&lt;=TODAY()+30,"30 gün içinde",IF(D463&lt;=TODAY()+90,"90 gün içinde","İleride"))))</f>
        <v/>
      </c>
      <c r="G463" s="64">
        <f>IF(A463="","",Firmalar!$H$29)</f>
        <v/>
      </c>
    </row>
    <row r="464" ht="18" customHeight="1">
      <c r="A464" s="61">
        <f>IF(Firmalar!$B$29="","",Firmalar!$B$29)</f>
        <v/>
      </c>
      <c r="B464" s="61">
        <f>IF(Firmalar!$B$29="","",Firmalar!$I$29)</f>
        <v/>
      </c>
      <c r="C464" s="61" t="inlineStr">
        <is>
          <t>Sözleşme bitiş</t>
        </is>
      </c>
      <c r="D464" s="62">
        <f>IF(Firmalar!$B$29="","",Firmalar!$FR$29)</f>
        <v/>
      </c>
      <c r="E464" s="63">
        <f>IF(OR(A464="",D464=""),"",D464-TODAY())</f>
        <v/>
      </c>
      <c r="F464" s="64">
        <f>IF(OR(A464="",D464=""),"",IF(D464&lt;TODAY(),"Süresi geçti",IF(D464&lt;=TODAY()+30,"30 gün içinde",IF(D464&lt;=TODAY()+90,"90 gün içinde","İleride"))))</f>
        <v/>
      </c>
      <c r="G464" s="64">
        <f>IF(A464="","",Firmalar!$H$29)</f>
        <v/>
      </c>
    </row>
    <row r="465" ht="18" customHeight="1">
      <c r="A465" s="61">
        <f>IF(Firmalar!$B$29="","",Firmalar!$B$29)</f>
        <v/>
      </c>
      <c r="B465" s="61">
        <f>IF(Firmalar!$B$29="","",Firmalar!$I$29)</f>
        <v/>
      </c>
      <c r="C465" s="61" t="inlineStr">
        <is>
          <t>Sıfır Atık bitiş</t>
        </is>
      </c>
      <c r="D465" s="62">
        <f>IF(Firmalar!$B$29="","",Firmalar!$FS$29)</f>
        <v/>
      </c>
      <c r="E465" s="63">
        <f>IF(OR(A465="",D465=""),"",D465-TODAY())</f>
        <v/>
      </c>
      <c r="F465" s="64">
        <f>IF(OR(A465="",D465=""),"",IF(D465&lt;TODAY(),"Süresi geçti",IF(D465&lt;=TODAY()+30,"30 gün içinde",IF(D465&lt;=TODAY()+90,"90 gün içinde","İleride"))))</f>
        <v/>
      </c>
      <c r="G465" s="64">
        <f>IF(A465="","",Firmalar!$H$29)</f>
        <v/>
      </c>
    </row>
    <row r="466" ht="18" customHeight="1">
      <c r="A466" s="61">
        <f>IF(Firmalar!$B$29="","",Firmalar!$B$29)</f>
        <v/>
      </c>
      <c r="B466" s="61">
        <f>IF(Firmalar!$B$29="","",Firmalar!$I$29)</f>
        <v/>
      </c>
      <c r="C466" s="61" t="inlineStr">
        <is>
          <t>Atık planı bitiş</t>
        </is>
      </c>
      <c r="D466" s="62">
        <f>IF(Firmalar!$B$29="","",Firmalar!$FT$29)</f>
        <v/>
      </c>
      <c r="E466" s="63">
        <f>IF(OR(A466="",D466=""),"",D466-TODAY())</f>
        <v/>
      </c>
      <c r="F466" s="64">
        <f>IF(OR(A466="",D466=""),"",IF(D466&lt;TODAY(),"Süresi geçti",IF(D466&lt;=TODAY()+30,"30 gün içinde",IF(D466&lt;=TODAY()+90,"90 gün içinde","İleride"))))</f>
        <v/>
      </c>
      <c r="G466" s="64">
        <f>IF(A466="","",Firmalar!$H$29)</f>
        <v/>
      </c>
    </row>
    <row r="467" ht="18" customHeight="1">
      <c r="A467" s="61">
        <f>IF(Firmalar!$B$29="","",Firmalar!$B$29)</f>
        <v/>
      </c>
      <c r="B467" s="61">
        <f>IF(Firmalar!$B$29="","",Firmalar!$I$29)</f>
        <v/>
      </c>
      <c r="C467" s="61" t="inlineStr">
        <is>
          <t>Emisyon teyidi</t>
        </is>
      </c>
      <c r="D467" s="62">
        <f>IF(Firmalar!$B$29="","",Firmalar!$FU$29)</f>
        <v/>
      </c>
      <c r="E467" s="63">
        <f>IF(OR(A467="",D467=""),"",D467-TODAY())</f>
        <v/>
      </c>
      <c r="F467" s="64">
        <f>IF(OR(A467="",D467=""),"",IF(D467&lt;TODAY(),"Süresi geçti",IF(D467&lt;=TODAY()+30,"30 gün içinde",IF(D467&lt;=TODAY()+90,"90 gün içinde","İleride"))))</f>
        <v/>
      </c>
      <c r="G467" s="64">
        <f>IF(A467="","",Firmalar!$H$29)</f>
        <v/>
      </c>
    </row>
    <row r="468" ht="18" customHeight="1">
      <c r="A468" s="61">
        <f>IF(Firmalar!$B$29="","",Firmalar!$B$29)</f>
        <v/>
      </c>
      <c r="B468" s="61">
        <f>IF(Firmalar!$B$29="","",Firmalar!$I$29)</f>
        <v/>
      </c>
      <c r="C468" s="61" t="inlineStr">
        <is>
          <t>Emisyon ölçümü</t>
        </is>
      </c>
      <c r="D468" s="62">
        <f>IF(Firmalar!$B$29="","",Firmalar!$FV$29)</f>
        <v/>
      </c>
      <c r="E468" s="63">
        <f>IF(OR(A468="",D468=""),"",D468-TODAY())</f>
        <v/>
      </c>
      <c r="F468" s="64">
        <f>IF(OR(A468="",D468=""),"",IF(D468&lt;TODAY(),"Süresi geçti",IF(D468&lt;=TODAY()+30,"30 gün içinde",IF(D468&lt;=TODAY()+90,"90 gün içinde","İleride"))))</f>
        <v/>
      </c>
      <c r="G468" s="64">
        <f>IF(A468="","",Firmalar!$H$29)</f>
        <v/>
      </c>
    </row>
    <row r="469" ht="18" customHeight="1">
      <c r="A469" s="61">
        <f>IF(Firmalar!$B$29="","",Firmalar!$B$29)</f>
        <v/>
      </c>
      <c r="B469" s="61">
        <f>IF(Firmalar!$B$29="","",Firmalar!$I$29)</f>
        <v/>
      </c>
      <c r="C469" s="61" t="inlineStr">
        <is>
          <t>İç tetkik</t>
        </is>
      </c>
      <c r="D469" s="62">
        <f>IF(Firmalar!$B$29="","",Firmalar!$FW$29)</f>
        <v/>
      </c>
      <c r="E469" s="63">
        <f>IF(OR(A469="",D469=""),"",D469-TODAY())</f>
        <v/>
      </c>
      <c r="F469" s="64">
        <f>IF(OR(A469="",D469=""),"",IF(D469&lt;TODAY(),"Süresi geçti",IF(D469&lt;=TODAY()+30,"30 gün içinde",IF(D469&lt;=TODAY()+90,"90 gün içinde","İleride"))))</f>
        <v/>
      </c>
      <c r="G469" s="64">
        <f>IF(A469="","",Firmalar!$H$29)</f>
        <v/>
      </c>
    </row>
    <row r="470" ht="18" customHeight="1">
      <c r="A470" s="61">
        <f>IF(Firmalar!$B$29="","",Firmalar!$B$29)</f>
        <v/>
      </c>
      <c r="B470" s="61">
        <f>IF(Firmalar!$B$29="","",Firmalar!$I$29)</f>
        <v/>
      </c>
      <c r="C470" s="61" t="inlineStr">
        <is>
          <t>İç tetkik planı</t>
        </is>
      </c>
      <c r="D470" s="62">
        <f>IF(Firmalar!$B$29="","",Firmalar!$FX$29)</f>
        <v/>
      </c>
      <c r="E470" s="63">
        <f>IF(OR(A470="",D470=""),"",D470-TODAY())</f>
        <v/>
      </c>
      <c r="F470" s="64">
        <f>IF(OR(A470="",D470=""),"",IF(D470&lt;TODAY(),"Süresi geçti",IF(D470&lt;=TODAY()+30,"30 gün içinde",IF(D470&lt;=TODAY()+90,"90 gün içinde","İleride"))))</f>
        <v/>
      </c>
      <c r="G470" s="64">
        <f>IF(A470="","",Firmalar!$H$29)</f>
        <v/>
      </c>
    </row>
    <row r="471" ht="18" customHeight="1">
      <c r="A471" s="61">
        <f>IF(Firmalar!$B$29="","",Firmalar!$B$29)</f>
        <v/>
      </c>
      <c r="B471" s="61">
        <f>IF(Firmalar!$B$29="","",Firmalar!$I$29)</f>
        <v/>
      </c>
      <c r="C471" s="61" t="inlineStr">
        <is>
          <t>Çevre eğitimi</t>
        </is>
      </c>
      <c r="D471" s="62">
        <f>IF(Firmalar!$B$29="","",Firmalar!$FY$29)</f>
        <v/>
      </c>
      <c r="E471" s="63">
        <f>IF(OR(A471="",D471=""),"",D471-TODAY())</f>
        <v/>
      </c>
      <c r="F471" s="64">
        <f>IF(OR(A471="",D471=""),"",IF(D471&lt;TODAY(),"Süresi geçti",IF(D471&lt;=TODAY()+30,"30 gün içinde",IF(D471&lt;=TODAY()+90,"90 gün içinde","İleride"))))</f>
        <v/>
      </c>
      <c r="G471" s="64">
        <f>IF(A471="","",Firmalar!$H$29)</f>
        <v/>
      </c>
    </row>
    <row r="472" ht="18" customHeight="1">
      <c r="A472" s="61">
        <f>IF(Firmalar!$B$29="","",Firmalar!$B$29)</f>
        <v/>
      </c>
      <c r="B472" s="61">
        <f>IF(Firmalar!$B$29="","",Firmalar!$I$29)</f>
        <v/>
      </c>
      <c r="C472" s="61" t="inlineStr">
        <is>
          <t>Eğitim planı</t>
        </is>
      </c>
      <c r="D472" s="62">
        <f>IF(Firmalar!$B$29="","",Firmalar!$FZ$29)</f>
        <v/>
      </c>
      <c r="E472" s="63">
        <f>IF(OR(A472="",D472=""),"",D472-TODAY())</f>
        <v/>
      </c>
      <c r="F472" s="64">
        <f>IF(OR(A472="",D472=""),"",IF(D472&lt;TODAY(),"Süresi geçti",IF(D472&lt;=TODAY()+30,"30 gün içinde",IF(D472&lt;=TODAY()+90,"90 gün içinde","İleride"))))</f>
        <v/>
      </c>
      <c r="G472" s="64">
        <f>IF(A472="","",Firmalar!$H$29)</f>
        <v/>
      </c>
    </row>
    <row r="473" ht="18" customHeight="1">
      <c r="A473" s="61">
        <f>IF(Firmalar!$B$29="","",Firmalar!$B$29)</f>
        <v/>
      </c>
      <c r="B473" s="61">
        <f>IF(Firmalar!$B$29="","",Firmalar!$I$29)</f>
        <v/>
      </c>
      <c r="C473" s="61" t="inlineStr">
        <is>
          <t>Kanal belgesi bitiş</t>
        </is>
      </c>
      <c r="D473" s="62">
        <f>IF(Firmalar!$B$29="","",Firmalar!$GA$29)</f>
        <v/>
      </c>
      <c r="E473" s="63">
        <f>IF(OR(A473="",D473=""),"",D473-TODAY())</f>
        <v/>
      </c>
      <c r="F473" s="64">
        <f>IF(OR(A473="",D473=""),"",IF(D473&lt;TODAY(),"Süresi geçti",IF(D473&lt;=TODAY()+30,"30 gün içinde",IF(D473&lt;=TODAY()+90,"90 gün içinde","İleride"))))</f>
        <v/>
      </c>
      <c r="G473" s="64">
        <f>IF(A473="","",Firmalar!$H$29)</f>
        <v/>
      </c>
    </row>
    <row r="474" ht="18" customHeight="1">
      <c r="A474" s="61">
        <f>IF(Firmalar!$B$29="","",Firmalar!$B$29)</f>
        <v/>
      </c>
      <c r="B474" s="61">
        <f>IF(Firmalar!$B$29="","",Firmalar!$I$29)</f>
        <v/>
      </c>
      <c r="C474" s="61" t="inlineStr">
        <is>
          <t>Deşarj izni bitiş</t>
        </is>
      </c>
      <c r="D474" s="62">
        <f>IF(Firmalar!$B$29="","",Firmalar!$GB$29)</f>
        <v/>
      </c>
      <c r="E474" s="63">
        <f>IF(OR(A474="",D474=""),"",D474-TODAY())</f>
        <v/>
      </c>
      <c r="F474" s="64">
        <f>IF(OR(A474="",D474=""),"",IF(D474&lt;TODAY(),"Süresi geçti",IF(D474&lt;=TODAY()+30,"30 gün içinde",IF(D474&lt;=TODAY()+90,"90 gün içinde","İleride"))))</f>
        <v/>
      </c>
      <c r="G474" s="64">
        <f>IF(A474="","",Firmalar!$H$29)</f>
        <v/>
      </c>
    </row>
    <row r="475" ht="18" customHeight="1">
      <c r="A475" s="61">
        <f>IF(Firmalar!$B$29="","",Firmalar!$B$29)</f>
        <v/>
      </c>
      <c r="B475" s="61">
        <f>IF(Firmalar!$B$29="","",Firmalar!$I$29)</f>
        <v/>
      </c>
      <c r="C475" s="61" t="inlineStr">
        <is>
          <t>Atıksu analizi</t>
        </is>
      </c>
      <c r="D475" s="62">
        <f>IF(Firmalar!$B$29="","",Firmalar!$GC$29)</f>
        <v/>
      </c>
      <c r="E475" s="63">
        <f>IF(OR(A475="",D475=""),"",D475-TODAY())</f>
        <v/>
      </c>
      <c r="F475" s="64">
        <f>IF(OR(A475="",D475=""),"",IF(D475&lt;TODAY(),"Süresi geçti",IF(D475&lt;=TODAY()+30,"30 gün içinde",IF(D475&lt;=TODAY()+90,"90 gün içinde","İleride"))))</f>
        <v/>
      </c>
      <c r="G475" s="64">
        <f>IF(A475="","",Firmalar!$H$29)</f>
        <v/>
      </c>
    </row>
    <row r="476" ht="18" customHeight="1">
      <c r="A476" s="61">
        <f>IF(Firmalar!$B$29="","",Firmalar!$B$29)</f>
        <v/>
      </c>
      <c r="B476" s="61">
        <f>IF(Firmalar!$B$29="","",Firmalar!$I$29)</f>
        <v/>
      </c>
      <c r="C476" s="61" t="inlineStr">
        <is>
          <t>Saha ziyareti</t>
        </is>
      </c>
      <c r="D476" s="62">
        <f>IF(Firmalar!$B$29="","",Firmalar!$GD$29)</f>
        <v/>
      </c>
      <c r="E476" s="63">
        <f>IF(OR(A476="",D476=""),"",D476-TODAY())</f>
        <v/>
      </c>
      <c r="F476" s="64">
        <f>IF(OR(A476="",D476=""),"",IF(D476&lt;TODAY(),"Süresi geçti",IF(D476&lt;=TODAY()+30,"30 gün içinde",IF(D476&lt;=TODAY()+90,"90 gün içinde","İleride"))))</f>
        <v/>
      </c>
      <c r="G476" s="64">
        <f>IF(A476="","",Firmalar!$H$29)</f>
        <v/>
      </c>
    </row>
    <row r="477" ht="18" customHeight="1">
      <c r="A477" s="61">
        <f>IF(Firmalar!$B$29="","",Firmalar!$B$29)</f>
        <v/>
      </c>
      <c r="B477" s="61">
        <f>IF(Firmalar!$B$29="","",Firmalar!$I$29)</f>
        <v/>
      </c>
      <c r="C477" s="61" t="inlineStr">
        <is>
          <t>Resmî yazı cevabı</t>
        </is>
      </c>
      <c r="D477" s="62">
        <f>IF(Firmalar!$B$29="","",Firmalar!$GE$29)</f>
        <v/>
      </c>
      <c r="E477" s="63">
        <f>IF(OR(A477="",D477=""),"",D477-TODAY())</f>
        <v/>
      </c>
      <c r="F477" s="64">
        <f>IF(OR(A477="",D477=""),"",IF(D477&lt;TODAY(),"Süresi geçti",IF(D477&lt;=TODAY()+30,"30 gün içinde",IF(D477&lt;=TODAY()+90,"90 gün içinde","İleride"))))</f>
        <v/>
      </c>
      <c r="G477" s="64">
        <f>IF(A477="","",Firmalar!$H$29)</f>
        <v/>
      </c>
    </row>
    <row r="478" ht="18" customHeight="1">
      <c r="A478" s="61">
        <f>IF(Firmalar!$B$29="","",Firmalar!$B$29)</f>
        <v/>
      </c>
      <c r="B478" s="61">
        <f>IF(Firmalar!$B$29="","",Firmalar!$I$29)</f>
        <v/>
      </c>
      <c r="C478" s="61" t="inlineStr">
        <is>
          <t>Uygunsuzluk kapanışı</t>
        </is>
      </c>
      <c r="D478" s="62">
        <f>IF(Firmalar!$B$29="","",Firmalar!$GF$29)</f>
        <v/>
      </c>
      <c r="E478" s="63">
        <f>IF(OR(A478="",D478=""),"",D478-TODAY())</f>
        <v/>
      </c>
      <c r="F478" s="64">
        <f>IF(OR(A478="",D478=""),"",IF(D478&lt;TODAY(),"Süresi geçti",IF(D478&lt;=TODAY()+30,"30 gün içinde",IF(D478&lt;=TODAY()+90,"90 gün içinde","İleride"))))</f>
        <v/>
      </c>
      <c r="G478" s="64">
        <f>IF(A478="","",Firmalar!$H$29)</f>
        <v/>
      </c>
    </row>
    <row r="479" ht="18" customHeight="1">
      <c r="A479" s="61">
        <f>IF(Firmalar!$B$29="","",Firmalar!$B$29)</f>
        <v/>
      </c>
      <c r="B479" s="61">
        <f>IF(Firmalar!$B$29="","",Firmalar!$I$29)</f>
        <v/>
      </c>
      <c r="C479" s="61" t="inlineStr">
        <is>
          <t>Öncelikli işlem</t>
        </is>
      </c>
      <c r="D479" s="62">
        <f>IF(Firmalar!$B$29="","",Firmalar!$GG$29)</f>
        <v/>
      </c>
      <c r="E479" s="63">
        <f>IF(OR(A479="",D479=""),"",D479-TODAY())</f>
        <v/>
      </c>
      <c r="F479" s="64">
        <f>IF(OR(A479="",D479=""),"",IF(D479&lt;TODAY(),"Süresi geçti",IF(D479&lt;=TODAY()+30,"30 gün içinde",IF(D479&lt;=TODAY()+90,"90 gün içinde","İleride"))))</f>
        <v/>
      </c>
      <c r="G479" s="64">
        <f>IF(A479="","",Firmalar!$H$29)</f>
        <v/>
      </c>
    </row>
    <row r="480" ht="18" customHeight="1">
      <c r="A480" s="61">
        <f>IF(Firmalar!$B$30="","",Firmalar!$B$30)</f>
        <v/>
      </c>
      <c r="B480" s="61">
        <f>IF(Firmalar!$B$30="","",Firmalar!$I$30)</f>
        <v/>
      </c>
      <c r="C480" s="61" t="inlineStr">
        <is>
          <t>Çevre izni bitiş</t>
        </is>
      </c>
      <c r="D480" s="62">
        <f>IF(Firmalar!$B$30="","",Firmalar!$FO$30)</f>
        <v/>
      </c>
      <c r="E480" s="63">
        <f>IF(OR(A480="",D480=""),"",D480-TODAY())</f>
        <v/>
      </c>
      <c r="F480" s="64">
        <f>IF(OR(A480="",D480=""),"",IF(D480&lt;TODAY(),"Süresi geçti",IF(D480&lt;=TODAY()+30,"30 gün içinde",IF(D480&lt;=TODAY()+90,"90 gün içinde","İleride"))))</f>
        <v/>
      </c>
      <c r="G480" s="64">
        <f>IF(A480="","",Firmalar!$H$30)</f>
        <v/>
      </c>
    </row>
    <row r="481" ht="18" customHeight="1">
      <c r="A481" s="61">
        <f>IF(Firmalar!$B$30="","",Firmalar!$B$30)</f>
        <v/>
      </c>
      <c r="B481" s="61">
        <f>IF(Firmalar!$B$30="","",Firmalar!$I$30)</f>
        <v/>
      </c>
      <c r="C481" s="61" t="inlineStr">
        <is>
          <t>Çevre izni başvurusu</t>
        </is>
      </c>
      <c r="D481" s="62">
        <f>IF(Firmalar!$B$30="","",Firmalar!$FP$30)</f>
        <v/>
      </c>
      <c r="E481" s="63">
        <f>IF(OR(A481="",D481=""),"",D481-TODAY())</f>
        <v/>
      </c>
      <c r="F481" s="64">
        <f>IF(OR(A481="",D481=""),"",IF(D481&lt;TODAY(),"Süresi geçti",IF(D481&lt;=TODAY()+30,"30 gün içinde",IF(D481&lt;=TODAY()+90,"90 gün içinde","İleride"))))</f>
        <v/>
      </c>
      <c r="G481" s="64">
        <f>IF(A481="","",Firmalar!$H$30)</f>
        <v/>
      </c>
    </row>
    <row r="482" ht="18" customHeight="1">
      <c r="A482" s="61">
        <f>IF(Firmalar!$B$30="","",Firmalar!$B$30)</f>
        <v/>
      </c>
      <c r="B482" s="61">
        <f>IF(Firmalar!$B$30="","",Firmalar!$I$30)</f>
        <v/>
      </c>
      <c r="C482" s="61" t="inlineStr">
        <is>
          <t>GFB bitiş</t>
        </is>
      </c>
      <c r="D482" s="62">
        <f>IF(Firmalar!$B$30="","",Firmalar!$FQ$30)</f>
        <v/>
      </c>
      <c r="E482" s="63">
        <f>IF(OR(A482="",D482=""),"",D482-TODAY())</f>
        <v/>
      </c>
      <c r="F482" s="64">
        <f>IF(OR(A482="",D482=""),"",IF(D482&lt;TODAY(),"Süresi geçti",IF(D482&lt;=TODAY()+30,"30 gün içinde",IF(D482&lt;=TODAY()+90,"90 gün içinde","İleride"))))</f>
        <v/>
      </c>
      <c r="G482" s="64">
        <f>IF(A482="","",Firmalar!$H$30)</f>
        <v/>
      </c>
    </row>
    <row r="483" ht="18" customHeight="1">
      <c r="A483" s="61">
        <f>IF(Firmalar!$B$30="","",Firmalar!$B$30)</f>
        <v/>
      </c>
      <c r="B483" s="61">
        <f>IF(Firmalar!$B$30="","",Firmalar!$I$30)</f>
        <v/>
      </c>
      <c r="C483" s="61" t="inlineStr">
        <is>
          <t>Sözleşme bitiş</t>
        </is>
      </c>
      <c r="D483" s="62">
        <f>IF(Firmalar!$B$30="","",Firmalar!$FR$30)</f>
        <v/>
      </c>
      <c r="E483" s="63">
        <f>IF(OR(A483="",D483=""),"",D483-TODAY())</f>
        <v/>
      </c>
      <c r="F483" s="64">
        <f>IF(OR(A483="",D483=""),"",IF(D483&lt;TODAY(),"Süresi geçti",IF(D483&lt;=TODAY()+30,"30 gün içinde",IF(D483&lt;=TODAY()+90,"90 gün içinde","İleride"))))</f>
        <v/>
      </c>
      <c r="G483" s="64">
        <f>IF(A483="","",Firmalar!$H$30)</f>
        <v/>
      </c>
    </row>
    <row r="484" ht="18" customHeight="1">
      <c r="A484" s="61">
        <f>IF(Firmalar!$B$30="","",Firmalar!$B$30)</f>
        <v/>
      </c>
      <c r="B484" s="61">
        <f>IF(Firmalar!$B$30="","",Firmalar!$I$30)</f>
        <v/>
      </c>
      <c r="C484" s="61" t="inlineStr">
        <is>
          <t>Sıfır Atık bitiş</t>
        </is>
      </c>
      <c r="D484" s="62">
        <f>IF(Firmalar!$B$30="","",Firmalar!$FS$30)</f>
        <v/>
      </c>
      <c r="E484" s="63">
        <f>IF(OR(A484="",D484=""),"",D484-TODAY())</f>
        <v/>
      </c>
      <c r="F484" s="64">
        <f>IF(OR(A484="",D484=""),"",IF(D484&lt;TODAY(),"Süresi geçti",IF(D484&lt;=TODAY()+30,"30 gün içinde",IF(D484&lt;=TODAY()+90,"90 gün içinde","İleride"))))</f>
        <v/>
      </c>
      <c r="G484" s="64">
        <f>IF(A484="","",Firmalar!$H$30)</f>
        <v/>
      </c>
    </row>
    <row r="485" ht="18" customHeight="1">
      <c r="A485" s="61">
        <f>IF(Firmalar!$B$30="","",Firmalar!$B$30)</f>
        <v/>
      </c>
      <c r="B485" s="61">
        <f>IF(Firmalar!$B$30="","",Firmalar!$I$30)</f>
        <v/>
      </c>
      <c r="C485" s="61" t="inlineStr">
        <is>
          <t>Atık planı bitiş</t>
        </is>
      </c>
      <c r="D485" s="62">
        <f>IF(Firmalar!$B$30="","",Firmalar!$FT$30)</f>
        <v/>
      </c>
      <c r="E485" s="63">
        <f>IF(OR(A485="",D485=""),"",D485-TODAY())</f>
        <v/>
      </c>
      <c r="F485" s="64">
        <f>IF(OR(A485="",D485=""),"",IF(D485&lt;TODAY(),"Süresi geçti",IF(D485&lt;=TODAY()+30,"30 gün içinde",IF(D485&lt;=TODAY()+90,"90 gün içinde","İleride"))))</f>
        <v/>
      </c>
      <c r="G485" s="64">
        <f>IF(A485="","",Firmalar!$H$30)</f>
        <v/>
      </c>
    </row>
    <row r="486" ht="18" customHeight="1">
      <c r="A486" s="61">
        <f>IF(Firmalar!$B$30="","",Firmalar!$B$30)</f>
        <v/>
      </c>
      <c r="B486" s="61">
        <f>IF(Firmalar!$B$30="","",Firmalar!$I$30)</f>
        <v/>
      </c>
      <c r="C486" s="61" t="inlineStr">
        <is>
          <t>Emisyon teyidi</t>
        </is>
      </c>
      <c r="D486" s="62">
        <f>IF(Firmalar!$B$30="","",Firmalar!$FU$30)</f>
        <v/>
      </c>
      <c r="E486" s="63">
        <f>IF(OR(A486="",D486=""),"",D486-TODAY())</f>
        <v/>
      </c>
      <c r="F486" s="64">
        <f>IF(OR(A486="",D486=""),"",IF(D486&lt;TODAY(),"Süresi geçti",IF(D486&lt;=TODAY()+30,"30 gün içinde",IF(D486&lt;=TODAY()+90,"90 gün içinde","İleride"))))</f>
        <v/>
      </c>
      <c r="G486" s="64">
        <f>IF(A486="","",Firmalar!$H$30)</f>
        <v/>
      </c>
    </row>
    <row r="487" ht="18" customHeight="1">
      <c r="A487" s="61">
        <f>IF(Firmalar!$B$30="","",Firmalar!$B$30)</f>
        <v/>
      </c>
      <c r="B487" s="61">
        <f>IF(Firmalar!$B$30="","",Firmalar!$I$30)</f>
        <v/>
      </c>
      <c r="C487" s="61" t="inlineStr">
        <is>
          <t>Emisyon ölçümü</t>
        </is>
      </c>
      <c r="D487" s="62">
        <f>IF(Firmalar!$B$30="","",Firmalar!$FV$30)</f>
        <v/>
      </c>
      <c r="E487" s="63">
        <f>IF(OR(A487="",D487=""),"",D487-TODAY())</f>
        <v/>
      </c>
      <c r="F487" s="64">
        <f>IF(OR(A487="",D487=""),"",IF(D487&lt;TODAY(),"Süresi geçti",IF(D487&lt;=TODAY()+30,"30 gün içinde",IF(D487&lt;=TODAY()+90,"90 gün içinde","İleride"))))</f>
        <v/>
      </c>
      <c r="G487" s="64">
        <f>IF(A487="","",Firmalar!$H$30)</f>
        <v/>
      </c>
    </row>
    <row r="488" ht="18" customHeight="1">
      <c r="A488" s="61">
        <f>IF(Firmalar!$B$30="","",Firmalar!$B$30)</f>
        <v/>
      </c>
      <c r="B488" s="61">
        <f>IF(Firmalar!$B$30="","",Firmalar!$I$30)</f>
        <v/>
      </c>
      <c r="C488" s="61" t="inlineStr">
        <is>
          <t>İç tetkik</t>
        </is>
      </c>
      <c r="D488" s="62">
        <f>IF(Firmalar!$B$30="","",Firmalar!$FW$30)</f>
        <v/>
      </c>
      <c r="E488" s="63">
        <f>IF(OR(A488="",D488=""),"",D488-TODAY())</f>
        <v/>
      </c>
      <c r="F488" s="64">
        <f>IF(OR(A488="",D488=""),"",IF(D488&lt;TODAY(),"Süresi geçti",IF(D488&lt;=TODAY()+30,"30 gün içinde",IF(D488&lt;=TODAY()+90,"90 gün içinde","İleride"))))</f>
        <v/>
      </c>
      <c r="G488" s="64">
        <f>IF(A488="","",Firmalar!$H$30)</f>
        <v/>
      </c>
    </row>
    <row r="489" ht="18" customHeight="1">
      <c r="A489" s="61">
        <f>IF(Firmalar!$B$30="","",Firmalar!$B$30)</f>
        <v/>
      </c>
      <c r="B489" s="61">
        <f>IF(Firmalar!$B$30="","",Firmalar!$I$30)</f>
        <v/>
      </c>
      <c r="C489" s="61" t="inlineStr">
        <is>
          <t>İç tetkik planı</t>
        </is>
      </c>
      <c r="D489" s="62">
        <f>IF(Firmalar!$B$30="","",Firmalar!$FX$30)</f>
        <v/>
      </c>
      <c r="E489" s="63">
        <f>IF(OR(A489="",D489=""),"",D489-TODAY())</f>
        <v/>
      </c>
      <c r="F489" s="64">
        <f>IF(OR(A489="",D489=""),"",IF(D489&lt;TODAY(),"Süresi geçti",IF(D489&lt;=TODAY()+30,"30 gün içinde",IF(D489&lt;=TODAY()+90,"90 gün içinde","İleride"))))</f>
        <v/>
      </c>
      <c r="G489" s="64">
        <f>IF(A489="","",Firmalar!$H$30)</f>
        <v/>
      </c>
    </row>
    <row r="490" ht="18" customHeight="1">
      <c r="A490" s="61">
        <f>IF(Firmalar!$B$30="","",Firmalar!$B$30)</f>
        <v/>
      </c>
      <c r="B490" s="61">
        <f>IF(Firmalar!$B$30="","",Firmalar!$I$30)</f>
        <v/>
      </c>
      <c r="C490" s="61" t="inlineStr">
        <is>
          <t>Çevre eğitimi</t>
        </is>
      </c>
      <c r="D490" s="62">
        <f>IF(Firmalar!$B$30="","",Firmalar!$FY$30)</f>
        <v/>
      </c>
      <c r="E490" s="63">
        <f>IF(OR(A490="",D490=""),"",D490-TODAY())</f>
        <v/>
      </c>
      <c r="F490" s="64">
        <f>IF(OR(A490="",D490=""),"",IF(D490&lt;TODAY(),"Süresi geçti",IF(D490&lt;=TODAY()+30,"30 gün içinde",IF(D490&lt;=TODAY()+90,"90 gün içinde","İleride"))))</f>
        <v/>
      </c>
      <c r="G490" s="64">
        <f>IF(A490="","",Firmalar!$H$30)</f>
        <v/>
      </c>
    </row>
    <row r="491" ht="18" customHeight="1">
      <c r="A491" s="61">
        <f>IF(Firmalar!$B$30="","",Firmalar!$B$30)</f>
        <v/>
      </c>
      <c r="B491" s="61">
        <f>IF(Firmalar!$B$30="","",Firmalar!$I$30)</f>
        <v/>
      </c>
      <c r="C491" s="61" t="inlineStr">
        <is>
          <t>Eğitim planı</t>
        </is>
      </c>
      <c r="D491" s="62">
        <f>IF(Firmalar!$B$30="","",Firmalar!$FZ$30)</f>
        <v/>
      </c>
      <c r="E491" s="63">
        <f>IF(OR(A491="",D491=""),"",D491-TODAY())</f>
        <v/>
      </c>
      <c r="F491" s="64">
        <f>IF(OR(A491="",D491=""),"",IF(D491&lt;TODAY(),"Süresi geçti",IF(D491&lt;=TODAY()+30,"30 gün içinde",IF(D491&lt;=TODAY()+90,"90 gün içinde","İleride"))))</f>
        <v/>
      </c>
      <c r="G491" s="64">
        <f>IF(A491="","",Firmalar!$H$30)</f>
        <v/>
      </c>
    </row>
    <row r="492" ht="18" customHeight="1">
      <c r="A492" s="61">
        <f>IF(Firmalar!$B$30="","",Firmalar!$B$30)</f>
        <v/>
      </c>
      <c r="B492" s="61">
        <f>IF(Firmalar!$B$30="","",Firmalar!$I$30)</f>
        <v/>
      </c>
      <c r="C492" s="61" t="inlineStr">
        <is>
          <t>Kanal belgesi bitiş</t>
        </is>
      </c>
      <c r="D492" s="62">
        <f>IF(Firmalar!$B$30="","",Firmalar!$GA$30)</f>
        <v/>
      </c>
      <c r="E492" s="63">
        <f>IF(OR(A492="",D492=""),"",D492-TODAY())</f>
        <v/>
      </c>
      <c r="F492" s="64">
        <f>IF(OR(A492="",D492=""),"",IF(D492&lt;TODAY(),"Süresi geçti",IF(D492&lt;=TODAY()+30,"30 gün içinde",IF(D492&lt;=TODAY()+90,"90 gün içinde","İleride"))))</f>
        <v/>
      </c>
      <c r="G492" s="64">
        <f>IF(A492="","",Firmalar!$H$30)</f>
        <v/>
      </c>
    </row>
    <row r="493" ht="18" customHeight="1">
      <c r="A493" s="61">
        <f>IF(Firmalar!$B$30="","",Firmalar!$B$30)</f>
        <v/>
      </c>
      <c r="B493" s="61">
        <f>IF(Firmalar!$B$30="","",Firmalar!$I$30)</f>
        <v/>
      </c>
      <c r="C493" s="61" t="inlineStr">
        <is>
          <t>Deşarj izni bitiş</t>
        </is>
      </c>
      <c r="D493" s="62">
        <f>IF(Firmalar!$B$30="","",Firmalar!$GB$30)</f>
        <v/>
      </c>
      <c r="E493" s="63">
        <f>IF(OR(A493="",D493=""),"",D493-TODAY())</f>
        <v/>
      </c>
      <c r="F493" s="64">
        <f>IF(OR(A493="",D493=""),"",IF(D493&lt;TODAY(),"Süresi geçti",IF(D493&lt;=TODAY()+30,"30 gün içinde",IF(D493&lt;=TODAY()+90,"90 gün içinde","İleride"))))</f>
        <v/>
      </c>
      <c r="G493" s="64">
        <f>IF(A493="","",Firmalar!$H$30)</f>
        <v/>
      </c>
    </row>
    <row r="494" ht="18" customHeight="1">
      <c r="A494" s="61">
        <f>IF(Firmalar!$B$30="","",Firmalar!$B$30)</f>
        <v/>
      </c>
      <c r="B494" s="61">
        <f>IF(Firmalar!$B$30="","",Firmalar!$I$30)</f>
        <v/>
      </c>
      <c r="C494" s="61" t="inlineStr">
        <is>
          <t>Atıksu analizi</t>
        </is>
      </c>
      <c r="D494" s="62">
        <f>IF(Firmalar!$B$30="","",Firmalar!$GC$30)</f>
        <v/>
      </c>
      <c r="E494" s="63">
        <f>IF(OR(A494="",D494=""),"",D494-TODAY())</f>
        <v/>
      </c>
      <c r="F494" s="64">
        <f>IF(OR(A494="",D494=""),"",IF(D494&lt;TODAY(),"Süresi geçti",IF(D494&lt;=TODAY()+30,"30 gün içinde",IF(D494&lt;=TODAY()+90,"90 gün içinde","İleride"))))</f>
        <v/>
      </c>
      <c r="G494" s="64">
        <f>IF(A494="","",Firmalar!$H$30)</f>
        <v/>
      </c>
    </row>
    <row r="495" ht="18" customHeight="1">
      <c r="A495" s="61">
        <f>IF(Firmalar!$B$30="","",Firmalar!$B$30)</f>
        <v/>
      </c>
      <c r="B495" s="61">
        <f>IF(Firmalar!$B$30="","",Firmalar!$I$30)</f>
        <v/>
      </c>
      <c r="C495" s="61" t="inlineStr">
        <is>
          <t>Saha ziyareti</t>
        </is>
      </c>
      <c r="D495" s="62">
        <f>IF(Firmalar!$B$30="","",Firmalar!$GD$30)</f>
        <v/>
      </c>
      <c r="E495" s="63">
        <f>IF(OR(A495="",D495=""),"",D495-TODAY())</f>
        <v/>
      </c>
      <c r="F495" s="64">
        <f>IF(OR(A495="",D495=""),"",IF(D495&lt;TODAY(),"Süresi geçti",IF(D495&lt;=TODAY()+30,"30 gün içinde",IF(D495&lt;=TODAY()+90,"90 gün içinde","İleride"))))</f>
        <v/>
      </c>
      <c r="G495" s="64">
        <f>IF(A495="","",Firmalar!$H$30)</f>
        <v/>
      </c>
    </row>
    <row r="496" ht="18" customHeight="1">
      <c r="A496" s="61">
        <f>IF(Firmalar!$B$30="","",Firmalar!$B$30)</f>
        <v/>
      </c>
      <c r="B496" s="61">
        <f>IF(Firmalar!$B$30="","",Firmalar!$I$30)</f>
        <v/>
      </c>
      <c r="C496" s="61" t="inlineStr">
        <is>
          <t>Resmî yazı cevabı</t>
        </is>
      </c>
      <c r="D496" s="62">
        <f>IF(Firmalar!$B$30="","",Firmalar!$GE$30)</f>
        <v/>
      </c>
      <c r="E496" s="63">
        <f>IF(OR(A496="",D496=""),"",D496-TODAY())</f>
        <v/>
      </c>
      <c r="F496" s="64">
        <f>IF(OR(A496="",D496=""),"",IF(D496&lt;TODAY(),"Süresi geçti",IF(D496&lt;=TODAY()+30,"30 gün içinde",IF(D496&lt;=TODAY()+90,"90 gün içinde","İleride"))))</f>
        <v/>
      </c>
      <c r="G496" s="64">
        <f>IF(A496="","",Firmalar!$H$30)</f>
        <v/>
      </c>
    </row>
    <row r="497" ht="18" customHeight="1">
      <c r="A497" s="61">
        <f>IF(Firmalar!$B$30="","",Firmalar!$B$30)</f>
        <v/>
      </c>
      <c r="B497" s="61">
        <f>IF(Firmalar!$B$30="","",Firmalar!$I$30)</f>
        <v/>
      </c>
      <c r="C497" s="61" t="inlineStr">
        <is>
          <t>Uygunsuzluk kapanışı</t>
        </is>
      </c>
      <c r="D497" s="62">
        <f>IF(Firmalar!$B$30="","",Firmalar!$GF$30)</f>
        <v/>
      </c>
      <c r="E497" s="63">
        <f>IF(OR(A497="",D497=""),"",D497-TODAY())</f>
        <v/>
      </c>
      <c r="F497" s="64">
        <f>IF(OR(A497="",D497=""),"",IF(D497&lt;TODAY(),"Süresi geçti",IF(D497&lt;=TODAY()+30,"30 gün içinde",IF(D497&lt;=TODAY()+90,"90 gün içinde","İleride"))))</f>
        <v/>
      </c>
      <c r="G497" s="64">
        <f>IF(A497="","",Firmalar!$H$30)</f>
        <v/>
      </c>
    </row>
    <row r="498" ht="18" customHeight="1">
      <c r="A498" s="61">
        <f>IF(Firmalar!$B$30="","",Firmalar!$B$30)</f>
        <v/>
      </c>
      <c r="B498" s="61">
        <f>IF(Firmalar!$B$30="","",Firmalar!$I$30)</f>
        <v/>
      </c>
      <c r="C498" s="61" t="inlineStr">
        <is>
          <t>Öncelikli işlem</t>
        </is>
      </c>
      <c r="D498" s="62">
        <f>IF(Firmalar!$B$30="","",Firmalar!$GG$30)</f>
        <v/>
      </c>
      <c r="E498" s="63">
        <f>IF(OR(A498="",D498=""),"",D498-TODAY())</f>
        <v/>
      </c>
      <c r="F498" s="64">
        <f>IF(OR(A498="",D498=""),"",IF(D498&lt;TODAY(),"Süresi geçti",IF(D498&lt;=TODAY()+30,"30 gün içinde",IF(D498&lt;=TODAY()+90,"90 gün içinde","İleride"))))</f>
        <v/>
      </c>
      <c r="G498" s="64">
        <f>IF(A498="","",Firmalar!$H$30)</f>
        <v/>
      </c>
    </row>
    <row r="499" ht="18" customHeight="1">
      <c r="A499" s="61">
        <f>IF(Firmalar!$B$31="","",Firmalar!$B$31)</f>
        <v/>
      </c>
      <c r="B499" s="61">
        <f>IF(Firmalar!$B$31="","",Firmalar!$I$31)</f>
        <v/>
      </c>
      <c r="C499" s="61" t="inlineStr">
        <is>
          <t>Çevre izni bitiş</t>
        </is>
      </c>
      <c r="D499" s="62">
        <f>IF(Firmalar!$B$31="","",Firmalar!$FO$31)</f>
        <v/>
      </c>
      <c r="E499" s="63">
        <f>IF(OR(A499="",D499=""),"",D499-TODAY())</f>
        <v/>
      </c>
      <c r="F499" s="64">
        <f>IF(OR(A499="",D499=""),"",IF(D499&lt;TODAY(),"Süresi geçti",IF(D499&lt;=TODAY()+30,"30 gün içinde",IF(D499&lt;=TODAY()+90,"90 gün içinde","İleride"))))</f>
        <v/>
      </c>
      <c r="G499" s="64">
        <f>IF(A499="","",Firmalar!$H$31)</f>
        <v/>
      </c>
    </row>
    <row r="500" ht="18" customHeight="1">
      <c r="A500" s="61">
        <f>IF(Firmalar!$B$31="","",Firmalar!$B$31)</f>
        <v/>
      </c>
      <c r="B500" s="61">
        <f>IF(Firmalar!$B$31="","",Firmalar!$I$31)</f>
        <v/>
      </c>
      <c r="C500" s="61" t="inlineStr">
        <is>
          <t>Çevre izni başvurusu</t>
        </is>
      </c>
      <c r="D500" s="62">
        <f>IF(Firmalar!$B$31="","",Firmalar!$FP$31)</f>
        <v/>
      </c>
      <c r="E500" s="63">
        <f>IF(OR(A500="",D500=""),"",D500-TODAY())</f>
        <v/>
      </c>
      <c r="F500" s="64">
        <f>IF(OR(A500="",D500=""),"",IF(D500&lt;TODAY(),"Süresi geçti",IF(D500&lt;=TODAY()+30,"30 gün içinde",IF(D500&lt;=TODAY()+90,"90 gün içinde","İleride"))))</f>
        <v/>
      </c>
      <c r="G500" s="64">
        <f>IF(A500="","",Firmalar!$H$31)</f>
        <v/>
      </c>
    </row>
    <row r="501" ht="18" customHeight="1">
      <c r="A501" s="61">
        <f>IF(Firmalar!$B$31="","",Firmalar!$B$31)</f>
        <v/>
      </c>
      <c r="B501" s="61">
        <f>IF(Firmalar!$B$31="","",Firmalar!$I$31)</f>
        <v/>
      </c>
      <c r="C501" s="61" t="inlineStr">
        <is>
          <t>GFB bitiş</t>
        </is>
      </c>
      <c r="D501" s="62">
        <f>IF(Firmalar!$B$31="","",Firmalar!$FQ$31)</f>
        <v/>
      </c>
      <c r="E501" s="63">
        <f>IF(OR(A501="",D501=""),"",D501-TODAY())</f>
        <v/>
      </c>
      <c r="F501" s="64">
        <f>IF(OR(A501="",D501=""),"",IF(D501&lt;TODAY(),"Süresi geçti",IF(D501&lt;=TODAY()+30,"30 gün içinde",IF(D501&lt;=TODAY()+90,"90 gün içinde","İleride"))))</f>
        <v/>
      </c>
      <c r="G501" s="64">
        <f>IF(A501="","",Firmalar!$H$31)</f>
        <v/>
      </c>
    </row>
    <row r="502" ht="18" customHeight="1">
      <c r="A502" s="61">
        <f>IF(Firmalar!$B$31="","",Firmalar!$B$31)</f>
        <v/>
      </c>
      <c r="B502" s="61">
        <f>IF(Firmalar!$B$31="","",Firmalar!$I$31)</f>
        <v/>
      </c>
      <c r="C502" s="61" t="inlineStr">
        <is>
          <t>Sözleşme bitiş</t>
        </is>
      </c>
      <c r="D502" s="62">
        <f>IF(Firmalar!$B$31="","",Firmalar!$FR$31)</f>
        <v/>
      </c>
      <c r="E502" s="63">
        <f>IF(OR(A502="",D502=""),"",D502-TODAY())</f>
        <v/>
      </c>
      <c r="F502" s="64">
        <f>IF(OR(A502="",D502=""),"",IF(D502&lt;TODAY(),"Süresi geçti",IF(D502&lt;=TODAY()+30,"30 gün içinde",IF(D502&lt;=TODAY()+90,"90 gün içinde","İleride"))))</f>
        <v/>
      </c>
      <c r="G502" s="64">
        <f>IF(A502="","",Firmalar!$H$31)</f>
        <v/>
      </c>
    </row>
    <row r="503" ht="18" customHeight="1">
      <c r="A503" s="61">
        <f>IF(Firmalar!$B$31="","",Firmalar!$B$31)</f>
        <v/>
      </c>
      <c r="B503" s="61">
        <f>IF(Firmalar!$B$31="","",Firmalar!$I$31)</f>
        <v/>
      </c>
      <c r="C503" s="61" t="inlineStr">
        <is>
          <t>Sıfır Atık bitiş</t>
        </is>
      </c>
      <c r="D503" s="62">
        <f>IF(Firmalar!$B$31="","",Firmalar!$FS$31)</f>
        <v/>
      </c>
      <c r="E503" s="63">
        <f>IF(OR(A503="",D503=""),"",D503-TODAY())</f>
        <v/>
      </c>
      <c r="F503" s="64">
        <f>IF(OR(A503="",D503=""),"",IF(D503&lt;TODAY(),"Süresi geçti",IF(D503&lt;=TODAY()+30,"30 gün içinde",IF(D503&lt;=TODAY()+90,"90 gün içinde","İleride"))))</f>
        <v/>
      </c>
      <c r="G503" s="64">
        <f>IF(A503="","",Firmalar!$H$31)</f>
        <v/>
      </c>
    </row>
    <row r="504" ht="18" customHeight="1">
      <c r="A504" s="61">
        <f>IF(Firmalar!$B$31="","",Firmalar!$B$31)</f>
        <v/>
      </c>
      <c r="B504" s="61">
        <f>IF(Firmalar!$B$31="","",Firmalar!$I$31)</f>
        <v/>
      </c>
      <c r="C504" s="61" t="inlineStr">
        <is>
          <t>Atık planı bitiş</t>
        </is>
      </c>
      <c r="D504" s="62">
        <f>IF(Firmalar!$B$31="","",Firmalar!$FT$31)</f>
        <v/>
      </c>
      <c r="E504" s="63">
        <f>IF(OR(A504="",D504=""),"",D504-TODAY())</f>
        <v/>
      </c>
      <c r="F504" s="64">
        <f>IF(OR(A504="",D504=""),"",IF(D504&lt;TODAY(),"Süresi geçti",IF(D504&lt;=TODAY()+30,"30 gün içinde",IF(D504&lt;=TODAY()+90,"90 gün içinde","İleride"))))</f>
        <v/>
      </c>
      <c r="G504" s="64">
        <f>IF(A504="","",Firmalar!$H$31)</f>
        <v/>
      </c>
    </row>
    <row r="505" ht="18" customHeight="1">
      <c r="A505" s="61">
        <f>IF(Firmalar!$B$31="","",Firmalar!$B$31)</f>
        <v/>
      </c>
      <c r="B505" s="61">
        <f>IF(Firmalar!$B$31="","",Firmalar!$I$31)</f>
        <v/>
      </c>
      <c r="C505" s="61" t="inlineStr">
        <is>
          <t>Emisyon teyidi</t>
        </is>
      </c>
      <c r="D505" s="62">
        <f>IF(Firmalar!$B$31="","",Firmalar!$FU$31)</f>
        <v/>
      </c>
      <c r="E505" s="63">
        <f>IF(OR(A505="",D505=""),"",D505-TODAY())</f>
        <v/>
      </c>
      <c r="F505" s="64">
        <f>IF(OR(A505="",D505=""),"",IF(D505&lt;TODAY(),"Süresi geçti",IF(D505&lt;=TODAY()+30,"30 gün içinde",IF(D505&lt;=TODAY()+90,"90 gün içinde","İleride"))))</f>
        <v/>
      </c>
      <c r="G505" s="64">
        <f>IF(A505="","",Firmalar!$H$31)</f>
        <v/>
      </c>
    </row>
    <row r="506" ht="18" customHeight="1">
      <c r="A506" s="61">
        <f>IF(Firmalar!$B$31="","",Firmalar!$B$31)</f>
        <v/>
      </c>
      <c r="B506" s="61">
        <f>IF(Firmalar!$B$31="","",Firmalar!$I$31)</f>
        <v/>
      </c>
      <c r="C506" s="61" t="inlineStr">
        <is>
          <t>Emisyon ölçümü</t>
        </is>
      </c>
      <c r="D506" s="62">
        <f>IF(Firmalar!$B$31="","",Firmalar!$FV$31)</f>
        <v/>
      </c>
      <c r="E506" s="63">
        <f>IF(OR(A506="",D506=""),"",D506-TODAY())</f>
        <v/>
      </c>
      <c r="F506" s="64">
        <f>IF(OR(A506="",D506=""),"",IF(D506&lt;TODAY(),"Süresi geçti",IF(D506&lt;=TODAY()+30,"30 gün içinde",IF(D506&lt;=TODAY()+90,"90 gün içinde","İleride"))))</f>
        <v/>
      </c>
      <c r="G506" s="64">
        <f>IF(A506="","",Firmalar!$H$31)</f>
        <v/>
      </c>
    </row>
    <row r="507" ht="18" customHeight="1">
      <c r="A507" s="61">
        <f>IF(Firmalar!$B$31="","",Firmalar!$B$31)</f>
        <v/>
      </c>
      <c r="B507" s="61">
        <f>IF(Firmalar!$B$31="","",Firmalar!$I$31)</f>
        <v/>
      </c>
      <c r="C507" s="61" t="inlineStr">
        <is>
          <t>İç tetkik</t>
        </is>
      </c>
      <c r="D507" s="62">
        <f>IF(Firmalar!$B$31="","",Firmalar!$FW$31)</f>
        <v/>
      </c>
      <c r="E507" s="63">
        <f>IF(OR(A507="",D507=""),"",D507-TODAY())</f>
        <v/>
      </c>
      <c r="F507" s="64">
        <f>IF(OR(A507="",D507=""),"",IF(D507&lt;TODAY(),"Süresi geçti",IF(D507&lt;=TODAY()+30,"30 gün içinde",IF(D507&lt;=TODAY()+90,"90 gün içinde","İleride"))))</f>
        <v/>
      </c>
      <c r="G507" s="64">
        <f>IF(A507="","",Firmalar!$H$31)</f>
        <v/>
      </c>
    </row>
    <row r="508" ht="18" customHeight="1">
      <c r="A508" s="61">
        <f>IF(Firmalar!$B$31="","",Firmalar!$B$31)</f>
        <v/>
      </c>
      <c r="B508" s="61">
        <f>IF(Firmalar!$B$31="","",Firmalar!$I$31)</f>
        <v/>
      </c>
      <c r="C508" s="61" t="inlineStr">
        <is>
          <t>İç tetkik planı</t>
        </is>
      </c>
      <c r="D508" s="62">
        <f>IF(Firmalar!$B$31="","",Firmalar!$FX$31)</f>
        <v/>
      </c>
      <c r="E508" s="63">
        <f>IF(OR(A508="",D508=""),"",D508-TODAY())</f>
        <v/>
      </c>
      <c r="F508" s="64">
        <f>IF(OR(A508="",D508=""),"",IF(D508&lt;TODAY(),"Süresi geçti",IF(D508&lt;=TODAY()+30,"30 gün içinde",IF(D508&lt;=TODAY()+90,"90 gün içinde","İleride"))))</f>
        <v/>
      </c>
      <c r="G508" s="64">
        <f>IF(A508="","",Firmalar!$H$31)</f>
        <v/>
      </c>
    </row>
    <row r="509" ht="18" customHeight="1">
      <c r="A509" s="61">
        <f>IF(Firmalar!$B$31="","",Firmalar!$B$31)</f>
        <v/>
      </c>
      <c r="B509" s="61">
        <f>IF(Firmalar!$B$31="","",Firmalar!$I$31)</f>
        <v/>
      </c>
      <c r="C509" s="61" t="inlineStr">
        <is>
          <t>Çevre eğitimi</t>
        </is>
      </c>
      <c r="D509" s="62">
        <f>IF(Firmalar!$B$31="","",Firmalar!$FY$31)</f>
        <v/>
      </c>
      <c r="E509" s="63">
        <f>IF(OR(A509="",D509=""),"",D509-TODAY())</f>
        <v/>
      </c>
      <c r="F509" s="64">
        <f>IF(OR(A509="",D509=""),"",IF(D509&lt;TODAY(),"Süresi geçti",IF(D509&lt;=TODAY()+30,"30 gün içinde",IF(D509&lt;=TODAY()+90,"90 gün içinde","İleride"))))</f>
        <v/>
      </c>
      <c r="G509" s="64">
        <f>IF(A509="","",Firmalar!$H$31)</f>
        <v/>
      </c>
    </row>
    <row r="510" ht="18" customHeight="1">
      <c r="A510" s="61">
        <f>IF(Firmalar!$B$31="","",Firmalar!$B$31)</f>
        <v/>
      </c>
      <c r="B510" s="61">
        <f>IF(Firmalar!$B$31="","",Firmalar!$I$31)</f>
        <v/>
      </c>
      <c r="C510" s="61" t="inlineStr">
        <is>
          <t>Eğitim planı</t>
        </is>
      </c>
      <c r="D510" s="62">
        <f>IF(Firmalar!$B$31="","",Firmalar!$FZ$31)</f>
        <v/>
      </c>
      <c r="E510" s="63">
        <f>IF(OR(A510="",D510=""),"",D510-TODAY())</f>
        <v/>
      </c>
      <c r="F510" s="64">
        <f>IF(OR(A510="",D510=""),"",IF(D510&lt;TODAY(),"Süresi geçti",IF(D510&lt;=TODAY()+30,"30 gün içinde",IF(D510&lt;=TODAY()+90,"90 gün içinde","İleride"))))</f>
        <v/>
      </c>
      <c r="G510" s="64">
        <f>IF(A510="","",Firmalar!$H$31)</f>
        <v/>
      </c>
    </row>
    <row r="511" ht="18" customHeight="1">
      <c r="A511" s="61">
        <f>IF(Firmalar!$B$31="","",Firmalar!$B$31)</f>
        <v/>
      </c>
      <c r="B511" s="61">
        <f>IF(Firmalar!$B$31="","",Firmalar!$I$31)</f>
        <v/>
      </c>
      <c r="C511" s="61" t="inlineStr">
        <is>
          <t>Kanal belgesi bitiş</t>
        </is>
      </c>
      <c r="D511" s="62">
        <f>IF(Firmalar!$B$31="","",Firmalar!$GA$31)</f>
        <v/>
      </c>
      <c r="E511" s="63">
        <f>IF(OR(A511="",D511=""),"",D511-TODAY())</f>
        <v/>
      </c>
      <c r="F511" s="64">
        <f>IF(OR(A511="",D511=""),"",IF(D511&lt;TODAY(),"Süresi geçti",IF(D511&lt;=TODAY()+30,"30 gün içinde",IF(D511&lt;=TODAY()+90,"90 gün içinde","İleride"))))</f>
        <v/>
      </c>
      <c r="G511" s="64">
        <f>IF(A511="","",Firmalar!$H$31)</f>
        <v/>
      </c>
    </row>
    <row r="512" ht="18" customHeight="1">
      <c r="A512" s="61">
        <f>IF(Firmalar!$B$31="","",Firmalar!$B$31)</f>
        <v/>
      </c>
      <c r="B512" s="61">
        <f>IF(Firmalar!$B$31="","",Firmalar!$I$31)</f>
        <v/>
      </c>
      <c r="C512" s="61" t="inlineStr">
        <is>
          <t>Deşarj izni bitiş</t>
        </is>
      </c>
      <c r="D512" s="62">
        <f>IF(Firmalar!$B$31="","",Firmalar!$GB$31)</f>
        <v/>
      </c>
      <c r="E512" s="63">
        <f>IF(OR(A512="",D512=""),"",D512-TODAY())</f>
        <v/>
      </c>
      <c r="F512" s="64">
        <f>IF(OR(A512="",D512=""),"",IF(D512&lt;TODAY(),"Süresi geçti",IF(D512&lt;=TODAY()+30,"30 gün içinde",IF(D512&lt;=TODAY()+90,"90 gün içinde","İleride"))))</f>
        <v/>
      </c>
      <c r="G512" s="64">
        <f>IF(A512="","",Firmalar!$H$31)</f>
        <v/>
      </c>
    </row>
    <row r="513" ht="18" customHeight="1">
      <c r="A513" s="61">
        <f>IF(Firmalar!$B$31="","",Firmalar!$B$31)</f>
        <v/>
      </c>
      <c r="B513" s="61">
        <f>IF(Firmalar!$B$31="","",Firmalar!$I$31)</f>
        <v/>
      </c>
      <c r="C513" s="61" t="inlineStr">
        <is>
          <t>Atıksu analizi</t>
        </is>
      </c>
      <c r="D513" s="62">
        <f>IF(Firmalar!$B$31="","",Firmalar!$GC$31)</f>
        <v/>
      </c>
      <c r="E513" s="63">
        <f>IF(OR(A513="",D513=""),"",D513-TODAY())</f>
        <v/>
      </c>
      <c r="F513" s="64">
        <f>IF(OR(A513="",D513=""),"",IF(D513&lt;TODAY(),"Süresi geçti",IF(D513&lt;=TODAY()+30,"30 gün içinde",IF(D513&lt;=TODAY()+90,"90 gün içinde","İleride"))))</f>
        <v/>
      </c>
      <c r="G513" s="64">
        <f>IF(A513="","",Firmalar!$H$31)</f>
        <v/>
      </c>
    </row>
    <row r="514" ht="18" customHeight="1">
      <c r="A514" s="61">
        <f>IF(Firmalar!$B$31="","",Firmalar!$B$31)</f>
        <v/>
      </c>
      <c r="B514" s="61">
        <f>IF(Firmalar!$B$31="","",Firmalar!$I$31)</f>
        <v/>
      </c>
      <c r="C514" s="61" t="inlineStr">
        <is>
          <t>Saha ziyareti</t>
        </is>
      </c>
      <c r="D514" s="62">
        <f>IF(Firmalar!$B$31="","",Firmalar!$GD$31)</f>
        <v/>
      </c>
      <c r="E514" s="63">
        <f>IF(OR(A514="",D514=""),"",D514-TODAY())</f>
        <v/>
      </c>
      <c r="F514" s="64">
        <f>IF(OR(A514="",D514=""),"",IF(D514&lt;TODAY(),"Süresi geçti",IF(D514&lt;=TODAY()+30,"30 gün içinde",IF(D514&lt;=TODAY()+90,"90 gün içinde","İleride"))))</f>
        <v/>
      </c>
      <c r="G514" s="64">
        <f>IF(A514="","",Firmalar!$H$31)</f>
        <v/>
      </c>
    </row>
    <row r="515" ht="18" customHeight="1">
      <c r="A515" s="61">
        <f>IF(Firmalar!$B$31="","",Firmalar!$B$31)</f>
        <v/>
      </c>
      <c r="B515" s="61">
        <f>IF(Firmalar!$B$31="","",Firmalar!$I$31)</f>
        <v/>
      </c>
      <c r="C515" s="61" t="inlineStr">
        <is>
          <t>Resmî yazı cevabı</t>
        </is>
      </c>
      <c r="D515" s="62">
        <f>IF(Firmalar!$B$31="","",Firmalar!$GE$31)</f>
        <v/>
      </c>
      <c r="E515" s="63">
        <f>IF(OR(A515="",D515=""),"",D515-TODAY())</f>
        <v/>
      </c>
      <c r="F515" s="64">
        <f>IF(OR(A515="",D515=""),"",IF(D515&lt;TODAY(),"Süresi geçti",IF(D515&lt;=TODAY()+30,"30 gün içinde",IF(D515&lt;=TODAY()+90,"90 gün içinde","İleride"))))</f>
        <v/>
      </c>
      <c r="G515" s="64">
        <f>IF(A515="","",Firmalar!$H$31)</f>
        <v/>
      </c>
    </row>
    <row r="516" ht="18" customHeight="1">
      <c r="A516" s="61">
        <f>IF(Firmalar!$B$31="","",Firmalar!$B$31)</f>
        <v/>
      </c>
      <c r="B516" s="61">
        <f>IF(Firmalar!$B$31="","",Firmalar!$I$31)</f>
        <v/>
      </c>
      <c r="C516" s="61" t="inlineStr">
        <is>
          <t>Uygunsuzluk kapanışı</t>
        </is>
      </c>
      <c r="D516" s="62">
        <f>IF(Firmalar!$B$31="","",Firmalar!$GF$31)</f>
        <v/>
      </c>
      <c r="E516" s="63">
        <f>IF(OR(A516="",D516=""),"",D516-TODAY())</f>
        <v/>
      </c>
      <c r="F516" s="64">
        <f>IF(OR(A516="",D516=""),"",IF(D516&lt;TODAY(),"Süresi geçti",IF(D516&lt;=TODAY()+30,"30 gün içinde",IF(D516&lt;=TODAY()+90,"90 gün içinde","İleride"))))</f>
        <v/>
      </c>
      <c r="G516" s="64">
        <f>IF(A516="","",Firmalar!$H$31)</f>
        <v/>
      </c>
    </row>
    <row r="517" ht="18" customHeight="1">
      <c r="A517" s="61">
        <f>IF(Firmalar!$B$31="","",Firmalar!$B$31)</f>
        <v/>
      </c>
      <c r="B517" s="61">
        <f>IF(Firmalar!$B$31="","",Firmalar!$I$31)</f>
        <v/>
      </c>
      <c r="C517" s="61" t="inlineStr">
        <is>
          <t>Öncelikli işlem</t>
        </is>
      </c>
      <c r="D517" s="62">
        <f>IF(Firmalar!$B$31="","",Firmalar!$GG$31)</f>
        <v/>
      </c>
      <c r="E517" s="63">
        <f>IF(OR(A517="",D517=""),"",D517-TODAY())</f>
        <v/>
      </c>
      <c r="F517" s="64">
        <f>IF(OR(A517="",D517=""),"",IF(D517&lt;TODAY(),"Süresi geçti",IF(D517&lt;=TODAY()+30,"30 gün içinde",IF(D517&lt;=TODAY()+90,"90 gün içinde","İleride"))))</f>
        <v/>
      </c>
      <c r="G517" s="64">
        <f>IF(A517="","",Firmalar!$H$31)</f>
        <v/>
      </c>
    </row>
    <row r="518" ht="18" customHeight="1">
      <c r="A518" s="61">
        <f>IF(Firmalar!$B$32="","",Firmalar!$B$32)</f>
        <v/>
      </c>
      <c r="B518" s="61">
        <f>IF(Firmalar!$B$32="","",Firmalar!$I$32)</f>
        <v/>
      </c>
      <c r="C518" s="61" t="inlineStr">
        <is>
          <t>Çevre izni bitiş</t>
        </is>
      </c>
      <c r="D518" s="62">
        <f>IF(Firmalar!$B$32="","",Firmalar!$FO$32)</f>
        <v/>
      </c>
      <c r="E518" s="63">
        <f>IF(OR(A518="",D518=""),"",D518-TODAY())</f>
        <v/>
      </c>
      <c r="F518" s="64">
        <f>IF(OR(A518="",D518=""),"",IF(D518&lt;TODAY(),"Süresi geçti",IF(D518&lt;=TODAY()+30,"30 gün içinde",IF(D518&lt;=TODAY()+90,"90 gün içinde","İleride"))))</f>
        <v/>
      </c>
      <c r="G518" s="64">
        <f>IF(A518="","",Firmalar!$H$32)</f>
        <v/>
      </c>
    </row>
    <row r="519" ht="18" customHeight="1">
      <c r="A519" s="61">
        <f>IF(Firmalar!$B$32="","",Firmalar!$B$32)</f>
        <v/>
      </c>
      <c r="B519" s="61">
        <f>IF(Firmalar!$B$32="","",Firmalar!$I$32)</f>
        <v/>
      </c>
      <c r="C519" s="61" t="inlineStr">
        <is>
          <t>Çevre izni başvurusu</t>
        </is>
      </c>
      <c r="D519" s="62">
        <f>IF(Firmalar!$B$32="","",Firmalar!$FP$32)</f>
        <v/>
      </c>
      <c r="E519" s="63">
        <f>IF(OR(A519="",D519=""),"",D519-TODAY())</f>
        <v/>
      </c>
      <c r="F519" s="64">
        <f>IF(OR(A519="",D519=""),"",IF(D519&lt;TODAY(),"Süresi geçti",IF(D519&lt;=TODAY()+30,"30 gün içinde",IF(D519&lt;=TODAY()+90,"90 gün içinde","İleride"))))</f>
        <v/>
      </c>
      <c r="G519" s="64">
        <f>IF(A519="","",Firmalar!$H$32)</f>
        <v/>
      </c>
    </row>
    <row r="520" ht="18" customHeight="1">
      <c r="A520" s="61">
        <f>IF(Firmalar!$B$32="","",Firmalar!$B$32)</f>
        <v/>
      </c>
      <c r="B520" s="61">
        <f>IF(Firmalar!$B$32="","",Firmalar!$I$32)</f>
        <v/>
      </c>
      <c r="C520" s="61" t="inlineStr">
        <is>
          <t>GFB bitiş</t>
        </is>
      </c>
      <c r="D520" s="62">
        <f>IF(Firmalar!$B$32="","",Firmalar!$FQ$32)</f>
        <v/>
      </c>
      <c r="E520" s="63">
        <f>IF(OR(A520="",D520=""),"",D520-TODAY())</f>
        <v/>
      </c>
      <c r="F520" s="64">
        <f>IF(OR(A520="",D520=""),"",IF(D520&lt;TODAY(),"Süresi geçti",IF(D520&lt;=TODAY()+30,"30 gün içinde",IF(D520&lt;=TODAY()+90,"90 gün içinde","İleride"))))</f>
        <v/>
      </c>
      <c r="G520" s="64">
        <f>IF(A520="","",Firmalar!$H$32)</f>
        <v/>
      </c>
    </row>
    <row r="521" ht="18" customHeight="1">
      <c r="A521" s="61">
        <f>IF(Firmalar!$B$32="","",Firmalar!$B$32)</f>
        <v/>
      </c>
      <c r="B521" s="61">
        <f>IF(Firmalar!$B$32="","",Firmalar!$I$32)</f>
        <v/>
      </c>
      <c r="C521" s="61" t="inlineStr">
        <is>
          <t>Sözleşme bitiş</t>
        </is>
      </c>
      <c r="D521" s="62">
        <f>IF(Firmalar!$B$32="","",Firmalar!$FR$32)</f>
        <v/>
      </c>
      <c r="E521" s="63">
        <f>IF(OR(A521="",D521=""),"",D521-TODAY())</f>
        <v/>
      </c>
      <c r="F521" s="64">
        <f>IF(OR(A521="",D521=""),"",IF(D521&lt;TODAY(),"Süresi geçti",IF(D521&lt;=TODAY()+30,"30 gün içinde",IF(D521&lt;=TODAY()+90,"90 gün içinde","İleride"))))</f>
        <v/>
      </c>
      <c r="G521" s="64">
        <f>IF(A521="","",Firmalar!$H$32)</f>
        <v/>
      </c>
    </row>
    <row r="522" ht="18" customHeight="1">
      <c r="A522" s="61">
        <f>IF(Firmalar!$B$32="","",Firmalar!$B$32)</f>
        <v/>
      </c>
      <c r="B522" s="61">
        <f>IF(Firmalar!$B$32="","",Firmalar!$I$32)</f>
        <v/>
      </c>
      <c r="C522" s="61" t="inlineStr">
        <is>
          <t>Sıfır Atık bitiş</t>
        </is>
      </c>
      <c r="D522" s="62">
        <f>IF(Firmalar!$B$32="","",Firmalar!$FS$32)</f>
        <v/>
      </c>
      <c r="E522" s="63">
        <f>IF(OR(A522="",D522=""),"",D522-TODAY())</f>
        <v/>
      </c>
      <c r="F522" s="64">
        <f>IF(OR(A522="",D522=""),"",IF(D522&lt;TODAY(),"Süresi geçti",IF(D522&lt;=TODAY()+30,"30 gün içinde",IF(D522&lt;=TODAY()+90,"90 gün içinde","İleride"))))</f>
        <v/>
      </c>
      <c r="G522" s="64">
        <f>IF(A522="","",Firmalar!$H$32)</f>
        <v/>
      </c>
    </row>
    <row r="523" ht="18" customHeight="1">
      <c r="A523" s="61">
        <f>IF(Firmalar!$B$32="","",Firmalar!$B$32)</f>
        <v/>
      </c>
      <c r="B523" s="61">
        <f>IF(Firmalar!$B$32="","",Firmalar!$I$32)</f>
        <v/>
      </c>
      <c r="C523" s="61" t="inlineStr">
        <is>
          <t>Atık planı bitiş</t>
        </is>
      </c>
      <c r="D523" s="62">
        <f>IF(Firmalar!$B$32="","",Firmalar!$FT$32)</f>
        <v/>
      </c>
      <c r="E523" s="63">
        <f>IF(OR(A523="",D523=""),"",D523-TODAY())</f>
        <v/>
      </c>
      <c r="F523" s="64">
        <f>IF(OR(A523="",D523=""),"",IF(D523&lt;TODAY(),"Süresi geçti",IF(D523&lt;=TODAY()+30,"30 gün içinde",IF(D523&lt;=TODAY()+90,"90 gün içinde","İleride"))))</f>
        <v/>
      </c>
      <c r="G523" s="64">
        <f>IF(A523="","",Firmalar!$H$32)</f>
        <v/>
      </c>
    </row>
    <row r="524" ht="18" customHeight="1">
      <c r="A524" s="61">
        <f>IF(Firmalar!$B$32="","",Firmalar!$B$32)</f>
        <v/>
      </c>
      <c r="B524" s="61">
        <f>IF(Firmalar!$B$32="","",Firmalar!$I$32)</f>
        <v/>
      </c>
      <c r="C524" s="61" t="inlineStr">
        <is>
          <t>Emisyon teyidi</t>
        </is>
      </c>
      <c r="D524" s="62">
        <f>IF(Firmalar!$B$32="","",Firmalar!$FU$32)</f>
        <v/>
      </c>
      <c r="E524" s="63">
        <f>IF(OR(A524="",D524=""),"",D524-TODAY())</f>
        <v/>
      </c>
      <c r="F524" s="64">
        <f>IF(OR(A524="",D524=""),"",IF(D524&lt;TODAY(),"Süresi geçti",IF(D524&lt;=TODAY()+30,"30 gün içinde",IF(D524&lt;=TODAY()+90,"90 gün içinde","İleride"))))</f>
        <v/>
      </c>
      <c r="G524" s="64">
        <f>IF(A524="","",Firmalar!$H$32)</f>
        <v/>
      </c>
    </row>
    <row r="525" ht="18" customHeight="1">
      <c r="A525" s="61">
        <f>IF(Firmalar!$B$32="","",Firmalar!$B$32)</f>
        <v/>
      </c>
      <c r="B525" s="61">
        <f>IF(Firmalar!$B$32="","",Firmalar!$I$32)</f>
        <v/>
      </c>
      <c r="C525" s="61" t="inlineStr">
        <is>
          <t>Emisyon ölçümü</t>
        </is>
      </c>
      <c r="D525" s="62">
        <f>IF(Firmalar!$B$32="","",Firmalar!$FV$32)</f>
        <v/>
      </c>
      <c r="E525" s="63">
        <f>IF(OR(A525="",D525=""),"",D525-TODAY())</f>
        <v/>
      </c>
      <c r="F525" s="64">
        <f>IF(OR(A525="",D525=""),"",IF(D525&lt;TODAY(),"Süresi geçti",IF(D525&lt;=TODAY()+30,"30 gün içinde",IF(D525&lt;=TODAY()+90,"90 gün içinde","İleride"))))</f>
        <v/>
      </c>
      <c r="G525" s="64">
        <f>IF(A525="","",Firmalar!$H$32)</f>
        <v/>
      </c>
    </row>
    <row r="526" ht="18" customHeight="1">
      <c r="A526" s="61">
        <f>IF(Firmalar!$B$32="","",Firmalar!$B$32)</f>
        <v/>
      </c>
      <c r="B526" s="61">
        <f>IF(Firmalar!$B$32="","",Firmalar!$I$32)</f>
        <v/>
      </c>
      <c r="C526" s="61" t="inlineStr">
        <is>
          <t>İç tetkik</t>
        </is>
      </c>
      <c r="D526" s="62">
        <f>IF(Firmalar!$B$32="","",Firmalar!$FW$32)</f>
        <v/>
      </c>
      <c r="E526" s="63">
        <f>IF(OR(A526="",D526=""),"",D526-TODAY())</f>
        <v/>
      </c>
      <c r="F526" s="64">
        <f>IF(OR(A526="",D526=""),"",IF(D526&lt;TODAY(),"Süresi geçti",IF(D526&lt;=TODAY()+30,"30 gün içinde",IF(D526&lt;=TODAY()+90,"90 gün içinde","İleride"))))</f>
        <v/>
      </c>
      <c r="G526" s="64">
        <f>IF(A526="","",Firmalar!$H$32)</f>
        <v/>
      </c>
    </row>
    <row r="527" ht="18" customHeight="1">
      <c r="A527" s="61">
        <f>IF(Firmalar!$B$32="","",Firmalar!$B$32)</f>
        <v/>
      </c>
      <c r="B527" s="61">
        <f>IF(Firmalar!$B$32="","",Firmalar!$I$32)</f>
        <v/>
      </c>
      <c r="C527" s="61" t="inlineStr">
        <is>
          <t>İç tetkik planı</t>
        </is>
      </c>
      <c r="D527" s="62">
        <f>IF(Firmalar!$B$32="","",Firmalar!$FX$32)</f>
        <v/>
      </c>
      <c r="E527" s="63">
        <f>IF(OR(A527="",D527=""),"",D527-TODAY())</f>
        <v/>
      </c>
      <c r="F527" s="64">
        <f>IF(OR(A527="",D527=""),"",IF(D527&lt;TODAY(),"Süresi geçti",IF(D527&lt;=TODAY()+30,"30 gün içinde",IF(D527&lt;=TODAY()+90,"90 gün içinde","İleride"))))</f>
        <v/>
      </c>
      <c r="G527" s="64">
        <f>IF(A527="","",Firmalar!$H$32)</f>
        <v/>
      </c>
    </row>
    <row r="528" ht="18" customHeight="1">
      <c r="A528" s="61">
        <f>IF(Firmalar!$B$32="","",Firmalar!$B$32)</f>
        <v/>
      </c>
      <c r="B528" s="61">
        <f>IF(Firmalar!$B$32="","",Firmalar!$I$32)</f>
        <v/>
      </c>
      <c r="C528" s="61" t="inlineStr">
        <is>
          <t>Çevre eğitimi</t>
        </is>
      </c>
      <c r="D528" s="62">
        <f>IF(Firmalar!$B$32="","",Firmalar!$FY$32)</f>
        <v/>
      </c>
      <c r="E528" s="63">
        <f>IF(OR(A528="",D528=""),"",D528-TODAY())</f>
        <v/>
      </c>
      <c r="F528" s="64">
        <f>IF(OR(A528="",D528=""),"",IF(D528&lt;TODAY(),"Süresi geçti",IF(D528&lt;=TODAY()+30,"30 gün içinde",IF(D528&lt;=TODAY()+90,"90 gün içinde","İleride"))))</f>
        <v/>
      </c>
      <c r="G528" s="64">
        <f>IF(A528="","",Firmalar!$H$32)</f>
        <v/>
      </c>
    </row>
    <row r="529" ht="18" customHeight="1">
      <c r="A529" s="61">
        <f>IF(Firmalar!$B$32="","",Firmalar!$B$32)</f>
        <v/>
      </c>
      <c r="B529" s="61">
        <f>IF(Firmalar!$B$32="","",Firmalar!$I$32)</f>
        <v/>
      </c>
      <c r="C529" s="61" t="inlineStr">
        <is>
          <t>Eğitim planı</t>
        </is>
      </c>
      <c r="D529" s="62">
        <f>IF(Firmalar!$B$32="","",Firmalar!$FZ$32)</f>
        <v/>
      </c>
      <c r="E529" s="63">
        <f>IF(OR(A529="",D529=""),"",D529-TODAY())</f>
        <v/>
      </c>
      <c r="F529" s="64">
        <f>IF(OR(A529="",D529=""),"",IF(D529&lt;TODAY(),"Süresi geçti",IF(D529&lt;=TODAY()+30,"30 gün içinde",IF(D529&lt;=TODAY()+90,"90 gün içinde","İleride"))))</f>
        <v/>
      </c>
      <c r="G529" s="64">
        <f>IF(A529="","",Firmalar!$H$32)</f>
        <v/>
      </c>
    </row>
    <row r="530" ht="18" customHeight="1">
      <c r="A530" s="61">
        <f>IF(Firmalar!$B$32="","",Firmalar!$B$32)</f>
        <v/>
      </c>
      <c r="B530" s="61">
        <f>IF(Firmalar!$B$32="","",Firmalar!$I$32)</f>
        <v/>
      </c>
      <c r="C530" s="61" t="inlineStr">
        <is>
          <t>Kanal belgesi bitiş</t>
        </is>
      </c>
      <c r="D530" s="62">
        <f>IF(Firmalar!$B$32="","",Firmalar!$GA$32)</f>
        <v/>
      </c>
      <c r="E530" s="63">
        <f>IF(OR(A530="",D530=""),"",D530-TODAY())</f>
        <v/>
      </c>
      <c r="F530" s="64">
        <f>IF(OR(A530="",D530=""),"",IF(D530&lt;TODAY(),"Süresi geçti",IF(D530&lt;=TODAY()+30,"30 gün içinde",IF(D530&lt;=TODAY()+90,"90 gün içinde","İleride"))))</f>
        <v/>
      </c>
      <c r="G530" s="64">
        <f>IF(A530="","",Firmalar!$H$32)</f>
        <v/>
      </c>
    </row>
    <row r="531" ht="18" customHeight="1">
      <c r="A531" s="61">
        <f>IF(Firmalar!$B$32="","",Firmalar!$B$32)</f>
        <v/>
      </c>
      <c r="B531" s="61">
        <f>IF(Firmalar!$B$32="","",Firmalar!$I$32)</f>
        <v/>
      </c>
      <c r="C531" s="61" t="inlineStr">
        <is>
          <t>Deşarj izni bitiş</t>
        </is>
      </c>
      <c r="D531" s="62">
        <f>IF(Firmalar!$B$32="","",Firmalar!$GB$32)</f>
        <v/>
      </c>
      <c r="E531" s="63">
        <f>IF(OR(A531="",D531=""),"",D531-TODAY())</f>
        <v/>
      </c>
      <c r="F531" s="64">
        <f>IF(OR(A531="",D531=""),"",IF(D531&lt;TODAY(),"Süresi geçti",IF(D531&lt;=TODAY()+30,"30 gün içinde",IF(D531&lt;=TODAY()+90,"90 gün içinde","İleride"))))</f>
        <v/>
      </c>
      <c r="G531" s="64">
        <f>IF(A531="","",Firmalar!$H$32)</f>
        <v/>
      </c>
    </row>
    <row r="532" ht="18" customHeight="1">
      <c r="A532" s="61">
        <f>IF(Firmalar!$B$32="","",Firmalar!$B$32)</f>
        <v/>
      </c>
      <c r="B532" s="61">
        <f>IF(Firmalar!$B$32="","",Firmalar!$I$32)</f>
        <v/>
      </c>
      <c r="C532" s="61" t="inlineStr">
        <is>
          <t>Atıksu analizi</t>
        </is>
      </c>
      <c r="D532" s="62">
        <f>IF(Firmalar!$B$32="","",Firmalar!$GC$32)</f>
        <v/>
      </c>
      <c r="E532" s="63">
        <f>IF(OR(A532="",D532=""),"",D532-TODAY())</f>
        <v/>
      </c>
      <c r="F532" s="64">
        <f>IF(OR(A532="",D532=""),"",IF(D532&lt;TODAY(),"Süresi geçti",IF(D532&lt;=TODAY()+30,"30 gün içinde",IF(D532&lt;=TODAY()+90,"90 gün içinde","İleride"))))</f>
        <v/>
      </c>
      <c r="G532" s="64">
        <f>IF(A532="","",Firmalar!$H$32)</f>
        <v/>
      </c>
    </row>
    <row r="533" ht="18" customHeight="1">
      <c r="A533" s="61">
        <f>IF(Firmalar!$B$32="","",Firmalar!$B$32)</f>
        <v/>
      </c>
      <c r="B533" s="61">
        <f>IF(Firmalar!$B$32="","",Firmalar!$I$32)</f>
        <v/>
      </c>
      <c r="C533" s="61" t="inlineStr">
        <is>
          <t>Saha ziyareti</t>
        </is>
      </c>
      <c r="D533" s="62">
        <f>IF(Firmalar!$B$32="","",Firmalar!$GD$32)</f>
        <v/>
      </c>
      <c r="E533" s="63">
        <f>IF(OR(A533="",D533=""),"",D533-TODAY())</f>
        <v/>
      </c>
      <c r="F533" s="64">
        <f>IF(OR(A533="",D533=""),"",IF(D533&lt;TODAY(),"Süresi geçti",IF(D533&lt;=TODAY()+30,"30 gün içinde",IF(D533&lt;=TODAY()+90,"90 gün içinde","İleride"))))</f>
        <v/>
      </c>
      <c r="G533" s="64">
        <f>IF(A533="","",Firmalar!$H$32)</f>
        <v/>
      </c>
    </row>
    <row r="534" ht="18" customHeight="1">
      <c r="A534" s="61">
        <f>IF(Firmalar!$B$32="","",Firmalar!$B$32)</f>
        <v/>
      </c>
      <c r="B534" s="61">
        <f>IF(Firmalar!$B$32="","",Firmalar!$I$32)</f>
        <v/>
      </c>
      <c r="C534" s="61" t="inlineStr">
        <is>
          <t>Resmî yazı cevabı</t>
        </is>
      </c>
      <c r="D534" s="62">
        <f>IF(Firmalar!$B$32="","",Firmalar!$GE$32)</f>
        <v/>
      </c>
      <c r="E534" s="63">
        <f>IF(OR(A534="",D534=""),"",D534-TODAY())</f>
        <v/>
      </c>
      <c r="F534" s="64">
        <f>IF(OR(A534="",D534=""),"",IF(D534&lt;TODAY(),"Süresi geçti",IF(D534&lt;=TODAY()+30,"30 gün içinde",IF(D534&lt;=TODAY()+90,"90 gün içinde","İleride"))))</f>
        <v/>
      </c>
      <c r="G534" s="64">
        <f>IF(A534="","",Firmalar!$H$32)</f>
        <v/>
      </c>
    </row>
    <row r="535" ht="18" customHeight="1">
      <c r="A535" s="61">
        <f>IF(Firmalar!$B$32="","",Firmalar!$B$32)</f>
        <v/>
      </c>
      <c r="B535" s="61">
        <f>IF(Firmalar!$B$32="","",Firmalar!$I$32)</f>
        <v/>
      </c>
      <c r="C535" s="61" t="inlineStr">
        <is>
          <t>Uygunsuzluk kapanışı</t>
        </is>
      </c>
      <c r="D535" s="62">
        <f>IF(Firmalar!$B$32="","",Firmalar!$GF$32)</f>
        <v/>
      </c>
      <c r="E535" s="63">
        <f>IF(OR(A535="",D535=""),"",D535-TODAY())</f>
        <v/>
      </c>
      <c r="F535" s="64">
        <f>IF(OR(A535="",D535=""),"",IF(D535&lt;TODAY(),"Süresi geçti",IF(D535&lt;=TODAY()+30,"30 gün içinde",IF(D535&lt;=TODAY()+90,"90 gün içinde","İleride"))))</f>
        <v/>
      </c>
      <c r="G535" s="64">
        <f>IF(A535="","",Firmalar!$H$32)</f>
        <v/>
      </c>
    </row>
    <row r="536" ht="18" customHeight="1">
      <c r="A536" s="61">
        <f>IF(Firmalar!$B$32="","",Firmalar!$B$32)</f>
        <v/>
      </c>
      <c r="B536" s="61">
        <f>IF(Firmalar!$B$32="","",Firmalar!$I$32)</f>
        <v/>
      </c>
      <c r="C536" s="61" t="inlineStr">
        <is>
          <t>Öncelikli işlem</t>
        </is>
      </c>
      <c r="D536" s="62">
        <f>IF(Firmalar!$B$32="","",Firmalar!$GG$32)</f>
        <v/>
      </c>
      <c r="E536" s="63">
        <f>IF(OR(A536="",D536=""),"",D536-TODAY())</f>
        <v/>
      </c>
      <c r="F536" s="64">
        <f>IF(OR(A536="",D536=""),"",IF(D536&lt;TODAY(),"Süresi geçti",IF(D536&lt;=TODAY()+30,"30 gün içinde",IF(D536&lt;=TODAY()+90,"90 gün içinde","İleride"))))</f>
        <v/>
      </c>
      <c r="G536" s="64">
        <f>IF(A536="","",Firmalar!$H$32)</f>
        <v/>
      </c>
    </row>
    <row r="537" ht="18" customHeight="1">
      <c r="A537" s="61">
        <f>IF(Firmalar!$B$33="","",Firmalar!$B$33)</f>
        <v/>
      </c>
      <c r="B537" s="61">
        <f>IF(Firmalar!$B$33="","",Firmalar!$I$33)</f>
        <v/>
      </c>
      <c r="C537" s="61" t="inlineStr">
        <is>
          <t>Çevre izni bitiş</t>
        </is>
      </c>
      <c r="D537" s="62">
        <f>IF(Firmalar!$B$33="","",Firmalar!$FO$33)</f>
        <v/>
      </c>
      <c r="E537" s="63">
        <f>IF(OR(A537="",D537=""),"",D537-TODAY())</f>
        <v/>
      </c>
      <c r="F537" s="64">
        <f>IF(OR(A537="",D537=""),"",IF(D537&lt;TODAY(),"Süresi geçti",IF(D537&lt;=TODAY()+30,"30 gün içinde",IF(D537&lt;=TODAY()+90,"90 gün içinde","İleride"))))</f>
        <v/>
      </c>
      <c r="G537" s="64">
        <f>IF(A537="","",Firmalar!$H$33)</f>
        <v/>
      </c>
    </row>
    <row r="538" ht="18" customHeight="1">
      <c r="A538" s="61">
        <f>IF(Firmalar!$B$33="","",Firmalar!$B$33)</f>
        <v/>
      </c>
      <c r="B538" s="61">
        <f>IF(Firmalar!$B$33="","",Firmalar!$I$33)</f>
        <v/>
      </c>
      <c r="C538" s="61" t="inlineStr">
        <is>
          <t>Çevre izni başvurusu</t>
        </is>
      </c>
      <c r="D538" s="62">
        <f>IF(Firmalar!$B$33="","",Firmalar!$FP$33)</f>
        <v/>
      </c>
      <c r="E538" s="63">
        <f>IF(OR(A538="",D538=""),"",D538-TODAY())</f>
        <v/>
      </c>
      <c r="F538" s="64">
        <f>IF(OR(A538="",D538=""),"",IF(D538&lt;TODAY(),"Süresi geçti",IF(D538&lt;=TODAY()+30,"30 gün içinde",IF(D538&lt;=TODAY()+90,"90 gün içinde","İleride"))))</f>
        <v/>
      </c>
      <c r="G538" s="64">
        <f>IF(A538="","",Firmalar!$H$33)</f>
        <v/>
      </c>
    </row>
    <row r="539" ht="18" customHeight="1">
      <c r="A539" s="61">
        <f>IF(Firmalar!$B$33="","",Firmalar!$B$33)</f>
        <v/>
      </c>
      <c r="B539" s="61">
        <f>IF(Firmalar!$B$33="","",Firmalar!$I$33)</f>
        <v/>
      </c>
      <c r="C539" s="61" t="inlineStr">
        <is>
          <t>GFB bitiş</t>
        </is>
      </c>
      <c r="D539" s="62">
        <f>IF(Firmalar!$B$33="","",Firmalar!$FQ$33)</f>
        <v/>
      </c>
      <c r="E539" s="63">
        <f>IF(OR(A539="",D539=""),"",D539-TODAY())</f>
        <v/>
      </c>
      <c r="F539" s="64">
        <f>IF(OR(A539="",D539=""),"",IF(D539&lt;TODAY(),"Süresi geçti",IF(D539&lt;=TODAY()+30,"30 gün içinde",IF(D539&lt;=TODAY()+90,"90 gün içinde","İleride"))))</f>
        <v/>
      </c>
      <c r="G539" s="64">
        <f>IF(A539="","",Firmalar!$H$33)</f>
        <v/>
      </c>
    </row>
    <row r="540" ht="18" customHeight="1">
      <c r="A540" s="61">
        <f>IF(Firmalar!$B$33="","",Firmalar!$B$33)</f>
        <v/>
      </c>
      <c r="B540" s="61">
        <f>IF(Firmalar!$B$33="","",Firmalar!$I$33)</f>
        <v/>
      </c>
      <c r="C540" s="61" t="inlineStr">
        <is>
          <t>Sözleşme bitiş</t>
        </is>
      </c>
      <c r="D540" s="62">
        <f>IF(Firmalar!$B$33="","",Firmalar!$FR$33)</f>
        <v/>
      </c>
      <c r="E540" s="63">
        <f>IF(OR(A540="",D540=""),"",D540-TODAY())</f>
        <v/>
      </c>
      <c r="F540" s="64">
        <f>IF(OR(A540="",D540=""),"",IF(D540&lt;TODAY(),"Süresi geçti",IF(D540&lt;=TODAY()+30,"30 gün içinde",IF(D540&lt;=TODAY()+90,"90 gün içinde","İleride"))))</f>
        <v/>
      </c>
      <c r="G540" s="64">
        <f>IF(A540="","",Firmalar!$H$33)</f>
        <v/>
      </c>
    </row>
    <row r="541" ht="18" customHeight="1">
      <c r="A541" s="61">
        <f>IF(Firmalar!$B$33="","",Firmalar!$B$33)</f>
        <v/>
      </c>
      <c r="B541" s="61">
        <f>IF(Firmalar!$B$33="","",Firmalar!$I$33)</f>
        <v/>
      </c>
      <c r="C541" s="61" t="inlineStr">
        <is>
          <t>Sıfır Atık bitiş</t>
        </is>
      </c>
      <c r="D541" s="62">
        <f>IF(Firmalar!$B$33="","",Firmalar!$FS$33)</f>
        <v/>
      </c>
      <c r="E541" s="63">
        <f>IF(OR(A541="",D541=""),"",D541-TODAY())</f>
        <v/>
      </c>
      <c r="F541" s="64">
        <f>IF(OR(A541="",D541=""),"",IF(D541&lt;TODAY(),"Süresi geçti",IF(D541&lt;=TODAY()+30,"30 gün içinde",IF(D541&lt;=TODAY()+90,"90 gün içinde","İleride"))))</f>
        <v/>
      </c>
      <c r="G541" s="64">
        <f>IF(A541="","",Firmalar!$H$33)</f>
        <v/>
      </c>
    </row>
    <row r="542" ht="18" customHeight="1">
      <c r="A542" s="61">
        <f>IF(Firmalar!$B$33="","",Firmalar!$B$33)</f>
        <v/>
      </c>
      <c r="B542" s="61">
        <f>IF(Firmalar!$B$33="","",Firmalar!$I$33)</f>
        <v/>
      </c>
      <c r="C542" s="61" t="inlineStr">
        <is>
          <t>Atık planı bitiş</t>
        </is>
      </c>
      <c r="D542" s="62">
        <f>IF(Firmalar!$B$33="","",Firmalar!$FT$33)</f>
        <v/>
      </c>
      <c r="E542" s="63">
        <f>IF(OR(A542="",D542=""),"",D542-TODAY())</f>
        <v/>
      </c>
      <c r="F542" s="64">
        <f>IF(OR(A542="",D542=""),"",IF(D542&lt;TODAY(),"Süresi geçti",IF(D542&lt;=TODAY()+30,"30 gün içinde",IF(D542&lt;=TODAY()+90,"90 gün içinde","İleride"))))</f>
        <v/>
      </c>
      <c r="G542" s="64">
        <f>IF(A542="","",Firmalar!$H$33)</f>
        <v/>
      </c>
    </row>
    <row r="543" ht="18" customHeight="1">
      <c r="A543" s="61">
        <f>IF(Firmalar!$B$33="","",Firmalar!$B$33)</f>
        <v/>
      </c>
      <c r="B543" s="61">
        <f>IF(Firmalar!$B$33="","",Firmalar!$I$33)</f>
        <v/>
      </c>
      <c r="C543" s="61" t="inlineStr">
        <is>
          <t>Emisyon teyidi</t>
        </is>
      </c>
      <c r="D543" s="62">
        <f>IF(Firmalar!$B$33="","",Firmalar!$FU$33)</f>
        <v/>
      </c>
      <c r="E543" s="63">
        <f>IF(OR(A543="",D543=""),"",D543-TODAY())</f>
        <v/>
      </c>
      <c r="F543" s="64">
        <f>IF(OR(A543="",D543=""),"",IF(D543&lt;TODAY(),"Süresi geçti",IF(D543&lt;=TODAY()+30,"30 gün içinde",IF(D543&lt;=TODAY()+90,"90 gün içinde","İleride"))))</f>
        <v/>
      </c>
      <c r="G543" s="64">
        <f>IF(A543="","",Firmalar!$H$33)</f>
        <v/>
      </c>
    </row>
    <row r="544" ht="18" customHeight="1">
      <c r="A544" s="61">
        <f>IF(Firmalar!$B$33="","",Firmalar!$B$33)</f>
        <v/>
      </c>
      <c r="B544" s="61">
        <f>IF(Firmalar!$B$33="","",Firmalar!$I$33)</f>
        <v/>
      </c>
      <c r="C544" s="61" t="inlineStr">
        <is>
          <t>Emisyon ölçümü</t>
        </is>
      </c>
      <c r="D544" s="62">
        <f>IF(Firmalar!$B$33="","",Firmalar!$FV$33)</f>
        <v/>
      </c>
      <c r="E544" s="63">
        <f>IF(OR(A544="",D544=""),"",D544-TODAY())</f>
        <v/>
      </c>
      <c r="F544" s="64">
        <f>IF(OR(A544="",D544=""),"",IF(D544&lt;TODAY(),"Süresi geçti",IF(D544&lt;=TODAY()+30,"30 gün içinde",IF(D544&lt;=TODAY()+90,"90 gün içinde","İleride"))))</f>
        <v/>
      </c>
      <c r="G544" s="64">
        <f>IF(A544="","",Firmalar!$H$33)</f>
        <v/>
      </c>
    </row>
    <row r="545" ht="18" customHeight="1">
      <c r="A545" s="61">
        <f>IF(Firmalar!$B$33="","",Firmalar!$B$33)</f>
        <v/>
      </c>
      <c r="B545" s="61">
        <f>IF(Firmalar!$B$33="","",Firmalar!$I$33)</f>
        <v/>
      </c>
      <c r="C545" s="61" t="inlineStr">
        <is>
          <t>İç tetkik</t>
        </is>
      </c>
      <c r="D545" s="62">
        <f>IF(Firmalar!$B$33="","",Firmalar!$FW$33)</f>
        <v/>
      </c>
      <c r="E545" s="63">
        <f>IF(OR(A545="",D545=""),"",D545-TODAY())</f>
        <v/>
      </c>
      <c r="F545" s="64">
        <f>IF(OR(A545="",D545=""),"",IF(D545&lt;TODAY(),"Süresi geçti",IF(D545&lt;=TODAY()+30,"30 gün içinde",IF(D545&lt;=TODAY()+90,"90 gün içinde","İleride"))))</f>
        <v/>
      </c>
      <c r="G545" s="64">
        <f>IF(A545="","",Firmalar!$H$33)</f>
        <v/>
      </c>
    </row>
    <row r="546" ht="18" customHeight="1">
      <c r="A546" s="61">
        <f>IF(Firmalar!$B$33="","",Firmalar!$B$33)</f>
        <v/>
      </c>
      <c r="B546" s="61">
        <f>IF(Firmalar!$B$33="","",Firmalar!$I$33)</f>
        <v/>
      </c>
      <c r="C546" s="61" t="inlineStr">
        <is>
          <t>İç tetkik planı</t>
        </is>
      </c>
      <c r="D546" s="62">
        <f>IF(Firmalar!$B$33="","",Firmalar!$FX$33)</f>
        <v/>
      </c>
      <c r="E546" s="63">
        <f>IF(OR(A546="",D546=""),"",D546-TODAY())</f>
        <v/>
      </c>
      <c r="F546" s="64">
        <f>IF(OR(A546="",D546=""),"",IF(D546&lt;TODAY(),"Süresi geçti",IF(D546&lt;=TODAY()+30,"30 gün içinde",IF(D546&lt;=TODAY()+90,"90 gün içinde","İleride"))))</f>
        <v/>
      </c>
      <c r="G546" s="64">
        <f>IF(A546="","",Firmalar!$H$33)</f>
        <v/>
      </c>
    </row>
    <row r="547" ht="18" customHeight="1">
      <c r="A547" s="61">
        <f>IF(Firmalar!$B$33="","",Firmalar!$B$33)</f>
        <v/>
      </c>
      <c r="B547" s="61">
        <f>IF(Firmalar!$B$33="","",Firmalar!$I$33)</f>
        <v/>
      </c>
      <c r="C547" s="61" t="inlineStr">
        <is>
          <t>Çevre eğitimi</t>
        </is>
      </c>
      <c r="D547" s="62">
        <f>IF(Firmalar!$B$33="","",Firmalar!$FY$33)</f>
        <v/>
      </c>
      <c r="E547" s="63">
        <f>IF(OR(A547="",D547=""),"",D547-TODAY())</f>
        <v/>
      </c>
      <c r="F547" s="64">
        <f>IF(OR(A547="",D547=""),"",IF(D547&lt;TODAY(),"Süresi geçti",IF(D547&lt;=TODAY()+30,"30 gün içinde",IF(D547&lt;=TODAY()+90,"90 gün içinde","İleride"))))</f>
        <v/>
      </c>
      <c r="G547" s="64">
        <f>IF(A547="","",Firmalar!$H$33)</f>
        <v/>
      </c>
    </row>
    <row r="548" ht="18" customHeight="1">
      <c r="A548" s="61">
        <f>IF(Firmalar!$B$33="","",Firmalar!$B$33)</f>
        <v/>
      </c>
      <c r="B548" s="61">
        <f>IF(Firmalar!$B$33="","",Firmalar!$I$33)</f>
        <v/>
      </c>
      <c r="C548" s="61" t="inlineStr">
        <is>
          <t>Eğitim planı</t>
        </is>
      </c>
      <c r="D548" s="62">
        <f>IF(Firmalar!$B$33="","",Firmalar!$FZ$33)</f>
        <v/>
      </c>
      <c r="E548" s="63">
        <f>IF(OR(A548="",D548=""),"",D548-TODAY())</f>
        <v/>
      </c>
      <c r="F548" s="64">
        <f>IF(OR(A548="",D548=""),"",IF(D548&lt;TODAY(),"Süresi geçti",IF(D548&lt;=TODAY()+30,"30 gün içinde",IF(D548&lt;=TODAY()+90,"90 gün içinde","İleride"))))</f>
        <v/>
      </c>
      <c r="G548" s="64">
        <f>IF(A548="","",Firmalar!$H$33)</f>
        <v/>
      </c>
    </row>
    <row r="549" ht="18" customHeight="1">
      <c r="A549" s="61">
        <f>IF(Firmalar!$B$33="","",Firmalar!$B$33)</f>
        <v/>
      </c>
      <c r="B549" s="61">
        <f>IF(Firmalar!$B$33="","",Firmalar!$I$33)</f>
        <v/>
      </c>
      <c r="C549" s="61" t="inlineStr">
        <is>
          <t>Kanal belgesi bitiş</t>
        </is>
      </c>
      <c r="D549" s="62">
        <f>IF(Firmalar!$B$33="","",Firmalar!$GA$33)</f>
        <v/>
      </c>
      <c r="E549" s="63">
        <f>IF(OR(A549="",D549=""),"",D549-TODAY())</f>
        <v/>
      </c>
      <c r="F549" s="64">
        <f>IF(OR(A549="",D549=""),"",IF(D549&lt;TODAY(),"Süresi geçti",IF(D549&lt;=TODAY()+30,"30 gün içinde",IF(D549&lt;=TODAY()+90,"90 gün içinde","İleride"))))</f>
        <v/>
      </c>
      <c r="G549" s="64">
        <f>IF(A549="","",Firmalar!$H$33)</f>
        <v/>
      </c>
    </row>
    <row r="550" ht="18" customHeight="1">
      <c r="A550" s="61">
        <f>IF(Firmalar!$B$33="","",Firmalar!$B$33)</f>
        <v/>
      </c>
      <c r="B550" s="61">
        <f>IF(Firmalar!$B$33="","",Firmalar!$I$33)</f>
        <v/>
      </c>
      <c r="C550" s="61" t="inlineStr">
        <is>
          <t>Deşarj izni bitiş</t>
        </is>
      </c>
      <c r="D550" s="62">
        <f>IF(Firmalar!$B$33="","",Firmalar!$GB$33)</f>
        <v/>
      </c>
      <c r="E550" s="63">
        <f>IF(OR(A550="",D550=""),"",D550-TODAY())</f>
        <v/>
      </c>
      <c r="F550" s="64">
        <f>IF(OR(A550="",D550=""),"",IF(D550&lt;TODAY(),"Süresi geçti",IF(D550&lt;=TODAY()+30,"30 gün içinde",IF(D550&lt;=TODAY()+90,"90 gün içinde","İleride"))))</f>
        <v/>
      </c>
      <c r="G550" s="64">
        <f>IF(A550="","",Firmalar!$H$33)</f>
        <v/>
      </c>
    </row>
    <row r="551" ht="18" customHeight="1">
      <c r="A551" s="61">
        <f>IF(Firmalar!$B$33="","",Firmalar!$B$33)</f>
        <v/>
      </c>
      <c r="B551" s="61">
        <f>IF(Firmalar!$B$33="","",Firmalar!$I$33)</f>
        <v/>
      </c>
      <c r="C551" s="61" t="inlineStr">
        <is>
          <t>Atıksu analizi</t>
        </is>
      </c>
      <c r="D551" s="62">
        <f>IF(Firmalar!$B$33="","",Firmalar!$GC$33)</f>
        <v/>
      </c>
      <c r="E551" s="63">
        <f>IF(OR(A551="",D551=""),"",D551-TODAY())</f>
        <v/>
      </c>
      <c r="F551" s="64">
        <f>IF(OR(A551="",D551=""),"",IF(D551&lt;TODAY(),"Süresi geçti",IF(D551&lt;=TODAY()+30,"30 gün içinde",IF(D551&lt;=TODAY()+90,"90 gün içinde","İleride"))))</f>
        <v/>
      </c>
      <c r="G551" s="64">
        <f>IF(A551="","",Firmalar!$H$33)</f>
        <v/>
      </c>
    </row>
    <row r="552" ht="18" customHeight="1">
      <c r="A552" s="61">
        <f>IF(Firmalar!$B$33="","",Firmalar!$B$33)</f>
        <v/>
      </c>
      <c r="B552" s="61">
        <f>IF(Firmalar!$B$33="","",Firmalar!$I$33)</f>
        <v/>
      </c>
      <c r="C552" s="61" t="inlineStr">
        <is>
          <t>Saha ziyareti</t>
        </is>
      </c>
      <c r="D552" s="62">
        <f>IF(Firmalar!$B$33="","",Firmalar!$GD$33)</f>
        <v/>
      </c>
      <c r="E552" s="63">
        <f>IF(OR(A552="",D552=""),"",D552-TODAY())</f>
        <v/>
      </c>
      <c r="F552" s="64">
        <f>IF(OR(A552="",D552=""),"",IF(D552&lt;TODAY(),"Süresi geçti",IF(D552&lt;=TODAY()+30,"30 gün içinde",IF(D552&lt;=TODAY()+90,"90 gün içinde","İleride"))))</f>
        <v/>
      </c>
      <c r="G552" s="64">
        <f>IF(A552="","",Firmalar!$H$33)</f>
        <v/>
      </c>
    </row>
    <row r="553" ht="18" customHeight="1">
      <c r="A553" s="61">
        <f>IF(Firmalar!$B$33="","",Firmalar!$B$33)</f>
        <v/>
      </c>
      <c r="B553" s="61">
        <f>IF(Firmalar!$B$33="","",Firmalar!$I$33)</f>
        <v/>
      </c>
      <c r="C553" s="61" t="inlineStr">
        <is>
          <t>Resmî yazı cevabı</t>
        </is>
      </c>
      <c r="D553" s="62">
        <f>IF(Firmalar!$B$33="","",Firmalar!$GE$33)</f>
        <v/>
      </c>
      <c r="E553" s="63">
        <f>IF(OR(A553="",D553=""),"",D553-TODAY())</f>
        <v/>
      </c>
      <c r="F553" s="64">
        <f>IF(OR(A553="",D553=""),"",IF(D553&lt;TODAY(),"Süresi geçti",IF(D553&lt;=TODAY()+30,"30 gün içinde",IF(D553&lt;=TODAY()+90,"90 gün içinde","İleride"))))</f>
        <v/>
      </c>
      <c r="G553" s="64">
        <f>IF(A553="","",Firmalar!$H$33)</f>
        <v/>
      </c>
    </row>
    <row r="554" ht="18" customHeight="1">
      <c r="A554" s="61">
        <f>IF(Firmalar!$B$33="","",Firmalar!$B$33)</f>
        <v/>
      </c>
      <c r="B554" s="61">
        <f>IF(Firmalar!$B$33="","",Firmalar!$I$33)</f>
        <v/>
      </c>
      <c r="C554" s="61" t="inlineStr">
        <is>
          <t>Uygunsuzluk kapanışı</t>
        </is>
      </c>
      <c r="D554" s="62">
        <f>IF(Firmalar!$B$33="","",Firmalar!$GF$33)</f>
        <v/>
      </c>
      <c r="E554" s="63">
        <f>IF(OR(A554="",D554=""),"",D554-TODAY())</f>
        <v/>
      </c>
      <c r="F554" s="64">
        <f>IF(OR(A554="",D554=""),"",IF(D554&lt;TODAY(),"Süresi geçti",IF(D554&lt;=TODAY()+30,"30 gün içinde",IF(D554&lt;=TODAY()+90,"90 gün içinde","İleride"))))</f>
        <v/>
      </c>
      <c r="G554" s="64">
        <f>IF(A554="","",Firmalar!$H$33)</f>
        <v/>
      </c>
    </row>
    <row r="555" ht="18" customHeight="1">
      <c r="A555" s="61">
        <f>IF(Firmalar!$B$33="","",Firmalar!$B$33)</f>
        <v/>
      </c>
      <c r="B555" s="61">
        <f>IF(Firmalar!$B$33="","",Firmalar!$I$33)</f>
        <v/>
      </c>
      <c r="C555" s="61" t="inlineStr">
        <is>
          <t>Öncelikli işlem</t>
        </is>
      </c>
      <c r="D555" s="62">
        <f>IF(Firmalar!$B$33="","",Firmalar!$GG$33)</f>
        <v/>
      </c>
      <c r="E555" s="63">
        <f>IF(OR(A555="",D555=""),"",D555-TODAY())</f>
        <v/>
      </c>
      <c r="F555" s="64">
        <f>IF(OR(A555="",D555=""),"",IF(D555&lt;TODAY(),"Süresi geçti",IF(D555&lt;=TODAY()+30,"30 gün içinde",IF(D555&lt;=TODAY()+90,"90 gün içinde","İleride"))))</f>
        <v/>
      </c>
      <c r="G555" s="64">
        <f>IF(A555="","",Firmalar!$H$33)</f>
        <v/>
      </c>
    </row>
    <row r="556" ht="18" customHeight="1">
      <c r="A556" s="61">
        <f>IF(Firmalar!$B$34="","",Firmalar!$B$34)</f>
        <v/>
      </c>
      <c r="B556" s="61">
        <f>IF(Firmalar!$B$34="","",Firmalar!$I$34)</f>
        <v/>
      </c>
      <c r="C556" s="61" t="inlineStr">
        <is>
          <t>Çevre izni bitiş</t>
        </is>
      </c>
      <c r="D556" s="62">
        <f>IF(Firmalar!$B$34="","",Firmalar!$FO$34)</f>
        <v/>
      </c>
      <c r="E556" s="63">
        <f>IF(OR(A556="",D556=""),"",D556-TODAY())</f>
        <v/>
      </c>
      <c r="F556" s="64">
        <f>IF(OR(A556="",D556=""),"",IF(D556&lt;TODAY(),"Süresi geçti",IF(D556&lt;=TODAY()+30,"30 gün içinde",IF(D556&lt;=TODAY()+90,"90 gün içinde","İleride"))))</f>
        <v/>
      </c>
      <c r="G556" s="64">
        <f>IF(A556="","",Firmalar!$H$34)</f>
        <v/>
      </c>
    </row>
    <row r="557" ht="18" customHeight="1">
      <c r="A557" s="61">
        <f>IF(Firmalar!$B$34="","",Firmalar!$B$34)</f>
        <v/>
      </c>
      <c r="B557" s="61">
        <f>IF(Firmalar!$B$34="","",Firmalar!$I$34)</f>
        <v/>
      </c>
      <c r="C557" s="61" t="inlineStr">
        <is>
          <t>Çevre izni başvurusu</t>
        </is>
      </c>
      <c r="D557" s="62">
        <f>IF(Firmalar!$B$34="","",Firmalar!$FP$34)</f>
        <v/>
      </c>
      <c r="E557" s="63">
        <f>IF(OR(A557="",D557=""),"",D557-TODAY())</f>
        <v/>
      </c>
      <c r="F557" s="64">
        <f>IF(OR(A557="",D557=""),"",IF(D557&lt;TODAY(),"Süresi geçti",IF(D557&lt;=TODAY()+30,"30 gün içinde",IF(D557&lt;=TODAY()+90,"90 gün içinde","İleride"))))</f>
        <v/>
      </c>
      <c r="G557" s="64">
        <f>IF(A557="","",Firmalar!$H$34)</f>
        <v/>
      </c>
    </row>
    <row r="558" ht="18" customHeight="1">
      <c r="A558" s="61">
        <f>IF(Firmalar!$B$34="","",Firmalar!$B$34)</f>
        <v/>
      </c>
      <c r="B558" s="61">
        <f>IF(Firmalar!$B$34="","",Firmalar!$I$34)</f>
        <v/>
      </c>
      <c r="C558" s="61" t="inlineStr">
        <is>
          <t>GFB bitiş</t>
        </is>
      </c>
      <c r="D558" s="62">
        <f>IF(Firmalar!$B$34="","",Firmalar!$FQ$34)</f>
        <v/>
      </c>
      <c r="E558" s="63">
        <f>IF(OR(A558="",D558=""),"",D558-TODAY())</f>
        <v/>
      </c>
      <c r="F558" s="64">
        <f>IF(OR(A558="",D558=""),"",IF(D558&lt;TODAY(),"Süresi geçti",IF(D558&lt;=TODAY()+30,"30 gün içinde",IF(D558&lt;=TODAY()+90,"90 gün içinde","İleride"))))</f>
        <v/>
      </c>
      <c r="G558" s="64">
        <f>IF(A558="","",Firmalar!$H$34)</f>
        <v/>
      </c>
    </row>
    <row r="559" ht="18" customHeight="1">
      <c r="A559" s="61">
        <f>IF(Firmalar!$B$34="","",Firmalar!$B$34)</f>
        <v/>
      </c>
      <c r="B559" s="61">
        <f>IF(Firmalar!$B$34="","",Firmalar!$I$34)</f>
        <v/>
      </c>
      <c r="C559" s="61" t="inlineStr">
        <is>
          <t>Sözleşme bitiş</t>
        </is>
      </c>
      <c r="D559" s="62">
        <f>IF(Firmalar!$B$34="","",Firmalar!$FR$34)</f>
        <v/>
      </c>
      <c r="E559" s="63">
        <f>IF(OR(A559="",D559=""),"",D559-TODAY())</f>
        <v/>
      </c>
      <c r="F559" s="64">
        <f>IF(OR(A559="",D559=""),"",IF(D559&lt;TODAY(),"Süresi geçti",IF(D559&lt;=TODAY()+30,"30 gün içinde",IF(D559&lt;=TODAY()+90,"90 gün içinde","İleride"))))</f>
        <v/>
      </c>
      <c r="G559" s="64">
        <f>IF(A559="","",Firmalar!$H$34)</f>
        <v/>
      </c>
    </row>
    <row r="560" ht="18" customHeight="1">
      <c r="A560" s="61">
        <f>IF(Firmalar!$B$34="","",Firmalar!$B$34)</f>
        <v/>
      </c>
      <c r="B560" s="61">
        <f>IF(Firmalar!$B$34="","",Firmalar!$I$34)</f>
        <v/>
      </c>
      <c r="C560" s="61" t="inlineStr">
        <is>
          <t>Sıfır Atık bitiş</t>
        </is>
      </c>
      <c r="D560" s="62">
        <f>IF(Firmalar!$B$34="","",Firmalar!$FS$34)</f>
        <v/>
      </c>
      <c r="E560" s="63">
        <f>IF(OR(A560="",D560=""),"",D560-TODAY())</f>
        <v/>
      </c>
      <c r="F560" s="64">
        <f>IF(OR(A560="",D560=""),"",IF(D560&lt;TODAY(),"Süresi geçti",IF(D560&lt;=TODAY()+30,"30 gün içinde",IF(D560&lt;=TODAY()+90,"90 gün içinde","İleride"))))</f>
        <v/>
      </c>
      <c r="G560" s="64">
        <f>IF(A560="","",Firmalar!$H$34)</f>
        <v/>
      </c>
    </row>
    <row r="561" ht="18" customHeight="1">
      <c r="A561" s="61">
        <f>IF(Firmalar!$B$34="","",Firmalar!$B$34)</f>
        <v/>
      </c>
      <c r="B561" s="61">
        <f>IF(Firmalar!$B$34="","",Firmalar!$I$34)</f>
        <v/>
      </c>
      <c r="C561" s="61" t="inlineStr">
        <is>
          <t>Atık planı bitiş</t>
        </is>
      </c>
      <c r="D561" s="62">
        <f>IF(Firmalar!$B$34="","",Firmalar!$FT$34)</f>
        <v/>
      </c>
      <c r="E561" s="63">
        <f>IF(OR(A561="",D561=""),"",D561-TODAY())</f>
        <v/>
      </c>
      <c r="F561" s="64">
        <f>IF(OR(A561="",D561=""),"",IF(D561&lt;TODAY(),"Süresi geçti",IF(D561&lt;=TODAY()+30,"30 gün içinde",IF(D561&lt;=TODAY()+90,"90 gün içinde","İleride"))))</f>
        <v/>
      </c>
      <c r="G561" s="64">
        <f>IF(A561="","",Firmalar!$H$34)</f>
        <v/>
      </c>
    </row>
    <row r="562" ht="18" customHeight="1">
      <c r="A562" s="61">
        <f>IF(Firmalar!$B$34="","",Firmalar!$B$34)</f>
        <v/>
      </c>
      <c r="B562" s="61">
        <f>IF(Firmalar!$B$34="","",Firmalar!$I$34)</f>
        <v/>
      </c>
      <c r="C562" s="61" t="inlineStr">
        <is>
          <t>Emisyon teyidi</t>
        </is>
      </c>
      <c r="D562" s="62">
        <f>IF(Firmalar!$B$34="","",Firmalar!$FU$34)</f>
        <v/>
      </c>
      <c r="E562" s="63">
        <f>IF(OR(A562="",D562=""),"",D562-TODAY())</f>
        <v/>
      </c>
      <c r="F562" s="64">
        <f>IF(OR(A562="",D562=""),"",IF(D562&lt;TODAY(),"Süresi geçti",IF(D562&lt;=TODAY()+30,"30 gün içinde",IF(D562&lt;=TODAY()+90,"90 gün içinde","İleride"))))</f>
        <v/>
      </c>
      <c r="G562" s="64">
        <f>IF(A562="","",Firmalar!$H$34)</f>
        <v/>
      </c>
    </row>
    <row r="563" ht="18" customHeight="1">
      <c r="A563" s="61">
        <f>IF(Firmalar!$B$34="","",Firmalar!$B$34)</f>
        <v/>
      </c>
      <c r="B563" s="61">
        <f>IF(Firmalar!$B$34="","",Firmalar!$I$34)</f>
        <v/>
      </c>
      <c r="C563" s="61" t="inlineStr">
        <is>
          <t>Emisyon ölçümü</t>
        </is>
      </c>
      <c r="D563" s="62">
        <f>IF(Firmalar!$B$34="","",Firmalar!$FV$34)</f>
        <v/>
      </c>
      <c r="E563" s="63">
        <f>IF(OR(A563="",D563=""),"",D563-TODAY())</f>
        <v/>
      </c>
      <c r="F563" s="64">
        <f>IF(OR(A563="",D563=""),"",IF(D563&lt;TODAY(),"Süresi geçti",IF(D563&lt;=TODAY()+30,"30 gün içinde",IF(D563&lt;=TODAY()+90,"90 gün içinde","İleride"))))</f>
        <v/>
      </c>
      <c r="G563" s="64">
        <f>IF(A563="","",Firmalar!$H$34)</f>
        <v/>
      </c>
    </row>
    <row r="564" ht="18" customHeight="1">
      <c r="A564" s="61">
        <f>IF(Firmalar!$B$34="","",Firmalar!$B$34)</f>
        <v/>
      </c>
      <c r="B564" s="61">
        <f>IF(Firmalar!$B$34="","",Firmalar!$I$34)</f>
        <v/>
      </c>
      <c r="C564" s="61" t="inlineStr">
        <is>
          <t>İç tetkik</t>
        </is>
      </c>
      <c r="D564" s="62">
        <f>IF(Firmalar!$B$34="","",Firmalar!$FW$34)</f>
        <v/>
      </c>
      <c r="E564" s="63">
        <f>IF(OR(A564="",D564=""),"",D564-TODAY())</f>
        <v/>
      </c>
      <c r="F564" s="64">
        <f>IF(OR(A564="",D564=""),"",IF(D564&lt;TODAY(),"Süresi geçti",IF(D564&lt;=TODAY()+30,"30 gün içinde",IF(D564&lt;=TODAY()+90,"90 gün içinde","İleride"))))</f>
        <v/>
      </c>
      <c r="G564" s="64">
        <f>IF(A564="","",Firmalar!$H$34)</f>
        <v/>
      </c>
    </row>
    <row r="565" ht="18" customHeight="1">
      <c r="A565" s="61">
        <f>IF(Firmalar!$B$34="","",Firmalar!$B$34)</f>
        <v/>
      </c>
      <c r="B565" s="61">
        <f>IF(Firmalar!$B$34="","",Firmalar!$I$34)</f>
        <v/>
      </c>
      <c r="C565" s="61" t="inlineStr">
        <is>
          <t>İç tetkik planı</t>
        </is>
      </c>
      <c r="D565" s="62">
        <f>IF(Firmalar!$B$34="","",Firmalar!$FX$34)</f>
        <v/>
      </c>
      <c r="E565" s="63">
        <f>IF(OR(A565="",D565=""),"",D565-TODAY())</f>
        <v/>
      </c>
      <c r="F565" s="64">
        <f>IF(OR(A565="",D565=""),"",IF(D565&lt;TODAY(),"Süresi geçti",IF(D565&lt;=TODAY()+30,"30 gün içinde",IF(D565&lt;=TODAY()+90,"90 gün içinde","İleride"))))</f>
        <v/>
      </c>
      <c r="G565" s="64">
        <f>IF(A565="","",Firmalar!$H$34)</f>
        <v/>
      </c>
    </row>
    <row r="566" ht="18" customHeight="1">
      <c r="A566" s="61">
        <f>IF(Firmalar!$B$34="","",Firmalar!$B$34)</f>
        <v/>
      </c>
      <c r="B566" s="61">
        <f>IF(Firmalar!$B$34="","",Firmalar!$I$34)</f>
        <v/>
      </c>
      <c r="C566" s="61" t="inlineStr">
        <is>
          <t>Çevre eğitimi</t>
        </is>
      </c>
      <c r="D566" s="62">
        <f>IF(Firmalar!$B$34="","",Firmalar!$FY$34)</f>
        <v/>
      </c>
      <c r="E566" s="63">
        <f>IF(OR(A566="",D566=""),"",D566-TODAY())</f>
        <v/>
      </c>
      <c r="F566" s="64">
        <f>IF(OR(A566="",D566=""),"",IF(D566&lt;TODAY(),"Süresi geçti",IF(D566&lt;=TODAY()+30,"30 gün içinde",IF(D566&lt;=TODAY()+90,"90 gün içinde","İleride"))))</f>
        <v/>
      </c>
      <c r="G566" s="64">
        <f>IF(A566="","",Firmalar!$H$34)</f>
        <v/>
      </c>
    </row>
    <row r="567" ht="18" customHeight="1">
      <c r="A567" s="61">
        <f>IF(Firmalar!$B$34="","",Firmalar!$B$34)</f>
        <v/>
      </c>
      <c r="B567" s="61">
        <f>IF(Firmalar!$B$34="","",Firmalar!$I$34)</f>
        <v/>
      </c>
      <c r="C567" s="61" t="inlineStr">
        <is>
          <t>Eğitim planı</t>
        </is>
      </c>
      <c r="D567" s="62">
        <f>IF(Firmalar!$B$34="","",Firmalar!$FZ$34)</f>
        <v/>
      </c>
      <c r="E567" s="63">
        <f>IF(OR(A567="",D567=""),"",D567-TODAY())</f>
        <v/>
      </c>
      <c r="F567" s="64">
        <f>IF(OR(A567="",D567=""),"",IF(D567&lt;TODAY(),"Süresi geçti",IF(D567&lt;=TODAY()+30,"30 gün içinde",IF(D567&lt;=TODAY()+90,"90 gün içinde","İleride"))))</f>
        <v/>
      </c>
      <c r="G567" s="64">
        <f>IF(A567="","",Firmalar!$H$34)</f>
        <v/>
      </c>
    </row>
    <row r="568" ht="18" customHeight="1">
      <c r="A568" s="61">
        <f>IF(Firmalar!$B$34="","",Firmalar!$B$34)</f>
        <v/>
      </c>
      <c r="B568" s="61">
        <f>IF(Firmalar!$B$34="","",Firmalar!$I$34)</f>
        <v/>
      </c>
      <c r="C568" s="61" t="inlineStr">
        <is>
          <t>Kanal belgesi bitiş</t>
        </is>
      </c>
      <c r="D568" s="62">
        <f>IF(Firmalar!$B$34="","",Firmalar!$GA$34)</f>
        <v/>
      </c>
      <c r="E568" s="63">
        <f>IF(OR(A568="",D568=""),"",D568-TODAY())</f>
        <v/>
      </c>
      <c r="F568" s="64">
        <f>IF(OR(A568="",D568=""),"",IF(D568&lt;TODAY(),"Süresi geçti",IF(D568&lt;=TODAY()+30,"30 gün içinde",IF(D568&lt;=TODAY()+90,"90 gün içinde","İleride"))))</f>
        <v/>
      </c>
      <c r="G568" s="64">
        <f>IF(A568="","",Firmalar!$H$34)</f>
        <v/>
      </c>
    </row>
    <row r="569" ht="18" customHeight="1">
      <c r="A569" s="61">
        <f>IF(Firmalar!$B$34="","",Firmalar!$B$34)</f>
        <v/>
      </c>
      <c r="B569" s="61">
        <f>IF(Firmalar!$B$34="","",Firmalar!$I$34)</f>
        <v/>
      </c>
      <c r="C569" s="61" t="inlineStr">
        <is>
          <t>Deşarj izni bitiş</t>
        </is>
      </c>
      <c r="D569" s="62">
        <f>IF(Firmalar!$B$34="","",Firmalar!$GB$34)</f>
        <v/>
      </c>
      <c r="E569" s="63">
        <f>IF(OR(A569="",D569=""),"",D569-TODAY())</f>
        <v/>
      </c>
      <c r="F569" s="64">
        <f>IF(OR(A569="",D569=""),"",IF(D569&lt;TODAY(),"Süresi geçti",IF(D569&lt;=TODAY()+30,"30 gün içinde",IF(D569&lt;=TODAY()+90,"90 gün içinde","İleride"))))</f>
        <v/>
      </c>
      <c r="G569" s="64">
        <f>IF(A569="","",Firmalar!$H$34)</f>
        <v/>
      </c>
    </row>
    <row r="570" ht="18" customHeight="1">
      <c r="A570" s="61">
        <f>IF(Firmalar!$B$34="","",Firmalar!$B$34)</f>
        <v/>
      </c>
      <c r="B570" s="61">
        <f>IF(Firmalar!$B$34="","",Firmalar!$I$34)</f>
        <v/>
      </c>
      <c r="C570" s="61" t="inlineStr">
        <is>
          <t>Atıksu analizi</t>
        </is>
      </c>
      <c r="D570" s="62">
        <f>IF(Firmalar!$B$34="","",Firmalar!$GC$34)</f>
        <v/>
      </c>
      <c r="E570" s="63">
        <f>IF(OR(A570="",D570=""),"",D570-TODAY())</f>
        <v/>
      </c>
      <c r="F570" s="64">
        <f>IF(OR(A570="",D570=""),"",IF(D570&lt;TODAY(),"Süresi geçti",IF(D570&lt;=TODAY()+30,"30 gün içinde",IF(D570&lt;=TODAY()+90,"90 gün içinde","İleride"))))</f>
        <v/>
      </c>
      <c r="G570" s="64">
        <f>IF(A570="","",Firmalar!$H$34)</f>
        <v/>
      </c>
    </row>
    <row r="571" ht="18" customHeight="1">
      <c r="A571" s="61">
        <f>IF(Firmalar!$B$34="","",Firmalar!$B$34)</f>
        <v/>
      </c>
      <c r="B571" s="61">
        <f>IF(Firmalar!$B$34="","",Firmalar!$I$34)</f>
        <v/>
      </c>
      <c r="C571" s="61" t="inlineStr">
        <is>
          <t>Saha ziyareti</t>
        </is>
      </c>
      <c r="D571" s="62">
        <f>IF(Firmalar!$B$34="","",Firmalar!$GD$34)</f>
        <v/>
      </c>
      <c r="E571" s="63">
        <f>IF(OR(A571="",D571=""),"",D571-TODAY())</f>
        <v/>
      </c>
      <c r="F571" s="64">
        <f>IF(OR(A571="",D571=""),"",IF(D571&lt;TODAY(),"Süresi geçti",IF(D571&lt;=TODAY()+30,"30 gün içinde",IF(D571&lt;=TODAY()+90,"90 gün içinde","İleride"))))</f>
        <v/>
      </c>
      <c r="G571" s="64">
        <f>IF(A571="","",Firmalar!$H$34)</f>
        <v/>
      </c>
    </row>
    <row r="572" ht="18" customHeight="1">
      <c r="A572" s="61">
        <f>IF(Firmalar!$B$34="","",Firmalar!$B$34)</f>
        <v/>
      </c>
      <c r="B572" s="61">
        <f>IF(Firmalar!$B$34="","",Firmalar!$I$34)</f>
        <v/>
      </c>
      <c r="C572" s="61" t="inlineStr">
        <is>
          <t>Resmî yazı cevabı</t>
        </is>
      </c>
      <c r="D572" s="62">
        <f>IF(Firmalar!$B$34="","",Firmalar!$GE$34)</f>
        <v/>
      </c>
      <c r="E572" s="63">
        <f>IF(OR(A572="",D572=""),"",D572-TODAY())</f>
        <v/>
      </c>
      <c r="F572" s="64">
        <f>IF(OR(A572="",D572=""),"",IF(D572&lt;TODAY(),"Süresi geçti",IF(D572&lt;=TODAY()+30,"30 gün içinde",IF(D572&lt;=TODAY()+90,"90 gün içinde","İleride"))))</f>
        <v/>
      </c>
      <c r="G572" s="64">
        <f>IF(A572="","",Firmalar!$H$34)</f>
        <v/>
      </c>
    </row>
    <row r="573" ht="18" customHeight="1">
      <c r="A573" s="61">
        <f>IF(Firmalar!$B$34="","",Firmalar!$B$34)</f>
        <v/>
      </c>
      <c r="B573" s="61">
        <f>IF(Firmalar!$B$34="","",Firmalar!$I$34)</f>
        <v/>
      </c>
      <c r="C573" s="61" t="inlineStr">
        <is>
          <t>Uygunsuzluk kapanışı</t>
        </is>
      </c>
      <c r="D573" s="62">
        <f>IF(Firmalar!$B$34="","",Firmalar!$GF$34)</f>
        <v/>
      </c>
      <c r="E573" s="63">
        <f>IF(OR(A573="",D573=""),"",D573-TODAY())</f>
        <v/>
      </c>
      <c r="F573" s="64">
        <f>IF(OR(A573="",D573=""),"",IF(D573&lt;TODAY(),"Süresi geçti",IF(D573&lt;=TODAY()+30,"30 gün içinde",IF(D573&lt;=TODAY()+90,"90 gün içinde","İleride"))))</f>
        <v/>
      </c>
      <c r="G573" s="64">
        <f>IF(A573="","",Firmalar!$H$34)</f>
        <v/>
      </c>
    </row>
    <row r="574" ht="18" customHeight="1">
      <c r="A574" s="61">
        <f>IF(Firmalar!$B$34="","",Firmalar!$B$34)</f>
        <v/>
      </c>
      <c r="B574" s="61">
        <f>IF(Firmalar!$B$34="","",Firmalar!$I$34)</f>
        <v/>
      </c>
      <c r="C574" s="61" t="inlineStr">
        <is>
          <t>Öncelikli işlem</t>
        </is>
      </c>
      <c r="D574" s="62">
        <f>IF(Firmalar!$B$34="","",Firmalar!$GG$34)</f>
        <v/>
      </c>
      <c r="E574" s="63">
        <f>IF(OR(A574="",D574=""),"",D574-TODAY())</f>
        <v/>
      </c>
      <c r="F574" s="64">
        <f>IF(OR(A574="",D574=""),"",IF(D574&lt;TODAY(),"Süresi geçti",IF(D574&lt;=TODAY()+30,"30 gün içinde",IF(D574&lt;=TODAY()+90,"90 gün içinde","İleride"))))</f>
        <v/>
      </c>
      <c r="G574" s="64">
        <f>IF(A574="","",Firmalar!$H$34)</f>
        <v/>
      </c>
    </row>
    <row r="575" ht="18" customHeight="1">
      <c r="A575" s="61">
        <f>IF(Firmalar!$B$35="","",Firmalar!$B$35)</f>
        <v/>
      </c>
      <c r="B575" s="61">
        <f>IF(Firmalar!$B$35="","",Firmalar!$I$35)</f>
        <v/>
      </c>
      <c r="C575" s="61" t="inlineStr">
        <is>
          <t>Çevre izni bitiş</t>
        </is>
      </c>
      <c r="D575" s="62">
        <f>IF(Firmalar!$B$35="","",Firmalar!$FO$35)</f>
        <v/>
      </c>
      <c r="E575" s="63">
        <f>IF(OR(A575="",D575=""),"",D575-TODAY())</f>
        <v/>
      </c>
      <c r="F575" s="64">
        <f>IF(OR(A575="",D575=""),"",IF(D575&lt;TODAY(),"Süresi geçti",IF(D575&lt;=TODAY()+30,"30 gün içinde",IF(D575&lt;=TODAY()+90,"90 gün içinde","İleride"))))</f>
        <v/>
      </c>
      <c r="G575" s="64">
        <f>IF(A575="","",Firmalar!$H$35)</f>
        <v/>
      </c>
    </row>
    <row r="576" ht="18" customHeight="1">
      <c r="A576" s="61">
        <f>IF(Firmalar!$B$35="","",Firmalar!$B$35)</f>
        <v/>
      </c>
      <c r="B576" s="61">
        <f>IF(Firmalar!$B$35="","",Firmalar!$I$35)</f>
        <v/>
      </c>
      <c r="C576" s="61" t="inlineStr">
        <is>
          <t>Çevre izni başvurusu</t>
        </is>
      </c>
      <c r="D576" s="62">
        <f>IF(Firmalar!$B$35="","",Firmalar!$FP$35)</f>
        <v/>
      </c>
      <c r="E576" s="63">
        <f>IF(OR(A576="",D576=""),"",D576-TODAY())</f>
        <v/>
      </c>
      <c r="F576" s="64">
        <f>IF(OR(A576="",D576=""),"",IF(D576&lt;TODAY(),"Süresi geçti",IF(D576&lt;=TODAY()+30,"30 gün içinde",IF(D576&lt;=TODAY()+90,"90 gün içinde","İleride"))))</f>
        <v/>
      </c>
      <c r="G576" s="64">
        <f>IF(A576="","",Firmalar!$H$35)</f>
        <v/>
      </c>
    </row>
    <row r="577" ht="18" customHeight="1">
      <c r="A577" s="61">
        <f>IF(Firmalar!$B$35="","",Firmalar!$B$35)</f>
        <v/>
      </c>
      <c r="B577" s="61">
        <f>IF(Firmalar!$B$35="","",Firmalar!$I$35)</f>
        <v/>
      </c>
      <c r="C577" s="61" t="inlineStr">
        <is>
          <t>GFB bitiş</t>
        </is>
      </c>
      <c r="D577" s="62">
        <f>IF(Firmalar!$B$35="","",Firmalar!$FQ$35)</f>
        <v/>
      </c>
      <c r="E577" s="63">
        <f>IF(OR(A577="",D577=""),"",D577-TODAY())</f>
        <v/>
      </c>
      <c r="F577" s="64">
        <f>IF(OR(A577="",D577=""),"",IF(D577&lt;TODAY(),"Süresi geçti",IF(D577&lt;=TODAY()+30,"30 gün içinde",IF(D577&lt;=TODAY()+90,"90 gün içinde","İleride"))))</f>
        <v/>
      </c>
      <c r="G577" s="64">
        <f>IF(A577="","",Firmalar!$H$35)</f>
        <v/>
      </c>
    </row>
    <row r="578" ht="18" customHeight="1">
      <c r="A578" s="61">
        <f>IF(Firmalar!$B$35="","",Firmalar!$B$35)</f>
        <v/>
      </c>
      <c r="B578" s="61">
        <f>IF(Firmalar!$B$35="","",Firmalar!$I$35)</f>
        <v/>
      </c>
      <c r="C578" s="61" t="inlineStr">
        <is>
          <t>Sözleşme bitiş</t>
        </is>
      </c>
      <c r="D578" s="62">
        <f>IF(Firmalar!$B$35="","",Firmalar!$FR$35)</f>
        <v/>
      </c>
      <c r="E578" s="63">
        <f>IF(OR(A578="",D578=""),"",D578-TODAY())</f>
        <v/>
      </c>
      <c r="F578" s="64">
        <f>IF(OR(A578="",D578=""),"",IF(D578&lt;TODAY(),"Süresi geçti",IF(D578&lt;=TODAY()+30,"30 gün içinde",IF(D578&lt;=TODAY()+90,"90 gün içinde","İleride"))))</f>
        <v/>
      </c>
      <c r="G578" s="64">
        <f>IF(A578="","",Firmalar!$H$35)</f>
        <v/>
      </c>
    </row>
    <row r="579" ht="18" customHeight="1">
      <c r="A579" s="61">
        <f>IF(Firmalar!$B$35="","",Firmalar!$B$35)</f>
        <v/>
      </c>
      <c r="B579" s="61">
        <f>IF(Firmalar!$B$35="","",Firmalar!$I$35)</f>
        <v/>
      </c>
      <c r="C579" s="61" t="inlineStr">
        <is>
          <t>Sıfır Atık bitiş</t>
        </is>
      </c>
      <c r="D579" s="62">
        <f>IF(Firmalar!$B$35="","",Firmalar!$FS$35)</f>
        <v/>
      </c>
      <c r="E579" s="63">
        <f>IF(OR(A579="",D579=""),"",D579-TODAY())</f>
        <v/>
      </c>
      <c r="F579" s="64">
        <f>IF(OR(A579="",D579=""),"",IF(D579&lt;TODAY(),"Süresi geçti",IF(D579&lt;=TODAY()+30,"30 gün içinde",IF(D579&lt;=TODAY()+90,"90 gün içinde","İleride"))))</f>
        <v/>
      </c>
      <c r="G579" s="64">
        <f>IF(A579="","",Firmalar!$H$35)</f>
        <v/>
      </c>
    </row>
    <row r="580" ht="18" customHeight="1">
      <c r="A580" s="61">
        <f>IF(Firmalar!$B$35="","",Firmalar!$B$35)</f>
        <v/>
      </c>
      <c r="B580" s="61">
        <f>IF(Firmalar!$B$35="","",Firmalar!$I$35)</f>
        <v/>
      </c>
      <c r="C580" s="61" t="inlineStr">
        <is>
          <t>Atık planı bitiş</t>
        </is>
      </c>
      <c r="D580" s="62">
        <f>IF(Firmalar!$B$35="","",Firmalar!$FT$35)</f>
        <v/>
      </c>
      <c r="E580" s="63">
        <f>IF(OR(A580="",D580=""),"",D580-TODAY())</f>
        <v/>
      </c>
      <c r="F580" s="64">
        <f>IF(OR(A580="",D580=""),"",IF(D580&lt;TODAY(),"Süresi geçti",IF(D580&lt;=TODAY()+30,"30 gün içinde",IF(D580&lt;=TODAY()+90,"90 gün içinde","İleride"))))</f>
        <v/>
      </c>
      <c r="G580" s="64">
        <f>IF(A580="","",Firmalar!$H$35)</f>
        <v/>
      </c>
    </row>
    <row r="581" ht="18" customHeight="1">
      <c r="A581" s="61">
        <f>IF(Firmalar!$B$35="","",Firmalar!$B$35)</f>
        <v/>
      </c>
      <c r="B581" s="61">
        <f>IF(Firmalar!$B$35="","",Firmalar!$I$35)</f>
        <v/>
      </c>
      <c r="C581" s="61" t="inlineStr">
        <is>
          <t>Emisyon teyidi</t>
        </is>
      </c>
      <c r="D581" s="62">
        <f>IF(Firmalar!$B$35="","",Firmalar!$FU$35)</f>
        <v/>
      </c>
      <c r="E581" s="63">
        <f>IF(OR(A581="",D581=""),"",D581-TODAY())</f>
        <v/>
      </c>
      <c r="F581" s="64">
        <f>IF(OR(A581="",D581=""),"",IF(D581&lt;TODAY(),"Süresi geçti",IF(D581&lt;=TODAY()+30,"30 gün içinde",IF(D581&lt;=TODAY()+90,"90 gün içinde","İleride"))))</f>
        <v/>
      </c>
      <c r="G581" s="64">
        <f>IF(A581="","",Firmalar!$H$35)</f>
        <v/>
      </c>
    </row>
    <row r="582" ht="18" customHeight="1">
      <c r="A582" s="61">
        <f>IF(Firmalar!$B$35="","",Firmalar!$B$35)</f>
        <v/>
      </c>
      <c r="B582" s="61">
        <f>IF(Firmalar!$B$35="","",Firmalar!$I$35)</f>
        <v/>
      </c>
      <c r="C582" s="61" t="inlineStr">
        <is>
          <t>Emisyon ölçümü</t>
        </is>
      </c>
      <c r="D582" s="62">
        <f>IF(Firmalar!$B$35="","",Firmalar!$FV$35)</f>
        <v/>
      </c>
      <c r="E582" s="63">
        <f>IF(OR(A582="",D582=""),"",D582-TODAY())</f>
        <v/>
      </c>
      <c r="F582" s="64">
        <f>IF(OR(A582="",D582=""),"",IF(D582&lt;TODAY(),"Süresi geçti",IF(D582&lt;=TODAY()+30,"30 gün içinde",IF(D582&lt;=TODAY()+90,"90 gün içinde","İleride"))))</f>
        <v/>
      </c>
      <c r="G582" s="64">
        <f>IF(A582="","",Firmalar!$H$35)</f>
        <v/>
      </c>
    </row>
    <row r="583" ht="18" customHeight="1">
      <c r="A583" s="61">
        <f>IF(Firmalar!$B$35="","",Firmalar!$B$35)</f>
        <v/>
      </c>
      <c r="B583" s="61">
        <f>IF(Firmalar!$B$35="","",Firmalar!$I$35)</f>
        <v/>
      </c>
      <c r="C583" s="61" t="inlineStr">
        <is>
          <t>İç tetkik</t>
        </is>
      </c>
      <c r="D583" s="62">
        <f>IF(Firmalar!$B$35="","",Firmalar!$FW$35)</f>
        <v/>
      </c>
      <c r="E583" s="63">
        <f>IF(OR(A583="",D583=""),"",D583-TODAY())</f>
        <v/>
      </c>
      <c r="F583" s="64">
        <f>IF(OR(A583="",D583=""),"",IF(D583&lt;TODAY(),"Süresi geçti",IF(D583&lt;=TODAY()+30,"30 gün içinde",IF(D583&lt;=TODAY()+90,"90 gün içinde","İleride"))))</f>
        <v/>
      </c>
      <c r="G583" s="64">
        <f>IF(A583="","",Firmalar!$H$35)</f>
        <v/>
      </c>
    </row>
    <row r="584" ht="18" customHeight="1">
      <c r="A584" s="61">
        <f>IF(Firmalar!$B$35="","",Firmalar!$B$35)</f>
        <v/>
      </c>
      <c r="B584" s="61">
        <f>IF(Firmalar!$B$35="","",Firmalar!$I$35)</f>
        <v/>
      </c>
      <c r="C584" s="61" t="inlineStr">
        <is>
          <t>İç tetkik planı</t>
        </is>
      </c>
      <c r="D584" s="62">
        <f>IF(Firmalar!$B$35="","",Firmalar!$FX$35)</f>
        <v/>
      </c>
      <c r="E584" s="63">
        <f>IF(OR(A584="",D584=""),"",D584-TODAY())</f>
        <v/>
      </c>
      <c r="F584" s="64">
        <f>IF(OR(A584="",D584=""),"",IF(D584&lt;TODAY(),"Süresi geçti",IF(D584&lt;=TODAY()+30,"30 gün içinde",IF(D584&lt;=TODAY()+90,"90 gün içinde","İleride"))))</f>
        <v/>
      </c>
      <c r="G584" s="64">
        <f>IF(A584="","",Firmalar!$H$35)</f>
        <v/>
      </c>
    </row>
    <row r="585" ht="18" customHeight="1">
      <c r="A585" s="61">
        <f>IF(Firmalar!$B$35="","",Firmalar!$B$35)</f>
        <v/>
      </c>
      <c r="B585" s="61">
        <f>IF(Firmalar!$B$35="","",Firmalar!$I$35)</f>
        <v/>
      </c>
      <c r="C585" s="61" t="inlineStr">
        <is>
          <t>Çevre eğitimi</t>
        </is>
      </c>
      <c r="D585" s="62">
        <f>IF(Firmalar!$B$35="","",Firmalar!$FY$35)</f>
        <v/>
      </c>
      <c r="E585" s="63">
        <f>IF(OR(A585="",D585=""),"",D585-TODAY())</f>
        <v/>
      </c>
      <c r="F585" s="64">
        <f>IF(OR(A585="",D585=""),"",IF(D585&lt;TODAY(),"Süresi geçti",IF(D585&lt;=TODAY()+30,"30 gün içinde",IF(D585&lt;=TODAY()+90,"90 gün içinde","İleride"))))</f>
        <v/>
      </c>
      <c r="G585" s="64">
        <f>IF(A585="","",Firmalar!$H$35)</f>
        <v/>
      </c>
    </row>
    <row r="586" ht="18" customHeight="1">
      <c r="A586" s="61">
        <f>IF(Firmalar!$B$35="","",Firmalar!$B$35)</f>
        <v/>
      </c>
      <c r="B586" s="61">
        <f>IF(Firmalar!$B$35="","",Firmalar!$I$35)</f>
        <v/>
      </c>
      <c r="C586" s="61" t="inlineStr">
        <is>
          <t>Eğitim planı</t>
        </is>
      </c>
      <c r="D586" s="62">
        <f>IF(Firmalar!$B$35="","",Firmalar!$FZ$35)</f>
        <v/>
      </c>
      <c r="E586" s="63">
        <f>IF(OR(A586="",D586=""),"",D586-TODAY())</f>
        <v/>
      </c>
      <c r="F586" s="64">
        <f>IF(OR(A586="",D586=""),"",IF(D586&lt;TODAY(),"Süresi geçti",IF(D586&lt;=TODAY()+30,"30 gün içinde",IF(D586&lt;=TODAY()+90,"90 gün içinde","İleride"))))</f>
        <v/>
      </c>
      <c r="G586" s="64">
        <f>IF(A586="","",Firmalar!$H$35)</f>
        <v/>
      </c>
    </row>
    <row r="587" ht="18" customHeight="1">
      <c r="A587" s="61">
        <f>IF(Firmalar!$B$35="","",Firmalar!$B$35)</f>
        <v/>
      </c>
      <c r="B587" s="61">
        <f>IF(Firmalar!$B$35="","",Firmalar!$I$35)</f>
        <v/>
      </c>
      <c r="C587" s="61" t="inlineStr">
        <is>
          <t>Kanal belgesi bitiş</t>
        </is>
      </c>
      <c r="D587" s="62">
        <f>IF(Firmalar!$B$35="","",Firmalar!$GA$35)</f>
        <v/>
      </c>
      <c r="E587" s="63">
        <f>IF(OR(A587="",D587=""),"",D587-TODAY())</f>
        <v/>
      </c>
      <c r="F587" s="64">
        <f>IF(OR(A587="",D587=""),"",IF(D587&lt;TODAY(),"Süresi geçti",IF(D587&lt;=TODAY()+30,"30 gün içinde",IF(D587&lt;=TODAY()+90,"90 gün içinde","İleride"))))</f>
        <v/>
      </c>
      <c r="G587" s="64">
        <f>IF(A587="","",Firmalar!$H$35)</f>
        <v/>
      </c>
    </row>
    <row r="588" ht="18" customHeight="1">
      <c r="A588" s="61">
        <f>IF(Firmalar!$B$35="","",Firmalar!$B$35)</f>
        <v/>
      </c>
      <c r="B588" s="61">
        <f>IF(Firmalar!$B$35="","",Firmalar!$I$35)</f>
        <v/>
      </c>
      <c r="C588" s="61" t="inlineStr">
        <is>
          <t>Deşarj izni bitiş</t>
        </is>
      </c>
      <c r="D588" s="62">
        <f>IF(Firmalar!$B$35="","",Firmalar!$GB$35)</f>
        <v/>
      </c>
      <c r="E588" s="63">
        <f>IF(OR(A588="",D588=""),"",D588-TODAY())</f>
        <v/>
      </c>
      <c r="F588" s="64">
        <f>IF(OR(A588="",D588=""),"",IF(D588&lt;TODAY(),"Süresi geçti",IF(D588&lt;=TODAY()+30,"30 gün içinde",IF(D588&lt;=TODAY()+90,"90 gün içinde","İleride"))))</f>
        <v/>
      </c>
      <c r="G588" s="64">
        <f>IF(A588="","",Firmalar!$H$35)</f>
        <v/>
      </c>
    </row>
    <row r="589" ht="18" customHeight="1">
      <c r="A589" s="61">
        <f>IF(Firmalar!$B$35="","",Firmalar!$B$35)</f>
        <v/>
      </c>
      <c r="B589" s="61">
        <f>IF(Firmalar!$B$35="","",Firmalar!$I$35)</f>
        <v/>
      </c>
      <c r="C589" s="61" t="inlineStr">
        <is>
          <t>Atıksu analizi</t>
        </is>
      </c>
      <c r="D589" s="62">
        <f>IF(Firmalar!$B$35="","",Firmalar!$GC$35)</f>
        <v/>
      </c>
      <c r="E589" s="63">
        <f>IF(OR(A589="",D589=""),"",D589-TODAY())</f>
        <v/>
      </c>
      <c r="F589" s="64">
        <f>IF(OR(A589="",D589=""),"",IF(D589&lt;TODAY(),"Süresi geçti",IF(D589&lt;=TODAY()+30,"30 gün içinde",IF(D589&lt;=TODAY()+90,"90 gün içinde","İleride"))))</f>
        <v/>
      </c>
      <c r="G589" s="64">
        <f>IF(A589="","",Firmalar!$H$35)</f>
        <v/>
      </c>
    </row>
    <row r="590" ht="18" customHeight="1">
      <c r="A590" s="61">
        <f>IF(Firmalar!$B$35="","",Firmalar!$B$35)</f>
        <v/>
      </c>
      <c r="B590" s="61">
        <f>IF(Firmalar!$B$35="","",Firmalar!$I$35)</f>
        <v/>
      </c>
      <c r="C590" s="61" t="inlineStr">
        <is>
          <t>Saha ziyareti</t>
        </is>
      </c>
      <c r="D590" s="62">
        <f>IF(Firmalar!$B$35="","",Firmalar!$GD$35)</f>
        <v/>
      </c>
      <c r="E590" s="63">
        <f>IF(OR(A590="",D590=""),"",D590-TODAY())</f>
        <v/>
      </c>
      <c r="F590" s="64">
        <f>IF(OR(A590="",D590=""),"",IF(D590&lt;TODAY(),"Süresi geçti",IF(D590&lt;=TODAY()+30,"30 gün içinde",IF(D590&lt;=TODAY()+90,"90 gün içinde","İleride"))))</f>
        <v/>
      </c>
      <c r="G590" s="64">
        <f>IF(A590="","",Firmalar!$H$35)</f>
        <v/>
      </c>
    </row>
    <row r="591" ht="18" customHeight="1">
      <c r="A591" s="61">
        <f>IF(Firmalar!$B$35="","",Firmalar!$B$35)</f>
        <v/>
      </c>
      <c r="B591" s="61">
        <f>IF(Firmalar!$B$35="","",Firmalar!$I$35)</f>
        <v/>
      </c>
      <c r="C591" s="61" t="inlineStr">
        <is>
          <t>Resmî yazı cevabı</t>
        </is>
      </c>
      <c r="D591" s="62">
        <f>IF(Firmalar!$B$35="","",Firmalar!$GE$35)</f>
        <v/>
      </c>
      <c r="E591" s="63">
        <f>IF(OR(A591="",D591=""),"",D591-TODAY())</f>
        <v/>
      </c>
      <c r="F591" s="64">
        <f>IF(OR(A591="",D591=""),"",IF(D591&lt;TODAY(),"Süresi geçti",IF(D591&lt;=TODAY()+30,"30 gün içinde",IF(D591&lt;=TODAY()+90,"90 gün içinde","İleride"))))</f>
        <v/>
      </c>
      <c r="G591" s="64">
        <f>IF(A591="","",Firmalar!$H$35)</f>
        <v/>
      </c>
    </row>
    <row r="592" ht="18" customHeight="1">
      <c r="A592" s="61">
        <f>IF(Firmalar!$B$35="","",Firmalar!$B$35)</f>
        <v/>
      </c>
      <c r="B592" s="61">
        <f>IF(Firmalar!$B$35="","",Firmalar!$I$35)</f>
        <v/>
      </c>
      <c r="C592" s="61" t="inlineStr">
        <is>
          <t>Uygunsuzluk kapanışı</t>
        </is>
      </c>
      <c r="D592" s="62">
        <f>IF(Firmalar!$B$35="","",Firmalar!$GF$35)</f>
        <v/>
      </c>
      <c r="E592" s="63">
        <f>IF(OR(A592="",D592=""),"",D592-TODAY())</f>
        <v/>
      </c>
      <c r="F592" s="64">
        <f>IF(OR(A592="",D592=""),"",IF(D592&lt;TODAY(),"Süresi geçti",IF(D592&lt;=TODAY()+30,"30 gün içinde",IF(D592&lt;=TODAY()+90,"90 gün içinde","İleride"))))</f>
        <v/>
      </c>
      <c r="G592" s="64">
        <f>IF(A592="","",Firmalar!$H$35)</f>
        <v/>
      </c>
    </row>
    <row r="593" ht="18" customHeight="1">
      <c r="A593" s="61">
        <f>IF(Firmalar!$B$35="","",Firmalar!$B$35)</f>
        <v/>
      </c>
      <c r="B593" s="61">
        <f>IF(Firmalar!$B$35="","",Firmalar!$I$35)</f>
        <v/>
      </c>
      <c r="C593" s="61" t="inlineStr">
        <is>
          <t>Öncelikli işlem</t>
        </is>
      </c>
      <c r="D593" s="62">
        <f>IF(Firmalar!$B$35="","",Firmalar!$GG$35)</f>
        <v/>
      </c>
      <c r="E593" s="63">
        <f>IF(OR(A593="",D593=""),"",D593-TODAY())</f>
        <v/>
      </c>
      <c r="F593" s="64">
        <f>IF(OR(A593="",D593=""),"",IF(D593&lt;TODAY(),"Süresi geçti",IF(D593&lt;=TODAY()+30,"30 gün içinde",IF(D593&lt;=TODAY()+90,"90 gün içinde","İleride"))))</f>
        <v/>
      </c>
      <c r="G593" s="64">
        <f>IF(A593="","",Firmalar!$H$35)</f>
        <v/>
      </c>
    </row>
    <row r="594" ht="18" customHeight="1">
      <c r="A594" s="61">
        <f>IF(Firmalar!$B$36="","",Firmalar!$B$36)</f>
        <v/>
      </c>
      <c r="B594" s="61">
        <f>IF(Firmalar!$B$36="","",Firmalar!$I$36)</f>
        <v/>
      </c>
      <c r="C594" s="61" t="inlineStr">
        <is>
          <t>Çevre izni bitiş</t>
        </is>
      </c>
      <c r="D594" s="62">
        <f>IF(Firmalar!$B$36="","",Firmalar!$FO$36)</f>
        <v/>
      </c>
      <c r="E594" s="63">
        <f>IF(OR(A594="",D594=""),"",D594-TODAY())</f>
        <v/>
      </c>
      <c r="F594" s="64">
        <f>IF(OR(A594="",D594=""),"",IF(D594&lt;TODAY(),"Süresi geçti",IF(D594&lt;=TODAY()+30,"30 gün içinde",IF(D594&lt;=TODAY()+90,"90 gün içinde","İleride"))))</f>
        <v/>
      </c>
      <c r="G594" s="64">
        <f>IF(A594="","",Firmalar!$H$36)</f>
        <v/>
      </c>
    </row>
    <row r="595" ht="18" customHeight="1">
      <c r="A595" s="61">
        <f>IF(Firmalar!$B$36="","",Firmalar!$B$36)</f>
        <v/>
      </c>
      <c r="B595" s="61">
        <f>IF(Firmalar!$B$36="","",Firmalar!$I$36)</f>
        <v/>
      </c>
      <c r="C595" s="61" t="inlineStr">
        <is>
          <t>Çevre izni başvurusu</t>
        </is>
      </c>
      <c r="D595" s="62">
        <f>IF(Firmalar!$B$36="","",Firmalar!$FP$36)</f>
        <v/>
      </c>
      <c r="E595" s="63">
        <f>IF(OR(A595="",D595=""),"",D595-TODAY())</f>
        <v/>
      </c>
      <c r="F595" s="64">
        <f>IF(OR(A595="",D595=""),"",IF(D595&lt;TODAY(),"Süresi geçti",IF(D595&lt;=TODAY()+30,"30 gün içinde",IF(D595&lt;=TODAY()+90,"90 gün içinde","İleride"))))</f>
        <v/>
      </c>
      <c r="G595" s="64">
        <f>IF(A595="","",Firmalar!$H$36)</f>
        <v/>
      </c>
    </row>
    <row r="596" ht="18" customHeight="1">
      <c r="A596" s="61">
        <f>IF(Firmalar!$B$36="","",Firmalar!$B$36)</f>
        <v/>
      </c>
      <c r="B596" s="61">
        <f>IF(Firmalar!$B$36="","",Firmalar!$I$36)</f>
        <v/>
      </c>
      <c r="C596" s="61" t="inlineStr">
        <is>
          <t>GFB bitiş</t>
        </is>
      </c>
      <c r="D596" s="62">
        <f>IF(Firmalar!$B$36="","",Firmalar!$FQ$36)</f>
        <v/>
      </c>
      <c r="E596" s="63">
        <f>IF(OR(A596="",D596=""),"",D596-TODAY())</f>
        <v/>
      </c>
      <c r="F596" s="64">
        <f>IF(OR(A596="",D596=""),"",IF(D596&lt;TODAY(),"Süresi geçti",IF(D596&lt;=TODAY()+30,"30 gün içinde",IF(D596&lt;=TODAY()+90,"90 gün içinde","İleride"))))</f>
        <v/>
      </c>
      <c r="G596" s="64">
        <f>IF(A596="","",Firmalar!$H$36)</f>
        <v/>
      </c>
    </row>
    <row r="597" ht="18" customHeight="1">
      <c r="A597" s="61">
        <f>IF(Firmalar!$B$36="","",Firmalar!$B$36)</f>
        <v/>
      </c>
      <c r="B597" s="61">
        <f>IF(Firmalar!$B$36="","",Firmalar!$I$36)</f>
        <v/>
      </c>
      <c r="C597" s="61" t="inlineStr">
        <is>
          <t>Sözleşme bitiş</t>
        </is>
      </c>
      <c r="D597" s="62">
        <f>IF(Firmalar!$B$36="","",Firmalar!$FR$36)</f>
        <v/>
      </c>
      <c r="E597" s="63">
        <f>IF(OR(A597="",D597=""),"",D597-TODAY())</f>
        <v/>
      </c>
      <c r="F597" s="64">
        <f>IF(OR(A597="",D597=""),"",IF(D597&lt;TODAY(),"Süresi geçti",IF(D597&lt;=TODAY()+30,"30 gün içinde",IF(D597&lt;=TODAY()+90,"90 gün içinde","İleride"))))</f>
        <v/>
      </c>
      <c r="G597" s="64">
        <f>IF(A597="","",Firmalar!$H$36)</f>
        <v/>
      </c>
    </row>
    <row r="598" ht="18" customHeight="1">
      <c r="A598" s="61">
        <f>IF(Firmalar!$B$36="","",Firmalar!$B$36)</f>
        <v/>
      </c>
      <c r="B598" s="61">
        <f>IF(Firmalar!$B$36="","",Firmalar!$I$36)</f>
        <v/>
      </c>
      <c r="C598" s="61" t="inlineStr">
        <is>
          <t>Sıfır Atık bitiş</t>
        </is>
      </c>
      <c r="D598" s="62">
        <f>IF(Firmalar!$B$36="","",Firmalar!$FS$36)</f>
        <v/>
      </c>
      <c r="E598" s="63">
        <f>IF(OR(A598="",D598=""),"",D598-TODAY())</f>
        <v/>
      </c>
      <c r="F598" s="64">
        <f>IF(OR(A598="",D598=""),"",IF(D598&lt;TODAY(),"Süresi geçti",IF(D598&lt;=TODAY()+30,"30 gün içinde",IF(D598&lt;=TODAY()+90,"90 gün içinde","İleride"))))</f>
        <v/>
      </c>
      <c r="G598" s="64">
        <f>IF(A598="","",Firmalar!$H$36)</f>
        <v/>
      </c>
    </row>
    <row r="599" ht="18" customHeight="1">
      <c r="A599" s="61">
        <f>IF(Firmalar!$B$36="","",Firmalar!$B$36)</f>
        <v/>
      </c>
      <c r="B599" s="61">
        <f>IF(Firmalar!$B$36="","",Firmalar!$I$36)</f>
        <v/>
      </c>
      <c r="C599" s="61" t="inlineStr">
        <is>
          <t>Atık planı bitiş</t>
        </is>
      </c>
      <c r="D599" s="62">
        <f>IF(Firmalar!$B$36="","",Firmalar!$FT$36)</f>
        <v/>
      </c>
      <c r="E599" s="63">
        <f>IF(OR(A599="",D599=""),"",D599-TODAY())</f>
        <v/>
      </c>
      <c r="F599" s="64">
        <f>IF(OR(A599="",D599=""),"",IF(D599&lt;TODAY(),"Süresi geçti",IF(D599&lt;=TODAY()+30,"30 gün içinde",IF(D599&lt;=TODAY()+90,"90 gün içinde","İleride"))))</f>
        <v/>
      </c>
      <c r="G599" s="64">
        <f>IF(A599="","",Firmalar!$H$36)</f>
        <v/>
      </c>
    </row>
    <row r="600" ht="18" customHeight="1">
      <c r="A600" s="61">
        <f>IF(Firmalar!$B$36="","",Firmalar!$B$36)</f>
        <v/>
      </c>
      <c r="B600" s="61">
        <f>IF(Firmalar!$B$36="","",Firmalar!$I$36)</f>
        <v/>
      </c>
      <c r="C600" s="61" t="inlineStr">
        <is>
          <t>Emisyon teyidi</t>
        </is>
      </c>
      <c r="D600" s="62">
        <f>IF(Firmalar!$B$36="","",Firmalar!$FU$36)</f>
        <v/>
      </c>
      <c r="E600" s="63">
        <f>IF(OR(A600="",D600=""),"",D600-TODAY())</f>
        <v/>
      </c>
      <c r="F600" s="64">
        <f>IF(OR(A600="",D600=""),"",IF(D600&lt;TODAY(),"Süresi geçti",IF(D600&lt;=TODAY()+30,"30 gün içinde",IF(D600&lt;=TODAY()+90,"90 gün içinde","İleride"))))</f>
        <v/>
      </c>
      <c r="G600" s="64">
        <f>IF(A600="","",Firmalar!$H$36)</f>
        <v/>
      </c>
    </row>
    <row r="601" ht="18" customHeight="1">
      <c r="A601" s="61">
        <f>IF(Firmalar!$B$36="","",Firmalar!$B$36)</f>
        <v/>
      </c>
      <c r="B601" s="61">
        <f>IF(Firmalar!$B$36="","",Firmalar!$I$36)</f>
        <v/>
      </c>
      <c r="C601" s="61" t="inlineStr">
        <is>
          <t>Emisyon ölçümü</t>
        </is>
      </c>
      <c r="D601" s="62">
        <f>IF(Firmalar!$B$36="","",Firmalar!$FV$36)</f>
        <v/>
      </c>
      <c r="E601" s="63">
        <f>IF(OR(A601="",D601=""),"",D601-TODAY())</f>
        <v/>
      </c>
      <c r="F601" s="64">
        <f>IF(OR(A601="",D601=""),"",IF(D601&lt;TODAY(),"Süresi geçti",IF(D601&lt;=TODAY()+30,"30 gün içinde",IF(D601&lt;=TODAY()+90,"90 gün içinde","İleride"))))</f>
        <v/>
      </c>
      <c r="G601" s="64">
        <f>IF(A601="","",Firmalar!$H$36)</f>
        <v/>
      </c>
    </row>
    <row r="602" ht="18" customHeight="1">
      <c r="A602" s="61">
        <f>IF(Firmalar!$B$36="","",Firmalar!$B$36)</f>
        <v/>
      </c>
      <c r="B602" s="61">
        <f>IF(Firmalar!$B$36="","",Firmalar!$I$36)</f>
        <v/>
      </c>
      <c r="C602" s="61" t="inlineStr">
        <is>
          <t>İç tetkik</t>
        </is>
      </c>
      <c r="D602" s="62">
        <f>IF(Firmalar!$B$36="","",Firmalar!$FW$36)</f>
        <v/>
      </c>
      <c r="E602" s="63">
        <f>IF(OR(A602="",D602=""),"",D602-TODAY())</f>
        <v/>
      </c>
      <c r="F602" s="64">
        <f>IF(OR(A602="",D602=""),"",IF(D602&lt;TODAY(),"Süresi geçti",IF(D602&lt;=TODAY()+30,"30 gün içinde",IF(D602&lt;=TODAY()+90,"90 gün içinde","İleride"))))</f>
        <v/>
      </c>
      <c r="G602" s="64">
        <f>IF(A602="","",Firmalar!$H$36)</f>
        <v/>
      </c>
    </row>
    <row r="603" ht="18" customHeight="1">
      <c r="A603" s="61">
        <f>IF(Firmalar!$B$36="","",Firmalar!$B$36)</f>
        <v/>
      </c>
      <c r="B603" s="61">
        <f>IF(Firmalar!$B$36="","",Firmalar!$I$36)</f>
        <v/>
      </c>
      <c r="C603" s="61" t="inlineStr">
        <is>
          <t>İç tetkik planı</t>
        </is>
      </c>
      <c r="D603" s="62">
        <f>IF(Firmalar!$B$36="","",Firmalar!$FX$36)</f>
        <v/>
      </c>
      <c r="E603" s="63">
        <f>IF(OR(A603="",D603=""),"",D603-TODAY())</f>
        <v/>
      </c>
      <c r="F603" s="64">
        <f>IF(OR(A603="",D603=""),"",IF(D603&lt;TODAY(),"Süresi geçti",IF(D603&lt;=TODAY()+30,"30 gün içinde",IF(D603&lt;=TODAY()+90,"90 gün içinde","İleride"))))</f>
        <v/>
      </c>
      <c r="G603" s="64">
        <f>IF(A603="","",Firmalar!$H$36)</f>
        <v/>
      </c>
    </row>
    <row r="604" ht="18" customHeight="1">
      <c r="A604" s="61">
        <f>IF(Firmalar!$B$36="","",Firmalar!$B$36)</f>
        <v/>
      </c>
      <c r="B604" s="61">
        <f>IF(Firmalar!$B$36="","",Firmalar!$I$36)</f>
        <v/>
      </c>
      <c r="C604" s="61" t="inlineStr">
        <is>
          <t>Çevre eğitimi</t>
        </is>
      </c>
      <c r="D604" s="62">
        <f>IF(Firmalar!$B$36="","",Firmalar!$FY$36)</f>
        <v/>
      </c>
      <c r="E604" s="63">
        <f>IF(OR(A604="",D604=""),"",D604-TODAY())</f>
        <v/>
      </c>
      <c r="F604" s="64">
        <f>IF(OR(A604="",D604=""),"",IF(D604&lt;TODAY(),"Süresi geçti",IF(D604&lt;=TODAY()+30,"30 gün içinde",IF(D604&lt;=TODAY()+90,"90 gün içinde","İleride"))))</f>
        <v/>
      </c>
      <c r="G604" s="64">
        <f>IF(A604="","",Firmalar!$H$36)</f>
        <v/>
      </c>
    </row>
    <row r="605" ht="18" customHeight="1">
      <c r="A605" s="61">
        <f>IF(Firmalar!$B$36="","",Firmalar!$B$36)</f>
        <v/>
      </c>
      <c r="B605" s="61">
        <f>IF(Firmalar!$B$36="","",Firmalar!$I$36)</f>
        <v/>
      </c>
      <c r="C605" s="61" t="inlineStr">
        <is>
          <t>Eğitim planı</t>
        </is>
      </c>
      <c r="D605" s="62">
        <f>IF(Firmalar!$B$36="","",Firmalar!$FZ$36)</f>
        <v/>
      </c>
      <c r="E605" s="63">
        <f>IF(OR(A605="",D605=""),"",D605-TODAY())</f>
        <v/>
      </c>
      <c r="F605" s="64">
        <f>IF(OR(A605="",D605=""),"",IF(D605&lt;TODAY(),"Süresi geçti",IF(D605&lt;=TODAY()+30,"30 gün içinde",IF(D605&lt;=TODAY()+90,"90 gün içinde","İleride"))))</f>
        <v/>
      </c>
      <c r="G605" s="64">
        <f>IF(A605="","",Firmalar!$H$36)</f>
        <v/>
      </c>
    </row>
    <row r="606" ht="18" customHeight="1">
      <c r="A606" s="61">
        <f>IF(Firmalar!$B$36="","",Firmalar!$B$36)</f>
        <v/>
      </c>
      <c r="B606" s="61">
        <f>IF(Firmalar!$B$36="","",Firmalar!$I$36)</f>
        <v/>
      </c>
      <c r="C606" s="61" t="inlineStr">
        <is>
          <t>Kanal belgesi bitiş</t>
        </is>
      </c>
      <c r="D606" s="62">
        <f>IF(Firmalar!$B$36="","",Firmalar!$GA$36)</f>
        <v/>
      </c>
      <c r="E606" s="63">
        <f>IF(OR(A606="",D606=""),"",D606-TODAY())</f>
        <v/>
      </c>
      <c r="F606" s="64">
        <f>IF(OR(A606="",D606=""),"",IF(D606&lt;TODAY(),"Süresi geçti",IF(D606&lt;=TODAY()+30,"30 gün içinde",IF(D606&lt;=TODAY()+90,"90 gün içinde","İleride"))))</f>
        <v/>
      </c>
      <c r="G606" s="64">
        <f>IF(A606="","",Firmalar!$H$36)</f>
        <v/>
      </c>
    </row>
    <row r="607" ht="18" customHeight="1">
      <c r="A607" s="61">
        <f>IF(Firmalar!$B$36="","",Firmalar!$B$36)</f>
        <v/>
      </c>
      <c r="B607" s="61">
        <f>IF(Firmalar!$B$36="","",Firmalar!$I$36)</f>
        <v/>
      </c>
      <c r="C607" s="61" t="inlineStr">
        <is>
          <t>Deşarj izni bitiş</t>
        </is>
      </c>
      <c r="D607" s="62">
        <f>IF(Firmalar!$B$36="","",Firmalar!$GB$36)</f>
        <v/>
      </c>
      <c r="E607" s="63">
        <f>IF(OR(A607="",D607=""),"",D607-TODAY())</f>
        <v/>
      </c>
      <c r="F607" s="64">
        <f>IF(OR(A607="",D607=""),"",IF(D607&lt;TODAY(),"Süresi geçti",IF(D607&lt;=TODAY()+30,"30 gün içinde",IF(D607&lt;=TODAY()+90,"90 gün içinde","İleride"))))</f>
        <v/>
      </c>
      <c r="G607" s="64">
        <f>IF(A607="","",Firmalar!$H$36)</f>
        <v/>
      </c>
    </row>
    <row r="608" ht="18" customHeight="1">
      <c r="A608" s="61">
        <f>IF(Firmalar!$B$36="","",Firmalar!$B$36)</f>
        <v/>
      </c>
      <c r="B608" s="61">
        <f>IF(Firmalar!$B$36="","",Firmalar!$I$36)</f>
        <v/>
      </c>
      <c r="C608" s="61" t="inlineStr">
        <is>
          <t>Atıksu analizi</t>
        </is>
      </c>
      <c r="D608" s="62">
        <f>IF(Firmalar!$B$36="","",Firmalar!$GC$36)</f>
        <v/>
      </c>
      <c r="E608" s="63">
        <f>IF(OR(A608="",D608=""),"",D608-TODAY())</f>
        <v/>
      </c>
      <c r="F608" s="64">
        <f>IF(OR(A608="",D608=""),"",IF(D608&lt;TODAY(),"Süresi geçti",IF(D608&lt;=TODAY()+30,"30 gün içinde",IF(D608&lt;=TODAY()+90,"90 gün içinde","İleride"))))</f>
        <v/>
      </c>
      <c r="G608" s="64">
        <f>IF(A608="","",Firmalar!$H$36)</f>
        <v/>
      </c>
    </row>
    <row r="609" ht="18" customHeight="1">
      <c r="A609" s="61">
        <f>IF(Firmalar!$B$36="","",Firmalar!$B$36)</f>
        <v/>
      </c>
      <c r="B609" s="61">
        <f>IF(Firmalar!$B$36="","",Firmalar!$I$36)</f>
        <v/>
      </c>
      <c r="C609" s="61" t="inlineStr">
        <is>
          <t>Saha ziyareti</t>
        </is>
      </c>
      <c r="D609" s="62">
        <f>IF(Firmalar!$B$36="","",Firmalar!$GD$36)</f>
        <v/>
      </c>
      <c r="E609" s="63">
        <f>IF(OR(A609="",D609=""),"",D609-TODAY())</f>
        <v/>
      </c>
      <c r="F609" s="64">
        <f>IF(OR(A609="",D609=""),"",IF(D609&lt;TODAY(),"Süresi geçti",IF(D609&lt;=TODAY()+30,"30 gün içinde",IF(D609&lt;=TODAY()+90,"90 gün içinde","İleride"))))</f>
        <v/>
      </c>
      <c r="G609" s="64">
        <f>IF(A609="","",Firmalar!$H$36)</f>
        <v/>
      </c>
    </row>
    <row r="610" ht="18" customHeight="1">
      <c r="A610" s="61">
        <f>IF(Firmalar!$B$36="","",Firmalar!$B$36)</f>
        <v/>
      </c>
      <c r="B610" s="61">
        <f>IF(Firmalar!$B$36="","",Firmalar!$I$36)</f>
        <v/>
      </c>
      <c r="C610" s="61" t="inlineStr">
        <is>
          <t>Resmî yazı cevabı</t>
        </is>
      </c>
      <c r="D610" s="62">
        <f>IF(Firmalar!$B$36="","",Firmalar!$GE$36)</f>
        <v/>
      </c>
      <c r="E610" s="63">
        <f>IF(OR(A610="",D610=""),"",D610-TODAY())</f>
        <v/>
      </c>
      <c r="F610" s="64">
        <f>IF(OR(A610="",D610=""),"",IF(D610&lt;TODAY(),"Süresi geçti",IF(D610&lt;=TODAY()+30,"30 gün içinde",IF(D610&lt;=TODAY()+90,"90 gün içinde","İleride"))))</f>
        <v/>
      </c>
      <c r="G610" s="64">
        <f>IF(A610="","",Firmalar!$H$36)</f>
        <v/>
      </c>
    </row>
    <row r="611" ht="18" customHeight="1">
      <c r="A611" s="61">
        <f>IF(Firmalar!$B$36="","",Firmalar!$B$36)</f>
        <v/>
      </c>
      <c r="B611" s="61">
        <f>IF(Firmalar!$B$36="","",Firmalar!$I$36)</f>
        <v/>
      </c>
      <c r="C611" s="61" t="inlineStr">
        <is>
          <t>Uygunsuzluk kapanışı</t>
        </is>
      </c>
      <c r="D611" s="62">
        <f>IF(Firmalar!$B$36="","",Firmalar!$GF$36)</f>
        <v/>
      </c>
      <c r="E611" s="63">
        <f>IF(OR(A611="",D611=""),"",D611-TODAY())</f>
        <v/>
      </c>
      <c r="F611" s="64">
        <f>IF(OR(A611="",D611=""),"",IF(D611&lt;TODAY(),"Süresi geçti",IF(D611&lt;=TODAY()+30,"30 gün içinde",IF(D611&lt;=TODAY()+90,"90 gün içinde","İleride"))))</f>
        <v/>
      </c>
      <c r="G611" s="64">
        <f>IF(A611="","",Firmalar!$H$36)</f>
        <v/>
      </c>
    </row>
    <row r="612" ht="18" customHeight="1">
      <c r="A612" s="61">
        <f>IF(Firmalar!$B$36="","",Firmalar!$B$36)</f>
        <v/>
      </c>
      <c r="B612" s="61">
        <f>IF(Firmalar!$B$36="","",Firmalar!$I$36)</f>
        <v/>
      </c>
      <c r="C612" s="61" t="inlineStr">
        <is>
          <t>Öncelikli işlem</t>
        </is>
      </c>
      <c r="D612" s="62">
        <f>IF(Firmalar!$B$36="","",Firmalar!$GG$36)</f>
        <v/>
      </c>
      <c r="E612" s="63">
        <f>IF(OR(A612="",D612=""),"",D612-TODAY())</f>
        <v/>
      </c>
      <c r="F612" s="64">
        <f>IF(OR(A612="",D612=""),"",IF(D612&lt;TODAY(),"Süresi geçti",IF(D612&lt;=TODAY()+30,"30 gün içinde",IF(D612&lt;=TODAY()+90,"90 gün içinde","İleride"))))</f>
        <v/>
      </c>
      <c r="G612" s="64">
        <f>IF(A612="","",Firmalar!$H$36)</f>
        <v/>
      </c>
    </row>
    <row r="613" ht="18" customHeight="1">
      <c r="A613" s="61">
        <f>IF(Firmalar!$B$37="","",Firmalar!$B$37)</f>
        <v/>
      </c>
      <c r="B613" s="61">
        <f>IF(Firmalar!$B$37="","",Firmalar!$I$37)</f>
        <v/>
      </c>
      <c r="C613" s="61" t="inlineStr">
        <is>
          <t>Çevre izni bitiş</t>
        </is>
      </c>
      <c r="D613" s="62">
        <f>IF(Firmalar!$B$37="","",Firmalar!$FO$37)</f>
        <v/>
      </c>
      <c r="E613" s="63">
        <f>IF(OR(A613="",D613=""),"",D613-TODAY())</f>
        <v/>
      </c>
      <c r="F613" s="64">
        <f>IF(OR(A613="",D613=""),"",IF(D613&lt;TODAY(),"Süresi geçti",IF(D613&lt;=TODAY()+30,"30 gün içinde",IF(D613&lt;=TODAY()+90,"90 gün içinde","İleride"))))</f>
        <v/>
      </c>
      <c r="G613" s="64">
        <f>IF(A613="","",Firmalar!$H$37)</f>
        <v/>
      </c>
    </row>
    <row r="614" ht="18" customHeight="1">
      <c r="A614" s="61">
        <f>IF(Firmalar!$B$37="","",Firmalar!$B$37)</f>
        <v/>
      </c>
      <c r="B614" s="61">
        <f>IF(Firmalar!$B$37="","",Firmalar!$I$37)</f>
        <v/>
      </c>
      <c r="C614" s="61" t="inlineStr">
        <is>
          <t>Çevre izni başvurusu</t>
        </is>
      </c>
      <c r="D614" s="62">
        <f>IF(Firmalar!$B$37="","",Firmalar!$FP$37)</f>
        <v/>
      </c>
      <c r="E614" s="63">
        <f>IF(OR(A614="",D614=""),"",D614-TODAY())</f>
        <v/>
      </c>
      <c r="F614" s="64">
        <f>IF(OR(A614="",D614=""),"",IF(D614&lt;TODAY(),"Süresi geçti",IF(D614&lt;=TODAY()+30,"30 gün içinde",IF(D614&lt;=TODAY()+90,"90 gün içinde","İleride"))))</f>
        <v/>
      </c>
      <c r="G614" s="64">
        <f>IF(A614="","",Firmalar!$H$37)</f>
        <v/>
      </c>
    </row>
    <row r="615" ht="18" customHeight="1">
      <c r="A615" s="61">
        <f>IF(Firmalar!$B$37="","",Firmalar!$B$37)</f>
        <v/>
      </c>
      <c r="B615" s="61">
        <f>IF(Firmalar!$B$37="","",Firmalar!$I$37)</f>
        <v/>
      </c>
      <c r="C615" s="61" t="inlineStr">
        <is>
          <t>GFB bitiş</t>
        </is>
      </c>
      <c r="D615" s="62">
        <f>IF(Firmalar!$B$37="","",Firmalar!$FQ$37)</f>
        <v/>
      </c>
      <c r="E615" s="63">
        <f>IF(OR(A615="",D615=""),"",D615-TODAY())</f>
        <v/>
      </c>
      <c r="F615" s="64">
        <f>IF(OR(A615="",D615=""),"",IF(D615&lt;TODAY(),"Süresi geçti",IF(D615&lt;=TODAY()+30,"30 gün içinde",IF(D615&lt;=TODAY()+90,"90 gün içinde","İleride"))))</f>
        <v/>
      </c>
      <c r="G615" s="64">
        <f>IF(A615="","",Firmalar!$H$37)</f>
        <v/>
      </c>
    </row>
    <row r="616" ht="18" customHeight="1">
      <c r="A616" s="61">
        <f>IF(Firmalar!$B$37="","",Firmalar!$B$37)</f>
        <v/>
      </c>
      <c r="B616" s="61">
        <f>IF(Firmalar!$B$37="","",Firmalar!$I$37)</f>
        <v/>
      </c>
      <c r="C616" s="61" t="inlineStr">
        <is>
          <t>Sözleşme bitiş</t>
        </is>
      </c>
      <c r="D616" s="62">
        <f>IF(Firmalar!$B$37="","",Firmalar!$FR$37)</f>
        <v/>
      </c>
      <c r="E616" s="63">
        <f>IF(OR(A616="",D616=""),"",D616-TODAY())</f>
        <v/>
      </c>
      <c r="F616" s="64">
        <f>IF(OR(A616="",D616=""),"",IF(D616&lt;TODAY(),"Süresi geçti",IF(D616&lt;=TODAY()+30,"30 gün içinde",IF(D616&lt;=TODAY()+90,"90 gün içinde","İleride"))))</f>
        <v/>
      </c>
      <c r="G616" s="64">
        <f>IF(A616="","",Firmalar!$H$37)</f>
        <v/>
      </c>
    </row>
    <row r="617" ht="18" customHeight="1">
      <c r="A617" s="61">
        <f>IF(Firmalar!$B$37="","",Firmalar!$B$37)</f>
        <v/>
      </c>
      <c r="B617" s="61">
        <f>IF(Firmalar!$B$37="","",Firmalar!$I$37)</f>
        <v/>
      </c>
      <c r="C617" s="61" t="inlineStr">
        <is>
          <t>Sıfır Atık bitiş</t>
        </is>
      </c>
      <c r="D617" s="62">
        <f>IF(Firmalar!$B$37="","",Firmalar!$FS$37)</f>
        <v/>
      </c>
      <c r="E617" s="63">
        <f>IF(OR(A617="",D617=""),"",D617-TODAY())</f>
        <v/>
      </c>
      <c r="F617" s="64">
        <f>IF(OR(A617="",D617=""),"",IF(D617&lt;TODAY(),"Süresi geçti",IF(D617&lt;=TODAY()+30,"30 gün içinde",IF(D617&lt;=TODAY()+90,"90 gün içinde","İleride"))))</f>
        <v/>
      </c>
      <c r="G617" s="64">
        <f>IF(A617="","",Firmalar!$H$37)</f>
        <v/>
      </c>
    </row>
    <row r="618" ht="18" customHeight="1">
      <c r="A618" s="61">
        <f>IF(Firmalar!$B$37="","",Firmalar!$B$37)</f>
        <v/>
      </c>
      <c r="B618" s="61">
        <f>IF(Firmalar!$B$37="","",Firmalar!$I$37)</f>
        <v/>
      </c>
      <c r="C618" s="61" t="inlineStr">
        <is>
          <t>Atık planı bitiş</t>
        </is>
      </c>
      <c r="D618" s="62">
        <f>IF(Firmalar!$B$37="","",Firmalar!$FT$37)</f>
        <v/>
      </c>
      <c r="E618" s="63">
        <f>IF(OR(A618="",D618=""),"",D618-TODAY())</f>
        <v/>
      </c>
      <c r="F618" s="64">
        <f>IF(OR(A618="",D618=""),"",IF(D618&lt;TODAY(),"Süresi geçti",IF(D618&lt;=TODAY()+30,"30 gün içinde",IF(D618&lt;=TODAY()+90,"90 gün içinde","İleride"))))</f>
        <v/>
      </c>
      <c r="G618" s="64">
        <f>IF(A618="","",Firmalar!$H$37)</f>
        <v/>
      </c>
    </row>
    <row r="619" ht="18" customHeight="1">
      <c r="A619" s="61">
        <f>IF(Firmalar!$B$37="","",Firmalar!$B$37)</f>
        <v/>
      </c>
      <c r="B619" s="61">
        <f>IF(Firmalar!$B$37="","",Firmalar!$I$37)</f>
        <v/>
      </c>
      <c r="C619" s="61" t="inlineStr">
        <is>
          <t>Emisyon teyidi</t>
        </is>
      </c>
      <c r="D619" s="62">
        <f>IF(Firmalar!$B$37="","",Firmalar!$FU$37)</f>
        <v/>
      </c>
      <c r="E619" s="63">
        <f>IF(OR(A619="",D619=""),"",D619-TODAY())</f>
        <v/>
      </c>
      <c r="F619" s="64">
        <f>IF(OR(A619="",D619=""),"",IF(D619&lt;TODAY(),"Süresi geçti",IF(D619&lt;=TODAY()+30,"30 gün içinde",IF(D619&lt;=TODAY()+90,"90 gün içinde","İleride"))))</f>
        <v/>
      </c>
      <c r="G619" s="64">
        <f>IF(A619="","",Firmalar!$H$37)</f>
        <v/>
      </c>
    </row>
    <row r="620" ht="18" customHeight="1">
      <c r="A620" s="61">
        <f>IF(Firmalar!$B$37="","",Firmalar!$B$37)</f>
        <v/>
      </c>
      <c r="B620" s="61">
        <f>IF(Firmalar!$B$37="","",Firmalar!$I$37)</f>
        <v/>
      </c>
      <c r="C620" s="61" t="inlineStr">
        <is>
          <t>Emisyon ölçümü</t>
        </is>
      </c>
      <c r="D620" s="62">
        <f>IF(Firmalar!$B$37="","",Firmalar!$FV$37)</f>
        <v/>
      </c>
      <c r="E620" s="63">
        <f>IF(OR(A620="",D620=""),"",D620-TODAY())</f>
        <v/>
      </c>
      <c r="F620" s="64">
        <f>IF(OR(A620="",D620=""),"",IF(D620&lt;TODAY(),"Süresi geçti",IF(D620&lt;=TODAY()+30,"30 gün içinde",IF(D620&lt;=TODAY()+90,"90 gün içinde","İleride"))))</f>
        <v/>
      </c>
      <c r="G620" s="64">
        <f>IF(A620="","",Firmalar!$H$37)</f>
        <v/>
      </c>
    </row>
    <row r="621" ht="18" customHeight="1">
      <c r="A621" s="61">
        <f>IF(Firmalar!$B$37="","",Firmalar!$B$37)</f>
        <v/>
      </c>
      <c r="B621" s="61">
        <f>IF(Firmalar!$B$37="","",Firmalar!$I$37)</f>
        <v/>
      </c>
      <c r="C621" s="61" t="inlineStr">
        <is>
          <t>İç tetkik</t>
        </is>
      </c>
      <c r="D621" s="62">
        <f>IF(Firmalar!$B$37="","",Firmalar!$FW$37)</f>
        <v/>
      </c>
      <c r="E621" s="63">
        <f>IF(OR(A621="",D621=""),"",D621-TODAY())</f>
        <v/>
      </c>
      <c r="F621" s="64">
        <f>IF(OR(A621="",D621=""),"",IF(D621&lt;TODAY(),"Süresi geçti",IF(D621&lt;=TODAY()+30,"30 gün içinde",IF(D621&lt;=TODAY()+90,"90 gün içinde","İleride"))))</f>
        <v/>
      </c>
      <c r="G621" s="64">
        <f>IF(A621="","",Firmalar!$H$37)</f>
        <v/>
      </c>
    </row>
    <row r="622" ht="18" customHeight="1">
      <c r="A622" s="61">
        <f>IF(Firmalar!$B$37="","",Firmalar!$B$37)</f>
        <v/>
      </c>
      <c r="B622" s="61">
        <f>IF(Firmalar!$B$37="","",Firmalar!$I$37)</f>
        <v/>
      </c>
      <c r="C622" s="61" t="inlineStr">
        <is>
          <t>İç tetkik planı</t>
        </is>
      </c>
      <c r="D622" s="62">
        <f>IF(Firmalar!$B$37="","",Firmalar!$FX$37)</f>
        <v/>
      </c>
      <c r="E622" s="63">
        <f>IF(OR(A622="",D622=""),"",D622-TODAY())</f>
        <v/>
      </c>
      <c r="F622" s="64">
        <f>IF(OR(A622="",D622=""),"",IF(D622&lt;TODAY(),"Süresi geçti",IF(D622&lt;=TODAY()+30,"30 gün içinde",IF(D622&lt;=TODAY()+90,"90 gün içinde","İleride"))))</f>
        <v/>
      </c>
      <c r="G622" s="64">
        <f>IF(A622="","",Firmalar!$H$37)</f>
        <v/>
      </c>
    </row>
    <row r="623" ht="18" customHeight="1">
      <c r="A623" s="61">
        <f>IF(Firmalar!$B$37="","",Firmalar!$B$37)</f>
        <v/>
      </c>
      <c r="B623" s="61">
        <f>IF(Firmalar!$B$37="","",Firmalar!$I$37)</f>
        <v/>
      </c>
      <c r="C623" s="61" t="inlineStr">
        <is>
          <t>Çevre eğitimi</t>
        </is>
      </c>
      <c r="D623" s="62">
        <f>IF(Firmalar!$B$37="","",Firmalar!$FY$37)</f>
        <v/>
      </c>
      <c r="E623" s="63">
        <f>IF(OR(A623="",D623=""),"",D623-TODAY())</f>
        <v/>
      </c>
      <c r="F623" s="64">
        <f>IF(OR(A623="",D623=""),"",IF(D623&lt;TODAY(),"Süresi geçti",IF(D623&lt;=TODAY()+30,"30 gün içinde",IF(D623&lt;=TODAY()+90,"90 gün içinde","İleride"))))</f>
        <v/>
      </c>
      <c r="G623" s="64">
        <f>IF(A623="","",Firmalar!$H$37)</f>
        <v/>
      </c>
    </row>
    <row r="624" ht="18" customHeight="1">
      <c r="A624" s="61">
        <f>IF(Firmalar!$B$37="","",Firmalar!$B$37)</f>
        <v/>
      </c>
      <c r="B624" s="61">
        <f>IF(Firmalar!$B$37="","",Firmalar!$I$37)</f>
        <v/>
      </c>
      <c r="C624" s="61" t="inlineStr">
        <is>
          <t>Eğitim planı</t>
        </is>
      </c>
      <c r="D624" s="62">
        <f>IF(Firmalar!$B$37="","",Firmalar!$FZ$37)</f>
        <v/>
      </c>
      <c r="E624" s="63">
        <f>IF(OR(A624="",D624=""),"",D624-TODAY())</f>
        <v/>
      </c>
      <c r="F624" s="64">
        <f>IF(OR(A624="",D624=""),"",IF(D624&lt;TODAY(),"Süresi geçti",IF(D624&lt;=TODAY()+30,"30 gün içinde",IF(D624&lt;=TODAY()+90,"90 gün içinde","İleride"))))</f>
        <v/>
      </c>
      <c r="G624" s="64">
        <f>IF(A624="","",Firmalar!$H$37)</f>
        <v/>
      </c>
    </row>
    <row r="625" ht="18" customHeight="1">
      <c r="A625" s="61">
        <f>IF(Firmalar!$B$37="","",Firmalar!$B$37)</f>
        <v/>
      </c>
      <c r="B625" s="61">
        <f>IF(Firmalar!$B$37="","",Firmalar!$I$37)</f>
        <v/>
      </c>
      <c r="C625" s="61" t="inlineStr">
        <is>
          <t>Kanal belgesi bitiş</t>
        </is>
      </c>
      <c r="D625" s="62">
        <f>IF(Firmalar!$B$37="","",Firmalar!$GA$37)</f>
        <v/>
      </c>
      <c r="E625" s="63">
        <f>IF(OR(A625="",D625=""),"",D625-TODAY())</f>
        <v/>
      </c>
      <c r="F625" s="64">
        <f>IF(OR(A625="",D625=""),"",IF(D625&lt;TODAY(),"Süresi geçti",IF(D625&lt;=TODAY()+30,"30 gün içinde",IF(D625&lt;=TODAY()+90,"90 gün içinde","İleride"))))</f>
        <v/>
      </c>
      <c r="G625" s="64">
        <f>IF(A625="","",Firmalar!$H$37)</f>
        <v/>
      </c>
    </row>
    <row r="626" ht="18" customHeight="1">
      <c r="A626" s="61">
        <f>IF(Firmalar!$B$37="","",Firmalar!$B$37)</f>
        <v/>
      </c>
      <c r="B626" s="61">
        <f>IF(Firmalar!$B$37="","",Firmalar!$I$37)</f>
        <v/>
      </c>
      <c r="C626" s="61" t="inlineStr">
        <is>
          <t>Deşarj izni bitiş</t>
        </is>
      </c>
      <c r="D626" s="62">
        <f>IF(Firmalar!$B$37="","",Firmalar!$GB$37)</f>
        <v/>
      </c>
      <c r="E626" s="63">
        <f>IF(OR(A626="",D626=""),"",D626-TODAY())</f>
        <v/>
      </c>
      <c r="F626" s="64">
        <f>IF(OR(A626="",D626=""),"",IF(D626&lt;TODAY(),"Süresi geçti",IF(D626&lt;=TODAY()+30,"30 gün içinde",IF(D626&lt;=TODAY()+90,"90 gün içinde","İleride"))))</f>
        <v/>
      </c>
      <c r="G626" s="64">
        <f>IF(A626="","",Firmalar!$H$37)</f>
        <v/>
      </c>
    </row>
    <row r="627" ht="18" customHeight="1">
      <c r="A627" s="61">
        <f>IF(Firmalar!$B$37="","",Firmalar!$B$37)</f>
        <v/>
      </c>
      <c r="B627" s="61">
        <f>IF(Firmalar!$B$37="","",Firmalar!$I$37)</f>
        <v/>
      </c>
      <c r="C627" s="61" t="inlineStr">
        <is>
          <t>Atıksu analizi</t>
        </is>
      </c>
      <c r="D627" s="62">
        <f>IF(Firmalar!$B$37="","",Firmalar!$GC$37)</f>
        <v/>
      </c>
      <c r="E627" s="63">
        <f>IF(OR(A627="",D627=""),"",D627-TODAY())</f>
        <v/>
      </c>
      <c r="F627" s="64">
        <f>IF(OR(A627="",D627=""),"",IF(D627&lt;TODAY(),"Süresi geçti",IF(D627&lt;=TODAY()+30,"30 gün içinde",IF(D627&lt;=TODAY()+90,"90 gün içinde","İleride"))))</f>
        <v/>
      </c>
      <c r="G627" s="64">
        <f>IF(A627="","",Firmalar!$H$37)</f>
        <v/>
      </c>
    </row>
    <row r="628" ht="18" customHeight="1">
      <c r="A628" s="61">
        <f>IF(Firmalar!$B$37="","",Firmalar!$B$37)</f>
        <v/>
      </c>
      <c r="B628" s="61">
        <f>IF(Firmalar!$B$37="","",Firmalar!$I$37)</f>
        <v/>
      </c>
      <c r="C628" s="61" t="inlineStr">
        <is>
          <t>Saha ziyareti</t>
        </is>
      </c>
      <c r="D628" s="62">
        <f>IF(Firmalar!$B$37="","",Firmalar!$GD$37)</f>
        <v/>
      </c>
      <c r="E628" s="63">
        <f>IF(OR(A628="",D628=""),"",D628-TODAY())</f>
        <v/>
      </c>
      <c r="F628" s="64">
        <f>IF(OR(A628="",D628=""),"",IF(D628&lt;TODAY(),"Süresi geçti",IF(D628&lt;=TODAY()+30,"30 gün içinde",IF(D628&lt;=TODAY()+90,"90 gün içinde","İleride"))))</f>
        <v/>
      </c>
      <c r="G628" s="64">
        <f>IF(A628="","",Firmalar!$H$37)</f>
        <v/>
      </c>
    </row>
    <row r="629" ht="18" customHeight="1">
      <c r="A629" s="61">
        <f>IF(Firmalar!$B$37="","",Firmalar!$B$37)</f>
        <v/>
      </c>
      <c r="B629" s="61">
        <f>IF(Firmalar!$B$37="","",Firmalar!$I$37)</f>
        <v/>
      </c>
      <c r="C629" s="61" t="inlineStr">
        <is>
          <t>Resmî yazı cevabı</t>
        </is>
      </c>
      <c r="D629" s="62">
        <f>IF(Firmalar!$B$37="","",Firmalar!$GE$37)</f>
        <v/>
      </c>
      <c r="E629" s="63">
        <f>IF(OR(A629="",D629=""),"",D629-TODAY())</f>
        <v/>
      </c>
      <c r="F629" s="64">
        <f>IF(OR(A629="",D629=""),"",IF(D629&lt;TODAY(),"Süresi geçti",IF(D629&lt;=TODAY()+30,"30 gün içinde",IF(D629&lt;=TODAY()+90,"90 gün içinde","İleride"))))</f>
        <v/>
      </c>
      <c r="G629" s="64">
        <f>IF(A629="","",Firmalar!$H$37)</f>
        <v/>
      </c>
    </row>
    <row r="630" ht="18" customHeight="1">
      <c r="A630" s="61">
        <f>IF(Firmalar!$B$37="","",Firmalar!$B$37)</f>
        <v/>
      </c>
      <c r="B630" s="61">
        <f>IF(Firmalar!$B$37="","",Firmalar!$I$37)</f>
        <v/>
      </c>
      <c r="C630" s="61" t="inlineStr">
        <is>
          <t>Uygunsuzluk kapanışı</t>
        </is>
      </c>
      <c r="D630" s="62">
        <f>IF(Firmalar!$B$37="","",Firmalar!$GF$37)</f>
        <v/>
      </c>
      <c r="E630" s="63">
        <f>IF(OR(A630="",D630=""),"",D630-TODAY())</f>
        <v/>
      </c>
      <c r="F630" s="64">
        <f>IF(OR(A630="",D630=""),"",IF(D630&lt;TODAY(),"Süresi geçti",IF(D630&lt;=TODAY()+30,"30 gün içinde",IF(D630&lt;=TODAY()+90,"90 gün içinde","İleride"))))</f>
        <v/>
      </c>
      <c r="G630" s="64">
        <f>IF(A630="","",Firmalar!$H$37)</f>
        <v/>
      </c>
    </row>
    <row r="631" ht="18" customHeight="1">
      <c r="A631" s="61">
        <f>IF(Firmalar!$B$37="","",Firmalar!$B$37)</f>
        <v/>
      </c>
      <c r="B631" s="61">
        <f>IF(Firmalar!$B$37="","",Firmalar!$I$37)</f>
        <v/>
      </c>
      <c r="C631" s="61" t="inlineStr">
        <is>
          <t>Öncelikli işlem</t>
        </is>
      </c>
      <c r="D631" s="62">
        <f>IF(Firmalar!$B$37="","",Firmalar!$GG$37)</f>
        <v/>
      </c>
      <c r="E631" s="63">
        <f>IF(OR(A631="",D631=""),"",D631-TODAY())</f>
        <v/>
      </c>
      <c r="F631" s="64">
        <f>IF(OR(A631="",D631=""),"",IF(D631&lt;TODAY(),"Süresi geçti",IF(D631&lt;=TODAY()+30,"30 gün içinde",IF(D631&lt;=TODAY()+90,"90 gün içinde","İleride"))))</f>
        <v/>
      </c>
      <c r="G631" s="64">
        <f>IF(A631="","",Firmalar!$H$37)</f>
        <v/>
      </c>
    </row>
    <row r="632" ht="18" customHeight="1">
      <c r="A632" s="61">
        <f>IF(Firmalar!$B$38="","",Firmalar!$B$38)</f>
        <v/>
      </c>
      <c r="B632" s="61">
        <f>IF(Firmalar!$B$38="","",Firmalar!$I$38)</f>
        <v/>
      </c>
      <c r="C632" s="61" t="inlineStr">
        <is>
          <t>Çevre izni bitiş</t>
        </is>
      </c>
      <c r="D632" s="62">
        <f>IF(Firmalar!$B$38="","",Firmalar!$FO$38)</f>
        <v/>
      </c>
      <c r="E632" s="63">
        <f>IF(OR(A632="",D632=""),"",D632-TODAY())</f>
        <v/>
      </c>
      <c r="F632" s="64">
        <f>IF(OR(A632="",D632=""),"",IF(D632&lt;TODAY(),"Süresi geçti",IF(D632&lt;=TODAY()+30,"30 gün içinde",IF(D632&lt;=TODAY()+90,"90 gün içinde","İleride"))))</f>
        <v/>
      </c>
      <c r="G632" s="64">
        <f>IF(A632="","",Firmalar!$H$38)</f>
        <v/>
      </c>
    </row>
    <row r="633" ht="18" customHeight="1">
      <c r="A633" s="61">
        <f>IF(Firmalar!$B$38="","",Firmalar!$B$38)</f>
        <v/>
      </c>
      <c r="B633" s="61">
        <f>IF(Firmalar!$B$38="","",Firmalar!$I$38)</f>
        <v/>
      </c>
      <c r="C633" s="61" t="inlineStr">
        <is>
          <t>Çevre izni başvurusu</t>
        </is>
      </c>
      <c r="D633" s="62">
        <f>IF(Firmalar!$B$38="","",Firmalar!$FP$38)</f>
        <v/>
      </c>
      <c r="E633" s="63">
        <f>IF(OR(A633="",D633=""),"",D633-TODAY())</f>
        <v/>
      </c>
      <c r="F633" s="64">
        <f>IF(OR(A633="",D633=""),"",IF(D633&lt;TODAY(),"Süresi geçti",IF(D633&lt;=TODAY()+30,"30 gün içinde",IF(D633&lt;=TODAY()+90,"90 gün içinde","İleride"))))</f>
        <v/>
      </c>
      <c r="G633" s="64">
        <f>IF(A633="","",Firmalar!$H$38)</f>
        <v/>
      </c>
    </row>
    <row r="634" ht="18" customHeight="1">
      <c r="A634" s="61">
        <f>IF(Firmalar!$B$38="","",Firmalar!$B$38)</f>
        <v/>
      </c>
      <c r="B634" s="61">
        <f>IF(Firmalar!$B$38="","",Firmalar!$I$38)</f>
        <v/>
      </c>
      <c r="C634" s="61" t="inlineStr">
        <is>
          <t>GFB bitiş</t>
        </is>
      </c>
      <c r="D634" s="62">
        <f>IF(Firmalar!$B$38="","",Firmalar!$FQ$38)</f>
        <v/>
      </c>
      <c r="E634" s="63">
        <f>IF(OR(A634="",D634=""),"",D634-TODAY())</f>
        <v/>
      </c>
      <c r="F634" s="64">
        <f>IF(OR(A634="",D634=""),"",IF(D634&lt;TODAY(),"Süresi geçti",IF(D634&lt;=TODAY()+30,"30 gün içinde",IF(D634&lt;=TODAY()+90,"90 gün içinde","İleride"))))</f>
        <v/>
      </c>
      <c r="G634" s="64">
        <f>IF(A634="","",Firmalar!$H$38)</f>
        <v/>
      </c>
    </row>
    <row r="635" ht="18" customHeight="1">
      <c r="A635" s="61">
        <f>IF(Firmalar!$B$38="","",Firmalar!$B$38)</f>
        <v/>
      </c>
      <c r="B635" s="61">
        <f>IF(Firmalar!$B$38="","",Firmalar!$I$38)</f>
        <v/>
      </c>
      <c r="C635" s="61" t="inlineStr">
        <is>
          <t>Sözleşme bitiş</t>
        </is>
      </c>
      <c r="D635" s="62">
        <f>IF(Firmalar!$B$38="","",Firmalar!$FR$38)</f>
        <v/>
      </c>
      <c r="E635" s="63">
        <f>IF(OR(A635="",D635=""),"",D635-TODAY())</f>
        <v/>
      </c>
      <c r="F635" s="64">
        <f>IF(OR(A635="",D635=""),"",IF(D635&lt;TODAY(),"Süresi geçti",IF(D635&lt;=TODAY()+30,"30 gün içinde",IF(D635&lt;=TODAY()+90,"90 gün içinde","İleride"))))</f>
        <v/>
      </c>
      <c r="G635" s="64">
        <f>IF(A635="","",Firmalar!$H$38)</f>
        <v/>
      </c>
    </row>
    <row r="636" ht="18" customHeight="1">
      <c r="A636" s="61">
        <f>IF(Firmalar!$B$38="","",Firmalar!$B$38)</f>
        <v/>
      </c>
      <c r="B636" s="61">
        <f>IF(Firmalar!$B$38="","",Firmalar!$I$38)</f>
        <v/>
      </c>
      <c r="C636" s="61" t="inlineStr">
        <is>
          <t>Sıfır Atık bitiş</t>
        </is>
      </c>
      <c r="D636" s="62">
        <f>IF(Firmalar!$B$38="","",Firmalar!$FS$38)</f>
        <v/>
      </c>
      <c r="E636" s="63">
        <f>IF(OR(A636="",D636=""),"",D636-TODAY())</f>
        <v/>
      </c>
      <c r="F636" s="64">
        <f>IF(OR(A636="",D636=""),"",IF(D636&lt;TODAY(),"Süresi geçti",IF(D636&lt;=TODAY()+30,"30 gün içinde",IF(D636&lt;=TODAY()+90,"90 gün içinde","İleride"))))</f>
        <v/>
      </c>
      <c r="G636" s="64">
        <f>IF(A636="","",Firmalar!$H$38)</f>
        <v/>
      </c>
    </row>
    <row r="637" ht="18" customHeight="1">
      <c r="A637" s="61">
        <f>IF(Firmalar!$B$38="","",Firmalar!$B$38)</f>
        <v/>
      </c>
      <c r="B637" s="61">
        <f>IF(Firmalar!$B$38="","",Firmalar!$I$38)</f>
        <v/>
      </c>
      <c r="C637" s="61" t="inlineStr">
        <is>
          <t>Atık planı bitiş</t>
        </is>
      </c>
      <c r="D637" s="62">
        <f>IF(Firmalar!$B$38="","",Firmalar!$FT$38)</f>
        <v/>
      </c>
      <c r="E637" s="63">
        <f>IF(OR(A637="",D637=""),"",D637-TODAY())</f>
        <v/>
      </c>
      <c r="F637" s="64">
        <f>IF(OR(A637="",D637=""),"",IF(D637&lt;TODAY(),"Süresi geçti",IF(D637&lt;=TODAY()+30,"30 gün içinde",IF(D637&lt;=TODAY()+90,"90 gün içinde","İleride"))))</f>
        <v/>
      </c>
      <c r="G637" s="64">
        <f>IF(A637="","",Firmalar!$H$38)</f>
        <v/>
      </c>
    </row>
    <row r="638" ht="18" customHeight="1">
      <c r="A638" s="61">
        <f>IF(Firmalar!$B$38="","",Firmalar!$B$38)</f>
        <v/>
      </c>
      <c r="B638" s="61">
        <f>IF(Firmalar!$B$38="","",Firmalar!$I$38)</f>
        <v/>
      </c>
      <c r="C638" s="61" t="inlineStr">
        <is>
          <t>Emisyon teyidi</t>
        </is>
      </c>
      <c r="D638" s="62">
        <f>IF(Firmalar!$B$38="","",Firmalar!$FU$38)</f>
        <v/>
      </c>
      <c r="E638" s="63">
        <f>IF(OR(A638="",D638=""),"",D638-TODAY())</f>
        <v/>
      </c>
      <c r="F638" s="64">
        <f>IF(OR(A638="",D638=""),"",IF(D638&lt;TODAY(),"Süresi geçti",IF(D638&lt;=TODAY()+30,"30 gün içinde",IF(D638&lt;=TODAY()+90,"90 gün içinde","İleride"))))</f>
        <v/>
      </c>
      <c r="G638" s="64">
        <f>IF(A638="","",Firmalar!$H$38)</f>
        <v/>
      </c>
    </row>
    <row r="639" ht="18" customHeight="1">
      <c r="A639" s="61">
        <f>IF(Firmalar!$B$38="","",Firmalar!$B$38)</f>
        <v/>
      </c>
      <c r="B639" s="61">
        <f>IF(Firmalar!$B$38="","",Firmalar!$I$38)</f>
        <v/>
      </c>
      <c r="C639" s="61" t="inlineStr">
        <is>
          <t>Emisyon ölçümü</t>
        </is>
      </c>
      <c r="D639" s="62">
        <f>IF(Firmalar!$B$38="","",Firmalar!$FV$38)</f>
        <v/>
      </c>
      <c r="E639" s="63">
        <f>IF(OR(A639="",D639=""),"",D639-TODAY())</f>
        <v/>
      </c>
      <c r="F639" s="64">
        <f>IF(OR(A639="",D639=""),"",IF(D639&lt;TODAY(),"Süresi geçti",IF(D639&lt;=TODAY()+30,"30 gün içinde",IF(D639&lt;=TODAY()+90,"90 gün içinde","İleride"))))</f>
        <v/>
      </c>
      <c r="G639" s="64">
        <f>IF(A639="","",Firmalar!$H$38)</f>
        <v/>
      </c>
    </row>
    <row r="640" ht="18" customHeight="1">
      <c r="A640" s="61">
        <f>IF(Firmalar!$B$38="","",Firmalar!$B$38)</f>
        <v/>
      </c>
      <c r="B640" s="61">
        <f>IF(Firmalar!$B$38="","",Firmalar!$I$38)</f>
        <v/>
      </c>
      <c r="C640" s="61" t="inlineStr">
        <is>
          <t>İç tetkik</t>
        </is>
      </c>
      <c r="D640" s="62">
        <f>IF(Firmalar!$B$38="","",Firmalar!$FW$38)</f>
        <v/>
      </c>
      <c r="E640" s="63">
        <f>IF(OR(A640="",D640=""),"",D640-TODAY())</f>
        <v/>
      </c>
      <c r="F640" s="64">
        <f>IF(OR(A640="",D640=""),"",IF(D640&lt;TODAY(),"Süresi geçti",IF(D640&lt;=TODAY()+30,"30 gün içinde",IF(D640&lt;=TODAY()+90,"90 gün içinde","İleride"))))</f>
        <v/>
      </c>
      <c r="G640" s="64">
        <f>IF(A640="","",Firmalar!$H$38)</f>
        <v/>
      </c>
    </row>
    <row r="641" ht="18" customHeight="1">
      <c r="A641" s="61">
        <f>IF(Firmalar!$B$38="","",Firmalar!$B$38)</f>
        <v/>
      </c>
      <c r="B641" s="61">
        <f>IF(Firmalar!$B$38="","",Firmalar!$I$38)</f>
        <v/>
      </c>
      <c r="C641" s="61" t="inlineStr">
        <is>
          <t>İç tetkik planı</t>
        </is>
      </c>
      <c r="D641" s="62">
        <f>IF(Firmalar!$B$38="","",Firmalar!$FX$38)</f>
        <v/>
      </c>
      <c r="E641" s="63">
        <f>IF(OR(A641="",D641=""),"",D641-TODAY())</f>
        <v/>
      </c>
      <c r="F641" s="64">
        <f>IF(OR(A641="",D641=""),"",IF(D641&lt;TODAY(),"Süresi geçti",IF(D641&lt;=TODAY()+30,"30 gün içinde",IF(D641&lt;=TODAY()+90,"90 gün içinde","İleride"))))</f>
        <v/>
      </c>
      <c r="G641" s="64">
        <f>IF(A641="","",Firmalar!$H$38)</f>
        <v/>
      </c>
    </row>
    <row r="642" ht="18" customHeight="1">
      <c r="A642" s="61">
        <f>IF(Firmalar!$B$38="","",Firmalar!$B$38)</f>
        <v/>
      </c>
      <c r="B642" s="61">
        <f>IF(Firmalar!$B$38="","",Firmalar!$I$38)</f>
        <v/>
      </c>
      <c r="C642" s="61" t="inlineStr">
        <is>
          <t>Çevre eğitimi</t>
        </is>
      </c>
      <c r="D642" s="62">
        <f>IF(Firmalar!$B$38="","",Firmalar!$FY$38)</f>
        <v/>
      </c>
      <c r="E642" s="63">
        <f>IF(OR(A642="",D642=""),"",D642-TODAY())</f>
        <v/>
      </c>
      <c r="F642" s="64">
        <f>IF(OR(A642="",D642=""),"",IF(D642&lt;TODAY(),"Süresi geçti",IF(D642&lt;=TODAY()+30,"30 gün içinde",IF(D642&lt;=TODAY()+90,"90 gün içinde","İleride"))))</f>
        <v/>
      </c>
      <c r="G642" s="64">
        <f>IF(A642="","",Firmalar!$H$38)</f>
        <v/>
      </c>
    </row>
    <row r="643" ht="18" customHeight="1">
      <c r="A643" s="61">
        <f>IF(Firmalar!$B$38="","",Firmalar!$B$38)</f>
        <v/>
      </c>
      <c r="B643" s="61">
        <f>IF(Firmalar!$B$38="","",Firmalar!$I$38)</f>
        <v/>
      </c>
      <c r="C643" s="61" t="inlineStr">
        <is>
          <t>Eğitim planı</t>
        </is>
      </c>
      <c r="D643" s="62">
        <f>IF(Firmalar!$B$38="","",Firmalar!$FZ$38)</f>
        <v/>
      </c>
      <c r="E643" s="63">
        <f>IF(OR(A643="",D643=""),"",D643-TODAY())</f>
        <v/>
      </c>
      <c r="F643" s="64">
        <f>IF(OR(A643="",D643=""),"",IF(D643&lt;TODAY(),"Süresi geçti",IF(D643&lt;=TODAY()+30,"30 gün içinde",IF(D643&lt;=TODAY()+90,"90 gün içinde","İleride"))))</f>
        <v/>
      </c>
      <c r="G643" s="64">
        <f>IF(A643="","",Firmalar!$H$38)</f>
        <v/>
      </c>
    </row>
    <row r="644" ht="18" customHeight="1">
      <c r="A644" s="61">
        <f>IF(Firmalar!$B$38="","",Firmalar!$B$38)</f>
        <v/>
      </c>
      <c r="B644" s="61">
        <f>IF(Firmalar!$B$38="","",Firmalar!$I$38)</f>
        <v/>
      </c>
      <c r="C644" s="61" t="inlineStr">
        <is>
          <t>Kanal belgesi bitiş</t>
        </is>
      </c>
      <c r="D644" s="62">
        <f>IF(Firmalar!$B$38="","",Firmalar!$GA$38)</f>
        <v/>
      </c>
      <c r="E644" s="63">
        <f>IF(OR(A644="",D644=""),"",D644-TODAY())</f>
        <v/>
      </c>
      <c r="F644" s="64">
        <f>IF(OR(A644="",D644=""),"",IF(D644&lt;TODAY(),"Süresi geçti",IF(D644&lt;=TODAY()+30,"30 gün içinde",IF(D644&lt;=TODAY()+90,"90 gün içinde","İleride"))))</f>
        <v/>
      </c>
      <c r="G644" s="64">
        <f>IF(A644="","",Firmalar!$H$38)</f>
        <v/>
      </c>
    </row>
    <row r="645" ht="18" customHeight="1">
      <c r="A645" s="61">
        <f>IF(Firmalar!$B$38="","",Firmalar!$B$38)</f>
        <v/>
      </c>
      <c r="B645" s="61">
        <f>IF(Firmalar!$B$38="","",Firmalar!$I$38)</f>
        <v/>
      </c>
      <c r="C645" s="61" t="inlineStr">
        <is>
          <t>Deşarj izni bitiş</t>
        </is>
      </c>
      <c r="D645" s="62">
        <f>IF(Firmalar!$B$38="","",Firmalar!$GB$38)</f>
        <v/>
      </c>
      <c r="E645" s="63">
        <f>IF(OR(A645="",D645=""),"",D645-TODAY())</f>
        <v/>
      </c>
      <c r="F645" s="64">
        <f>IF(OR(A645="",D645=""),"",IF(D645&lt;TODAY(),"Süresi geçti",IF(D645&lt;=TODAY()+30,"30 gün içinde",IF(D645&lt;=TODAY()+90,"90 gün içinde","İleride"))))</f>
        <v/>
      </c>
      <c r="G645" s="64">
        <f>IF(A645="","",Firmalar!$H$38)</f>
        <v/>
      </c>
    </row>
    <row r="646" ht="18" customHeight="1">
      <c r="A646" s="61">
        <f>IF(Firmalar!$B$38="","",Firmalar!$B$38)</f>
        <v/>
      </c>
      <c r="B646" s="61">
        <f>IF(Firmalar!$B$38="","",Firmalar!$I$38)</f>
        <v/>
      </c>
      <c r="C646" s="61" t="inlineStr">
        <is>
          <t>Atıksu analizi</t>
        </is>
      </c>
      <c r="D646" s="62">
        <f>IF(Firmalar!$B$38="","",Firmalar!$GC$38)</f>
        <v/>
      </c>
      <c r="E646" s="63">
        <f>IF(OR(A646="",D646=""),"",D646-TODAY())</f>
        <v/>
      </c>
      <c r="F646" s="64">
        <f>IF(OR(A646="",D646=""),"",IF(D646&lt;TODAY(),"Süresi geçti",IF(D646&lt;=TODAY()+30,"30 gün içinde",IF(D646&lt;=TODAY()+90,"90 gün içinde","İleride"))))</f>
        <v/>
      </c>
      <c r="G646" s="64">
        <f>IF(A646="","",Firmalar!$H$38)</f>
        <v/>
      </c>
    </row>
    <row r="647" ht="18" customHeight="1">
      <c r="A647" s="61">
        <f>IF(Firmalar!$B$38="","",Firmalar!$B$38)</f>
        <v/>
      </c>
      <c r="B647" s="61">
        <f>IF(Firmalar!$B$38="","",Firmalar!$I$38)</f>
        <v/>
      </c>
      <c r="C647" s="61" t="inlineStr">
        <is>
          <t>Saha ziyareti</t>
        </is>
      </c>
      <c r="D647" s="62">
        <f>IF(Firmalar!$B$38="","",Firmalar!$GD$38)</f>
        <v/>
      </c>
      <c r="E647" s="63">
        <f>IF(OR(A647="",D647=""),"",D647-TODAY())</f>
        <v/>
      </c>
      <c r="F647" s="64">
        <f>IF(OR(A647="",D647=""),"",IF(D647&lt;TODAY(),"Süresi geçti",IF(D647&lt;=TODAY()+30,"30 gün içinde",IF(D647&lt;=TODAY()+90,"90 gün içinde","İleride"))))</f>
        <v/>
      </c>
      <c r="G647" s="64">
        <f>IF(A647="","",Firmalar!$H$38)</f>
        <v/>
      </c>
    </row>
    <row r="648" ht="18" customHeight="1">
      <c r="A648" s="61">
        <f>IF(Firmalar!$B$38="","",Firmalar!$B$38)</f>
        <v/>
      </c>
      <c r="B648" s="61">
        <f>IF(Firmalar!$B$38="","",Firmalar!$I$38)</f>
        <v/>
      </c>
      <c r="C648" s="61" t="inlineStr">
        <is>
          <t>Resmî yazı cevabı</t>
        </is>
      </c>
      <c r="D648" s="62">
        <f>IF(Firmalar!$B$38="","",Firmalar!$GE$38)</f>
        <v/>
      </c>
      <c r="E648" s="63">
        <f>IF(OR(A648="",D648=""),"",D648-TODAY())</f>
        <v/>
      </c>
      <c r="F648" s="64">
        <f>IF(OR(A648="",D648=""),"",IF(D648&lt;TODAY(),"Süresi geçti",IF(D648&lt;=TODAY()+30,"30 gün içinde",IF(D648&lt;=TODAY()+90,"90 gün içinde","İleride"))))</f>
        <v/>
      </c>
      <c r="G648" s="64">
        <f>IF(A648="","",Firmalar!$H$38)</f>
        <v/>
      </c>
    </row>
    <row r="649" ht="18" customHeight="1">
      <c r="A649" s="61">
        <f>IF(Firmalar!$B$38="","",Firmalar!$B$38)</f>
        <v/>
      </c>
      <c r="B649" s="61">
        <f>IF(Firmalar!$B$38="","",Firmalar!$I$38)</f>
        <v/>
      </c>
      <c r="C649" s="61" t="inlineStr">
        <is>
          <t>Uygunsuzluk kapanışı</t>
        </is>
      </c>
      <c r="D649" s="62">
        <f>IF(Firmalar!$B$38="","",Firmalar!$GF$38)</f>
        <v/>
      </c>
      <c r="E649" s="63">
        <f>IF(OR(A649="",D649=""),"",D649-TODAY())</f>
        <v/>
      </c>
      <c r="F649" s="64">
        <f>IF(OR(A649="",D649=""),"",IF(D649&lt;TODAY(),"Süresi geçti",IF(D649&lt;=TODAY()+30,"30 gün içinde",IF(D649&lt;=TODAY()+90,"90 gün içinde","İleride"))))</f>
        <v/>
      </c>
      <c r="G649" s="64">
        <f>IF(A649="","",Firmalar!$H$38)</f>
        <v/>
      </c>
    </row>
    <row r="650" ht="18" customHeight="1">
      <c r="A650" s="61">
        <f>IF(Firmalar!$B$38="","",Firmalar!$B$38)</f>
        <v/>
      </c>
      <c r="B650" s="61">
        <f>IF(Firmalar!$B$38="","",Firmalar!$I$38)</f>
        <v/>
      </c>
      <c r="C650" s="61" t="inlineStr">
        <is>
          <t>Öncelikli işlem</t>
        </is>
      </c>
      <c r="D650" s="62">
        <f>IF(Firmalar!$B$38="","",Firmalar!$GG$38)</f>
        <v/>
      </c>
      <c r="E650" s="63">
        <f>IF(OR(A650="",D650=""),"",D650-TODAY())</f>
        <v/>
      </c>
      <c r="F650" s="64">
        <f>IF(OR(A650="",D650=""),"",IF(D650&lt;TODAY(),"Süresi geçti",IF(D650&lt;=TODAY()+30,"30 gün içinde",IF(D650&lt;=TODAY()+90,"90 gün içinde","İleride"))))</f>
        <v/>
      </c>
      <c r="G650" s="64">
        <f>IF(A650="","",Firmalar!$H$38)</f>
        <v/>
      </c>
    </row>
    <row r="651" ht="18" customHeight="1">
      <c r="A651" s="61">
        <f>IF(Firmalar!$B$39="","",Firmalar!$B$39)</f>
        <v/>
      </c>
      <c r="B651" s="61">
        <f>IF(Firmalar!$B$39="","",Firmalar!$I$39)</f>
        <v/>
      </c>
      <c r="C651" s="61" t="inlineStr">
        <is>
          <t>Çevre izni bitiş</t>
        </is>
      </c>
      <c r="D651" s="62">
        <f>IF(Firmalar!$B$39="","",Firmalar!$FO$39)</f>
        <v/>
      </c>
      <c r="E651" s="63">
        <f>IF(OR(A651="",D651=""),"",D651-TODAY())</f>
        <v/>
      </c>
      <c r="F651" s="64">
        <f>IF(OR(A651="",D651=""),"",IF(D651&lt;TODAY(),"Süresi geçti",IF(D651&lt;=TODAY()+30,"30 gün içinde",IF(D651&lt;=TODAY()+90,"90 gün içinde","İleride"))))</f>
        <v/>
      </c>
      <c r="G651" s="64">
        <f>IF(A651="","",Firmalar!$H$39)</f>
        <v/>
      </c>
    </row>
    <row r="652" ht="18" customHeight="1">
      <c r="A652" s="61">
        <f>IF(Firmalar!$B$39="","",Firmalar!$B$39)</f>
        <v/>
      </c>
      <c r="B652" s="61">
        <f>IF(Firmalar!$B$39="","",Firmalar!$I$39)</f>
        <v/>
      </c>
      <c r="C652" s="61" t="inlineStr">
        <is>
          <t>Çevre izni başvurusu</t>
        </is>
      </c>
      <c r="D652" s="62">
        <f>IF(Firmalar!$B$39="","",Firmalar!$FP$39)</f>
        <v/>
      </c>
      <c r="E652" s="63">
        <f>IF(OR(A652="",D652=""),"",D652-TODAY())</f>
        <v/>
      </c>
      <c r="F652" s="64">
        <f>IF(OR(A652="",D652=""),"",IF(D652&lt;TODAY(),"Süresi geçti",IF(D652&lt;=TODAY()+30,"30 gün içinde",IF(D652&lt;=TODAY()+90,"90 gün içinde","İleride"))))</f>
        <v/>
      </c>
      <c r="G652" s="64">
        <f>IF(A652="","",Firmalar!$H$39)</f>
        <v/>
      </c>
    </row>
    <row r="653" ht="18" customHeight="1">
      <c r="A653" s="61">
        <f>IF(Firmalar!$B$39="","",Firmalar!$B$39)</f>
        <v/>
      </c>
      <c r="B653" s="61">
        <f>IF(Firmalar!$B$39="","",Firmalar!$I$39)</f>
        <v/>
      </c>
      <c r="C653" s="61" t="inlineStr">
        <is>
          <t>GFB bitiş</t>
        </is>
      </c>
      <c r="D653" s="62">
        <f>IF(Firmalar!$B$39="","",Firmalar!$FQ$39)</f>
        <v/>
      </c>
      <c r="E653" s="63">
        <f>IF(OR(A653="",D653=""),"",D653-TODAY())</f>
        <v/>
      </c>
      <c r="F653" s="64">
        <f>IF(OR(A653="",D653=""),"",IF(D653&lt;TODAY(),"Süresi geçti",IF(D653&lt;=TODAY()+30,"30 gün içinde",IF(D653&lt;=TODAY()+90,"90 gün içinde","İleride"))))</f>
        <v/>
      </c>
      <c r="G653" s="64">
        <f>IF(A653="","",Firmalar!$H$39)</f>
        <v/>
      </c>
    </row>
    <row r="654" ht="18" customHeight="1">
      <c r="A654" s="61">
        <f>IF(Firmalar!$B$39="","",Firmalar!$B$39)</f>
        <v/>
      </c>
      <c r="B654" s="61">
        <f>IF(Firmalar!$B$39="","",Firmalar!$I$39)</f>
        <v/>
      </c>
      <c r="C654" s="61" t="inlineStr">
        <is>
          <t>Sözleşme bitiş</t>
        </is>
      </c>
      <c r="D654" s="62">
        <f>IF(Firmalar!$B$39="","",Firmalar!$FR$39)</f>
        <v/>
      </c>
      <c r="E654" s="63">
        <f>IF(OR(A654="",D654=""),"",D654-TODAY())</f>
        <v/>
      </c>
      <c r="F654" s="64">
        <f>IF(OR(A654="",D654=""),"",IF(D654&lt;TODAY(),"Süresi geçti",IF(D654&lt;=TODAY()+30,"30 gün içinde",IF(D654&lt;=TODAY()+90,"90 gün içinde","İleride"))))</f>
        <v/>
      </c>
      <c r="G654" s="64">
        <f>IF(A654="","",Firmalar!$H$39)</f>
        <v/>
      </c>
    </row>
    <row r="655" ht="18" customHeight="1">
      <c r="A655" s="61">
        <f>IF(Firmalar!$B$39="","",Firmalar!$B$39)</f>
        <v/>
      </c>
      <c r="B655" s="61">
        <f>IF(Firmalar!$B$39="","",Firmalar!$I$39)</f>
        <v/>
      </c>
      <c r="C655" s="61" t="inlineStr">
        <is>
          <t>Sıfır Atık bitiş</t>
        </is>
      </c>
      <c r="D655" s="62">
        <f>IF(Firmalar!$B$39="","",Firmalar!$FS$39)</f>
        <v/>
      </c>
      <c r="E655" s="63">
        <f>IF(OR(A655="",D655=""),"",D655-TODAY())</f>
        <v/>
      </c>
      <c r="F655" s="64">
        <f>IF(OR(A655="",D655=""),"",IF(D655&lt;TODAY(),"Süresi geçti",IF(D655&lt;=TODAY()+30,"30 gün içinde",IF(D655&lt;=TODAY()+90,"90 gün içinde","İleride"))))</f>
        <v/>
      </c>
      <c r="G655" s="64">
        <f>IF(A655="","",Firmalar!$H$39)</f>
        <v/>
      </c>
    </row>
    <row r="656" ht="18" customHeight="1">
      <c r="A656" s="61">
        <f>IF(Firmalar!$B$39="","",Firmalar!$B$39)</f>
        <v/>
      </c>
      <c r="B656" s="61">
        <f>IF(Firmalar!$B$39="","",Firmalar!$I$39)</f>
        <v/>
      </c>
      <c r="C656" s="61" t="inlineStr">
        <is>
          <t>Atık planı bitiş</t>
        </is>
      </c>
      <c r="D656" s="62">
        <f>IF(Firmalar!$B$39="","",Firmalar!$FT$39)</f>
        <v/>
      </c>
      <c r="E656" s="63">
        <f>IF(OR(A656="",D656=""),"",D656-TODAY())</f>
        <v/>
      </c>
      <c r="F656" s="64">
        <f>IF(OR(A656="",D656=""),"",IF(D656&lt;TODAY(),"Süresi geçti",IF(D656&lt;=TODAY()+30,"30 gün içinde",IF(D656&lt;=TODAY()+90,"90 gün içinde","İleride"))))</f>
        <v/>
      </c>
      <c r="G656" s="64">
        <f>IF(A656="","",Firmalar!$H$39)</f>
        <v/>
      </c>
    </row>
    <row r="657" ht="18" customHeight="1">
      <c r="A657" s="61">
        <f>IF(Firmalar!$B$39="","",Firmalar!$B$39)</f>
        <v/>
      </c>
      <c r="B657" s="61">
        <f>IF(Firmalar!$B$39="","",Firmalar!$I$39)</f>
        <v/>
      </c>
      <c r="C657" s="61" t="inlineStr">
        <is>
          <t>Emisyon teyidi</t>
        </is>
      </c>
      <c r="D657" s="62">
        <f>IF(Firmalar!$B$39="","",Firmalar!$FU$39)</f>
        <v/>
      </c>
      <c r="E657" s="63">
        <f>IF(OR(A657="",D657=""),"",D657-TODAY())</f>
        <v/>
      </c>
      <c r="F657" s="64">
        <f>IF(OR(A657="",D657=""),"",IF(D657&lt;TODAY(),"Süresi geçti",IF(D657&lt;=TODAY()+30,"30 gün içinde",IF(D657&lt;=TODAY()+90,"90 gün içinde","İleride"))))</f>
        <v/>
      </c>
      <c r="G657" s="64">
        <f>IF(A657="","",Firmalar!$H$39)</f>
        <v/>
      </c>
    </row>
    <row r="658" ht="18" customHeight="1">
      <c r="A658" s="61">
        <f>IF(Firmalar!$B$39="","",Firmalar!$B$39)</f>
        <v/>
      </c>
      <c r="B658" s="61">
        <f>IF(Firmalar!$B$39="","",Firmalar!$I$39)</f>
        <v/>
      </c>
      <c r="C658" s="61" t="inlineStr">
        <is>
          <t>Emisyon ölçümü</t>
        </is>
      </c>
      <c r="D658" s="62">
        <f>IF(Firmalar!$B$39="","",Firmalar!$FV$39)</f>
        <v/>
      </c>
      <c r="E658" s="63">
        <f>IF(OR(A658="",D658=""),"",D658-TODAY())</f>
        <v/>
      </c>
      <c r="F658" s="64">
        <f>IF(OR(A658="",D658=""),"",IF(D658&lt;TODAY(),"Süresi geçti",IF(D658&lt;=TODAY()+30,"30 gün içinde",IF(D658&lt;=TODAY()+90,"90 gün içinde","İleride"))))</f>
        <v/>
      </c>
      <c r="G658" s="64">
        <f>IF(A658="","",Firmalar!$H$39)</f>
        <v/>
      </c>
    </row>
    <row r="659" ht="18" customHeight="1">
      <c r="A659" s="61">
        <f>IF(Firmalar!$B$39="","",Firmalar!$B$39)</f>
        <v/>
      </c>
      <c r="B659" s="61">
        <f>IF(Firmalar!$B$39="","",Firmalar!$I$39)</f>
        <v/>
      </c>
      <c r="C659" s="61" t="inlineStr">
        <is>
          <t>İç tetkik</t>
        </is>
      </c>
      <c r="D659" s="62">
        <f>IF(Firmalar!$B$39="","",Firmalar!$FW$39)</f>
        <v/>
      </c>
      <c r="E659" s="63">
        <f>IF(OR(A659="",D659=""),"",D659-TODAY())</f>
        <v/>
      </c>
      <c r="F659" s="64">
        <f>IF(OR(A659="",D659=""),"",IF(D659&lt;TODAY(),"Süresi geçti",IF(D659&lt;=TODAY()+30,"30 gün içinde",IF(D659&lt;=TODAY()+90,"90 gün içinde","İleride"))))</f>
        <v/>
      </c>
      <c r="G659" s="64">
        <f>IF(A659="","",Firmalar!$H$39)</f>
        <v/>
      </c>
    </row>
    <row r="660" ht="18" customHeight="1">
      <c r="A660" s="61">
        <f>IF(Firmalar!$B$39="","",Firmalar!$B$39)</f>
        <v/>
      </c>
      <c r="B660" s="61">
        <f>IF(Firmalar!$B$39="","",Firmalar!$I$39)</f>
        <v/>
      </c>
      <c r="C660" s="61" t="inlineStr">
        <is>
          <t>İç tetkik planı</t>
        </is>
      </c>
      <c r="D660" s="62">
        <f>IF(Firmalar!$B$39="","",Firmalar!$FX$39)</f>
        <v/>
      </c>
      <c r="E660" s="63">
        <f>IF(OR(A660="",D660=""),"",D660-TODAY())</f>
        <v/>
      </c>
      <c r="F660" s="64">
        <f>IF(OR(A660="",D660=""),"",IF(D660&lt;TODAY(),"Süresi geçti",IF(D660&lt;=TODAY()+30,"30 gün içinde",IF(D660&lt;=TODAY()+90,"90 gün içinde","İleride"))))</f>
        <v/>
      </c>
      <c r="G660" s="64">
        <f>IF(A660="","",Firmalar!$H$39)</f>
        <v/>
      </c>
    </row>
    <row r="661" ht="18" customHeight="1">
      <c r="A661" s="61">
        <f>IF(Firmalar!$B$39="","",Firmalar!$B$39)</f>
        <v/>
      </c>
      <c r="B661" s="61">
        <f>IF(Firmalar!$B$39="","",Firmalar!$I$39)</f>
        <v/>
      </c>
      <c r="C661" s="61" t="inlineStr">
        <is>
          <t>Çevre eğitimi</t>
        </is>
      </c>
      <c r="D661" s="62">
        <f>IF(Firmalar!$B$39="","",Firmalar!$FY$39)</f>
        <v/>
      </c>
      <c r="E661" s="63">
        <f>IF(OR(A661="",D661=""),"",D661-TODAY())</f>
        <v/>
      </c>
      <c r="F661" s="64">
        <f>IF(OR(A661="",D661=""),"",IF(D661&lt;TODAY(),"Süresi geçti",IF(D661&lt;=TODAY()+30,"30 gün içinde",IF(D661&lt;=TODAY()+90,"90 gün içinde","İleride"))))</f>
        <v/>
      </c>
      <c r="G661" s="64">
        <f>IF(A661="","",Firmalar!$H$39)</f>
        <v/>
      </c>
    </row>
    <row r="662" ht="18" customHeight="1">
      <c r="A662" s="61">
        <f>IF(Firmalar!$B$39="","",Firmalar!$B$39)</f>
        <v/>
      </c>
      <c r="B662" s="61">
        <f>IF(Firmalar!$B$39="","",Firmalar!$I$39)</f>
        <v/>
      </c>
      <c r="C662" s="61" t="inlineStr">
        <is>
          <t>Eğitim planı</t>
        </is>
      </c>
      <c r="D662" s="62">
        <f>IF(Firmalar!$B$39="","",Firmalar!$FZ$39)</f>
        <v/>
      </c>
      <c r="E662" s="63">
        <f>IF(OR(A662="",D662=""),"",D662-TODAY())</f>
        <v/>
      </c>
      <c r="F662" s="64">
        <f>IF(OR(A662="",D662=""),"",IF(D662&lt;TODAY(),"Süresi geçti",IF(D662&lt;=TODAY()+30,"30 gün içinde",IF(D662&lt;=TODAY()+90,"90 gün içinde","İleride"))))</f>
        <v/>
      </c>
      <c r="G662" s="64">
        <f>IF(A662="","",Firmalar!$H$39)</f>
        <v/>
      </c>
    </row>
    <row r="663" ht="18" customHeight="1">
      <c r="A663" s="61">
        <f>IF(Firmalar!$B$39="","",Firmalar!$B$39)</f>
        <v/>
      </c>
      <c r="B663" s="61">
        <f>IF(Firmalar!$B$39="","",Firmalar!$I$39)</f>
        <v/>
      </c>
      <c r="C663" s="61" t="inlineStr">
        <is>
          <t>Kanal belgesi bitiş</t>
        </is>
      </c>
      <c r="D663" s="62">
        <f>IF(Firmalar!$B$39="","",Firmalar!$GA$39)</f>
        <v/>
      </c>
      <c r="E663" s="63">
        <f>IF(OR(A663="",D663=""),"",D663-TODAY())</f>
        <v/>
      </c>
      <c r="F663" s="64">
        <f>IF(OR(A663="",D663=""),"",IF(D663&lt;TODAY(),"Süresi geçti",IF(D663&lt;=TODAY()+30,"30 gün içinde",IF(D663&lt;=TODAY()+90,"90 gün içinde","İleride"))))</f>
        <v/>
      </c>
      <c r="G663" s="64">
        <f>IF(A663="","",Firmalar!$H$39)</f>
        <v/>
      </c>
    </row>
    <row r="664" ht="18" customHeight="1">
      <c r="A664" s="61">
        <f>IF(Firmalar!$B$39="","",Firmalar!$B$39)</f>
        <v/>
      </c>
      <c r="B664" s="61">
        <f>IF(Firmalar!$B$39="","",Firmalar!$I$39)</f>
        <v/>
      </c>
      <c r="C664" s="61" t="inlineStr">
        <is>
          <t>Deşarj izni bitiş</t>
        </is>
      </c>
      <c r="D664" s="62">
        <f>IF(Firmalar!$B$39="","",Firmalar!$GB$39)</f>
        <v/>
      </c>
      <c r="E664" s="63">
        <f>IF(OR(A664="",D664=""),"",D664-TODAY())</f>
        <v/>
      </c>
      <c r="F664" s="64">
        <f>IF(OR(A664="",D664=""),"",IF(D664&lt;TODAY(),"Süresi geçti",IF(D664&lt;=TODAY()+30,"30 gün içinde",IF(D664&lt;=TODAY()+90,"90 gün içinde","İleride"))))</f>
        <v/>
      </c>
      <c r="G664" s="64">
        <f>IF(A664="","",Firmalar!$H$39)</f>
        <v/>
      </c>
    </row>
    <row r="665" ht="18" customHeight="1">
      <c r="A665" s="61">
        <f>IF(Firmalar!$B$39="","",Firmalar!$B$39)</f>
        <v/>
      </c>
      <c r="B665" s="61">
        <f>IF(Firmalar!$B$39="","",Firmalar!$I$39)</f>
        <v/>
      </c>
      <c r="C665" s="61" t="inlineStr">
        <is>
          <t>Atıksu analizi</t>
        </is>
      </c>
      <c r="D665" s="62">
        <f>IF(Firmalar!$B$39="","",Firmalar!$GC$39)</f>
        <v/>
      </c>
      <c r="E665" s="63">
        <f>IF(OR(A665="",D665=""),"",D665-TODAY())</f>
        <v/>
      </c>
      <c r="F665" s="64">
        <f>IF(OR(A665="",D665=""),"",IF(D665&lt;TODAY(),"Süresi geçti",IF(D665&lt;=TODAY()+30,"30 gün içinde",IF(D665&lt;=TODAY()+90,"90 gün içinde","İleride"))))</f>
        <v/>
      </c>
      <c r="G665" s="64">
        <f>IF(A665="","",Firmalar!$H$39)</f>
        <v/>
      </c>
    </row>
    <row r="666" ht="18" customHeight="1">
      <c r="A666" s="61">
        <f>IF(Firmalar!$B$39="","",Firmalar!$B$39)</f>
        <v/>
      </c>
      <c r="B666" s="61">
        <f>IF(Firmalar!$B$39="","",Firmalar!$I$39)</f>
        <v/>
      </c>
      <c r="C666" s="61" t="inlineStr">
        <is>
          <t>Saha ziyareti</t>
        </is>
      </c>
      <c r="D666" s="62">
        <f>IF(Firmalar!$B$39="","",Firmalar!$GD$39)</f>
        <v/>
      </c>
      <c r="E666" s="63">
        <f>IF(OR(A666="",D666=""),"",D666-TODAY())</f>
        <v/>
      </c>
      <c r="F666" s="64">
        <f>IF(OR(A666="",D666=""),"",IF(D666&lt;TODAY(),"Süresi geçti",IF(D666&lt;=TODAY()+30,"30 gün içinde",IF(D666&lt;=TODAY()+90,"90 gün içinde","İleride"))))</f>
        <v/>
      </c>
      <c r="G666" s="64">
        <f>IF(A666="","",Firmalar!$H$39)</f>
        <v/>
      </c>
    </row>
    <row r="667" ht="18" customHeight="1">
      <c r="A667" s="61">
        <f>IF(Firmalar!$B$39="","",Firmalar!$B$39)</f>
        <v/>
      </c>
      <c r="B667" s="61">
        <f>IF(Firmalar!$B$39="","",Firmalar!$I$39)</f>
        <v/>
      </c>
      <c r="C667" s="61" t="inlineStr">
        <is>
          <t>Resmî yazı cevabı</t>
        </is>
      </c>
      <c r="D667" s="62">
        <f>IF(Firmalar!$B$39="","",Firmalar!$GE$39)</f>
        <v/>
      </c>
      <c r="E667" s="63">
        <f>IF(OR(A667="",D667=""),"",D667-TODAY())</f>
        <v/>
      </c>
      <c r="F667" s="64">
        <f>IF(OR(A667="",D667=""),"",IF(D667&lt;TODAY(),"Süresi geçti",IF(D667&lt;=TODAY()+30,"30 gün içinde",IF(D667&lt;=TODAY()+90,"90 gün içinde","İleride"))))</f>
        <v/>
      </c>
      <c r="G667" s="64">
        <f>IF(A667="","",Firmalar!$H$39)</f>
        <v/>
      </c>
    </row>
    <row r="668" ht="18" customHeight="1">
      <c r="A668" s="61">
        <f>IF(Firmalar!$B$39="","",Firmalar!$B$39)</f>
        <v/>
      </c>
      <c r="B668" s="61">
        <f>IF(Firmalar!$B$39="","",Firmalar!$I$39)</f>
        <v/>
      </c>
      <c r="C668" s="61" t="inlineStr">
        <is>
          <t>Uygunsuzluk kapanışı</t>
        </is>
      </c>
      <c r="D668" s="62">
        <f>IF(Firmalar!$B$39="","",Firmalar!$GF$39)</f>
        <v/>
      </c>
      <c r="E668" s="63">
        <f>IF(OR(A668="",D668=""),"",D668-TODAY())</f>
        <v/>
      </c>
      <c r="F668" s="64">
        <f>IF(OR(A668="",D668=""),"",IF(D668&lt;TODAY(),"Süresi geçti",IF(D668&lt;=TODAY()+30,"30 gün içinde",IF(D668&lt;=TODAY()+90,"90 gün içinde","İleride"))))</f>
        <v/>
      </c>
      <c r="G668" s="64">
        <f>IF(A668="","",Firmalar!$H$39)</f>
        <v/>
      </c>
    </row>
    <row r="669" ht="18" customHeight="1">
      <c r="A669" s="61">
        <f>IF(Firmalar!$B$39="","",Firmalar!$B$39)</f>
        <v/>
      </c>
      <c r="B669" s="61">
        <f>IF(Firmalar!$B$39="","",Firmalar!$I$39)</f>
        <v/>
      </c>
      <c r="C669" s="61" t="inlineStr">
        <is>
          <t>Öncelikli işlem</t>
        </is>
      </c>
      <c r="D669" s="62">
        <f>IF(Firmalar!$B$39="","",Firmalar!$GG$39)</f>
        <v/>
      </c>
      <c r="E669" s="63">
        <f>IF(OR(A669="",D669=""),"",D669-TODAY())</f>
        <v/>
      </c>
      <c r="F669" s="64">
        <f>IF(OR(A669="",D669=""),"",IF(D669&lt;TODAY(),"Süresi geçti",IF(D669&lt;=TODAY()+30,"30 gün içinde",IF(D669&lt;=TODAY()+90,"90 gün içinde","İleride"))))</f>
        <v/>
      </c>
      <c r="G669" s="64">
        <f>IF(A669="","",Firmalar!$H$39)</f>
        <v/>
      </c>
    </row>
    <row r="670" ht="18" customHeight="1">
      <c r="A670" s="61">
        <f>IF(Firmalar!$B$40="","",Firmalar!$B$40)</f>
        <v/>
      </c>
      <c r="B670" s="61">
        <f>IF(Firmalar!$B$40="","",Firmalar!$I$40)</f>
        <v/>
      </c>
      <c r="C670" s="61" t="inlineStr">
        <is>
          <t>Çevre izni bitiş</t>
        </is>
      </c>
      <c r="D670" s="62">
        <f>IF(Firmalar!$B$40="","",Firmalar!$FO$40)</f>
        <v/>
      </c>
      <c r="E670" s="63">
        <f>IF(OR(A670="",D670=""),"",D670-TODAY())</f>
        <v/>
      </c>
      <c r="F670" s="64">
        <f>IF(OR(A670="",D670=""),"",IF(D670&lt;TODAY(),"Süresi geçti",IF(D670&lt;=TODAY()+30,"30 gün içinde",IF(D670&lt;=TODAY()+90,"90 gün içinde","İleride"))))</f>
        <v/>
      </c>
      <c r="G670" s="64">
        <f>IF(A670="","",Firmalar!$H$40)</f>
        <v/>
      </c>
    </row>
    <row r="671" ht="18" customHeight="1">
      <c r="A671" s="61">
        <f>IF(Firmalar!$B$40="","",Firmalar!$B$40)</f>
        <v/>
      </c>
      <c r="B671" s="61">
        <f>IF(Firmalar!$B$40="","",Firmalar!$I$40)</f>
        <v/>
      </c>
      <c r="C671" s="61" t="inlineStr">
        <is>
          <t>Çevre izni başvurusu</t>
        </is>
      </c>
      <c r="D671" s="62">
        <f>IF(Firmalar!$B$40="","",Firmalar!$FP$40)</f>
        <v/>
      </c>
      <c r="E671" s="63">
        <f>IF(OR(A671="",D671=""),"",D671-TODAY())</f>
        <v/>
      </c>
      <c r="F671" s="64">
        <f>IF(OR(A671="",D671=""),"",IF(D671&lt;TODAY(),"Süresi geçti",IF(D671&lt;=TODAY()+30,"30 gün içinde",IF(D671&lt;=TODAY()+90,"90 gün içinde","İleride"))))</f>
        <v/>
      </c>
      <c r="G671" s="64">
        <f>IF(A671="","",Firmalar!$H$40)</f>
        <v/>
      </c>
    </row>
    <row r="672" ht="18" customHeight="1">
      <c r="A672" s="61">
        <f>IF(Firmalar!$B$40="","",Firmalar!$B$40)</f>
        <v/>
      </c>
      <c r="B672" s="61">
        <f>IF(Firmalar!$B$40="","",Firmalar!$I$40)</f>
        <v/>
      </c>
      <c r="C672" s="61" t="inlineStr">
        <is>
          <t>GFB bitiş</t>
        </is>
      </c>
      <c r="D672" s="62">
        <f>IF(Firmalar!$B$40="","",Firmalar!$FQ$40)</f>
        <v/>
      </c>
      <c r="E672" s="63">
        <f>IF(OR(A672="",D672=""),"",D672-TODAY())</f>
        <v/>
      </c>
      <c r="F672" s="64">
        <f>IF(OR(A672="",D672=""),"",IF(D672&lt;TODAY(),"Süresi geçti",IF(D672&lt;=TODAY()+30,"30 gün içinde",IF(D672&lt;=TODAY()+90,"90 gün içinde","İleride"))))</f>
        <v/>
      </c>
      <c r="G672" s="64">
        <f>IF(A672="","",Firmalar!$H$40)</f>
        <v/>
      </c>
    </row>
    <row r="673" ht="18" customHeight="1">
      <c r="A673" s="61">
        <f>IF(Firmalar!$B$40="","",Firmalar!$B$40)</f>
        <v/>
      </c>
      <c r="B673" s="61">
        <f>IF(Firmalar!$B$40="","",Firmalar!$I$40)</f>
        <v/>
      </c>
      <c r="C673" s="61" t="inlineStr">
        <is>
          <t>Sözleşme bitiş</t>
        </is>
      </c>
      <c r="D673" s="62">
        <f>IF(Firmalar!$B$40="","",Firmalar!$FR$40)</f>
        <v/>
      </c>
      <c r="E673" s="63">
        <f>IF(OR(A673="",D673=""),"",D673-TODAY())</f>
        <v/>
      </c>
      <c r="F673" s="64">
        <f>IF(OR(A673="",D673=""),"",IF(D673&lt;TODAY(),"Süresi geçti",IF(D673&lt;=TODAY()+30,"30 gün içinde",IF(D673&lt;=TODAY()+90,"90 gün içinde","İleride"))))</f>
        <v/>
      </c>
      <c r="G673" s="64">
        <f>IF(A673="","",Firmalar!$H$40)</f>
        <v/>
      </c>
    </row>
    <row r="674" ht="18" customHeight="1">
      <c r="A674" s="61">
        <f>IF(Firmalar!$B$40="","",Firmalar!$B$40)</f>
        <v/>
      </c>
      <c r="B674" s="61">
        <f>IF(Firmalar!$B$40="","",Firmalar!$I$40)</f>
        <v/>
      </c>
      <c r="C674" s="61" t="inlineStr">
        <is>
          <t>Sıfır Atık bitiş</t>
        </is>
      </c>
      <c r="D674" s="62">
        <f>IF(Firmalar!$B$40="","",Firmalar!$FS$40)</f>
        <v/>
      </c>
      <c r="E674" s="63">
        <f>IF(OR(A674="",D674=""),"",D674-TODAY())</f>
        <v/>
      </c>
      <c r="F674" s="64">
        <f>IF(OR(A674="",D674=""),"",IF(D674&lt;TODAY(),"Süresi geçti",IF(D674&lt;=TODAY()+30,"30 gün içinde",IF(D674&lt;=TODAY()+90,"90 gün içinde","İleride"))))</f>
        <v/>
      </c>
      <c r="G674" s="64">
        <f>IF(A674="","",Firmalar!$H$40)</f>
        <v/>
      </c>
    </row>
    <row r="675" ht="18" customHeight="1">
      <c r="A675" s="61">
        <f>IF(Firmalar!$B$40="","",Firmalar!$B$40)</f>
        <v/>
      </c>
      <c r="B675" s="61">
        <f>IF(Firmalar!$B$40="","",Firmalar!$I$40)</f>
        <v/>
      </c>
      <c r="C675" s="61" t="inlineStr">
        <is>
          <t>Atık planı bitiş</t>
        </is>
      </c>
      <c r="D675" s="62">
        <f>IF(Firmalar!$B$40="","",Firmalar!$FT$40)</f>
        <v/>
      </c>
      <c r="E675" s="63">
        <f>IF(OR(A675="",D675=""),"",D675-TODAY())</f>
        <v/>
      </c>
      <c r="F675" s="64">
        <f>IF(OR(A675="",D675=""),"",IF(D675&lt;TODAY(),"Süresi geçti",IF(D675&lt;=TODAY()+30,"30 gün içinde",IF(D675&lt;=TODAY()+90,"90 gün içinde","İleride"))))</f>
        <v/>
      </c>
      <c r="G675" s="64">
        <f>IF(A675="","",Firmalar!$H$40)</f>
        <v/>
      </c>
    </row>
    <row r="676" ht="18" customHeight="1">
      <c r="A676" s="61">
        <f>IF(Firmalar!$B$40="","",Firmalar!$B$40)</f>
        <v/>
      </c>
      <c r="B676" s="61">
        <f>IF(Firmalar!$B$40="","",Firmalar!$I$40)</f>
        <v/>
      </c>
      <c r="C676" s="61" t="inlineStr">
        <is>
          <t>Emisyon teyidi</t>
        </is>
      </c>
      <c r="D676" s="62">
        <f>IF(Firmalar!$B$40="","",Firmalar!$FU$40)</f>
        <v/>
      </c>
      <c r="E676" s="63">
        <f>IF(OR(A676="",D676=""),"",D676-TODAY())</f>
        <v/>
      </c>
      <c r="F676" s="64">
        <f>IF(OR(A676="",D676=""),"",IF(D676&lt;TODAY(),"Süresi geçti",IF(D676&lt;=TODAY()+30,"30 gün içinde",IF(D676&lt;=TODAY()+90,"90 gün içinde","İleride"))))</f>
        <v/>
      </c>
      <c r="G676" s="64">
        <f>IF(A676="","",Firmalar!$H$40)</f>
        <v/>
      </c>
    </row>
    <row r="677" ht="18" customHeight="1">
      <c r="A677" s="61">
        <f>IF(Firmalar!$B$40="","",Firmalar!$B$40)</f>
        <v/>
      </c>
      <c r="B677" s="61">
        <f>IF(Firmalar!$B$40="","",Firmalar!$I$40)</f>
        <v/>
      </c>
      <c r="C677" s="61" t="inlineStr">
        <is>
          <t>Emisyon ölçümü</t>
        </is>
      </c>
      <c r="D677" s="62">
        <f>IF(Firmalar!$B$40="","",Firmalar!$FV$40)</f>
        <v/>
      </c>
      <c r="E677" s="63">
        <f>IF(OR(A677="",D677=""),"",D677-TODAY())</f>
        <v/>
      </c>
      <c r="F677" s="64">
        <f>IF(OR(A677="",D677=""),"",IF(D677&lt;TODAY(),"Süresi geçti",IF(D677&lt;=TODAY()+30,"30 gün içinde",IF(D677&lt;=TODAY()+90,"90 gün içinde","İleride"))))</f>
        <v/>
      </c>
      <c r="G677" s="64">
        <f>IF(A677="","",Firmalar!$H$40)</f>
        <v/>
      </c>
    </row>
    <row r="678" ht="18" customHeight="1">
      <c r="A678" s="61">
        <f>IF(Firmalar!$B$40="","",Firmalar!$B$40)</f>
        <v/>
      </c>
      <c r="B678" s="61">
        <f>IF(Firmalar!$B$40="","",Firmalar!$I$40)</f>
        <v/>
      </c>
      <c r="C678" s="61" t="inlineStr">
        <is>
          <t>İç tetkik</t>
        </is>
      </c>
      <c r="D678" s="62">
        <f>IF(Firmalar!$B$40="","",Firmalar!$FW$40)</f>
        <v/>
      </c>
      <c r="E678" s="63">
        <f>IF(OR(A678="",D678=""),"",D678-TODAY())</f>
        <v/>
      </c>
      <c r="F678" s="64">
        <f>IF(OR(A678="",D678=""),"",IF(D678&lt;TODAY(),"Süresi geçti",IF(D678&lt;=TODAY()+30,"30 gün içinde",IF(D678&lt;=TODAY()+90,"90 gün içinde","İleride"))))</f>
        <v/>
      </c>
      <c r="G678" s="64">
        <f>IF(A678="","",Firmalar!$H$40)</f>
        <v/>
      </c>
    </row>
    <row r="679" ht="18" customHeight="1">
      <c r="A679" s="61">
        <f>IF(Firmalar!$B$40="","",Firmalar!$B$40)</f>
        <v/>
      </c>
      <c r="B679" s="61">
        <f>IF(Firmalar!$B$40="","",Firmalar!$I$40)</f>
        <v/>
      </c>
      <c r="C679" s="61" t="inlineStr">
        <is>
          <t>İç tetkik planı</t>
        </is>
      </c>
      <c r="D679" s="62">
        <f>IF(Firmalar!$B$40="","",Firmalar!$FX$40)</f>
        <v/>
      </c>
      <c r="E679" s="63">
        <f>IF(OR(A679="",D679=""),"",D679-TODAY())</f>
        <v/>
      </c>
      <c r="F679" s="64">
        <f>IF(OR(A679="",D679=""),"",IF(D679&lt;TODAY(),"Süresi geçti",IF(D679&lt;=TODAY()+30,"30 gün içinde",IF(D679&lt;=TODAY()+90,"90 gün içinde","İleride"))))</f>
        <v/>
      </c>
      <c r="G679" s="64">
        <f>IF(A679="","",Firmalar!$H$40)</f>
        <v/>
      </c>
    </row>
    <row r="680" ht="18" customHeight="1">
      <c r="A680" s="61">
        <f>IF(Firmalar!$B$40="","",Firmalar!$B$40)</f>
        <v/>
      </c>
      <c r="B680" s="61">
        <f>IF(Firmalar!$B$40="","",Firmalar!$I$40)</f>
        <v/>
      </c>
      <c r="C680" s="61" t="inlineStr">
        <is>
          <t>Çevre eğitimi</t>
        </is>
      </c>
      <c r="D680" s="62">
        <f>IF(Firmalar!$B$40="","",Firmalar!$FY$40)</f>
        <v/>
      </c>
      <c r="E680" s="63">
        <f>IF(OR(A680="",D680=""),"",D680-TODAY())</f>
        <v/>
      </c>
      <c r="F680" s="64">
        <f>IF(OR(A680="",D680=""),"",IF(D680&lt;TODAY(),"Süresi geçti",IF(D680&lt;=TODAY()+30,"30 gün içinde",IF(D680&lt;=TODAY()+90,"90 gün içinde","İleride"))))</f>
        <v/>
      </c>
      <c r="G680" s="64">
        <f>IF(A680="","",Firmalar!$H$40)</f>
        <v/>
      </c>
    </row>
    <row r="681" ht="18" customHeight="1">
      <c r="A681" s="61">
        <f>IF(Firmalar!$B$40="","",Firmalar!$B$40)</f>
        <v/>
      </c>
      <c r="B681" s="61">
        <f>IF(Firmalar!$B$40="","",Firmalar!$I$40)</f>
        <v/>
      </c>
      <c r="C681" s="61" t="inlineStr">
        <is>
          <t>Eğitim planı</t>
        </is>
      </c>
      <c r="D681" s="62">
        <f>IF(Firmalar!$B$40="","",Firmalar!$FZ$40)</f>
        <v/>
      </c>
      <c r="E681" s="63">
        <f>IF(OR(A681="",D681=""),"",D681-TODAY())</f>
        <v/>
      </c>
      <c r="F681" s="64">
        <f>IF(OR(A681="",D681=""),"",IF(D681&lt;TODAY(),"Süresi geçti",IF(D681&lt;=TODAY()+30,"30 gün içinde",IF(D681&lt;=TODAY()+90,"90 gün içinde","İleride"))))</f>
        <v/>
      </c>
      <c r="G681" s="64">
        <f>IF(A681="","",Firmalar!$H$40)</f>
        <v/>
      </c>
    </row>
    <row r="682" ht="18" customHeight="1">
      <c r="A682" s="61">
        <f>IF(Firmalar!$B$40="","",Firmalar!$B$40)</f>
        <v/>
      </c>
      <c r="B682" s="61">
        <f>IF(Firmalar!$B$40="","",Firmalar!$I$40)</f>
        <v/>
      </c>
      <c r="C682" s="61" t="inlineStr">
        <is>
          <t>Kanal belgesi bitiş</t>
        </is>
      </c>
      <c r="D682" s="62">
        <f>IF(Firmalar!$B$40="","",Firmalar!$GA$40)</f>
        <v/>
      </c>
      <c r="E682" s="63">
        <f>IF(OR(A682="",D682=""),"",D682-TODAY())</f>
        <v/>
      </c>
      <c r="F682" s="64">
        <f>IF(OR(A682="",D682=""),"",IF(D682&lt;TODAY(),"Süresi geçti",IF(D682&lt;=TODAY()+30,"30 gün içinde",IF(D682&lt;=TODAY()+90,"90 gün içinde","İleride"))))</f>
        <v/>
      </c>
      <c r="G682" s="64">
        <f>IF(A682="","",Firmalar!$H$40)</f>
        <v/>
      </c>
    </row>
    <row r="683" ht="18" customHeight="1">
      <c r="A683" s="61">
        <f>IF(Firmalar!$B$40="","",Firmalar!$B$40)</f>
        <v/>
      </c>
      <c r="B683" s="61">
        <f>IF(Firmalar!$B$40="","",Firmalar!$I$40)</f>
        <v/>
      </c>
      <c r="C683" s="61" t="inlineStr">
        <is>
          <t>Deşarj izni bitiş</t>
        </is>
      </c>
      <c r="D683" s="62">
        <f>IF(Firmalar!$B$40="","",Firmalar!$GB$40)</f>
        <v/>
      </c>
      <c r="E683" s="63">
        <f>IF(OR(A683="",D683=""),"",D683-TODAY())</f>
        <v/>
      </c>
      <c r="F683" s="64">
        <f>IF(OR(A683="",D683=""),"",IF(D683&lt;TODAY(),"Süresi geçti",IF(D683&lt;=TODAY()+30,"30 gün içinde",IF(D683&lt;=TODAY()+90,"90 gün içinde","İleride"))))</f>
        <v/>
      </c>
      <c r="G683" s="64">
        <f>IF(A683="","",Firmalar!$H$40)</f>
        <v/>
      </c>
    </row>
    <row r="684" ht="18" customHeight="1">
      <c r="A684" s="61">
        <f>IF(Firmalar!$B$40="","",Firmalar!$B$40)</f>
        <v/>
      </c>
      <c r="B684" s="61">
        <f>IF(Firmalar!$B$40="","",Firmalar!$I$40)</f>
        <v/>
      </c>
      <c r="C684" s="61" t="inlineStr">
        <is>
          <t>Atıksu analizi</t>
        </is>
      </c>
      <c r="D684" s="62">
        <f>IF(Firmalar!$B$40="","",Firmalar!$GC$40)</f>
        <v/>
      </c>
      <c r="E684" s="63">
        <f>IF(OR(A684="",D684=""),"",D684-TODAY())</f>
        <v/>
      </c>
      <c r="F684" s="64">
        <f>IF(OR(A684="",D684=""),"",IF(D684&lt;TODAY(),"Süresi geçti",IF(D684&lt;=TODAY()+30,"30 gün içinde",IF(D684&lt;=TODAY()+90,"90 gün içinde","İleride"))))</f>
        <v/>
      </c>
      <c r="G684" s="64">
        <f>IF(A684="","",Firmalar!$H$40)</f>
        <v/>
      </c>
    </row>
    <row r="685" ht="18" customHeight="1">
      <c r="A685" s="61">
        <f>IF(Firmalar!$B$40="","",Firmalar!$B$40)</f>
        <v/>
      </c>
      <c r="B685" s="61">
        <f>IF(Firmalar!$B$40="","",Firmalar!$I$40)</f>
        <v/>
      </c>
      <c r="C685" s="61" t="inlineStr">
        <is>
          <t>Saha ziyareti</t>
        </is>
      </c>
      <c r="D685" s="62">
        <f>IF(Firmalar!$B$40="","",Firmalar!$GD$40)</f>
        <v/>
      </c>
      <c r="E685" s="63">
        <f>IF(OR(A685="",D685=""),"",D685-TODAY())</f>
        <v/>
      </c>
      <c r="F685" s="64">
        <f>IF(OR(A685="",D685=""),"",IF(D685&lt;TODAY(),"Süresi geçti",IF(D685&lt;=TODAY()+30,"30 gün içinde",IF(D685&lt;=TODAY()+90,"90 gün içinde","İleride"))))</f>
        <v/>
      </c>
      <c r="G685" s="64">
        <f>IF(A685="","",Firmalar!$H$40)</f>
        <v/>
      </c>
    </row>
    <row r="686" ht="18" customHeight="1">
      <c r="A686" s="61">
        <f>IF(Firmalar!$B$40="","",Firmalar!$B$40)</f>
        <v/>
      </c>
      <c r="B686" s="61">
        <f>IF(Firmalar!$B$40="","",Firmalar!$I$40)</f>
        <v/>
      </c>
      <c r="C686" s="61" t="inlineStr">
        <is>
          <t>Resmî yazı cevabı</t>
        </is>
      </c>
      <c r="D686" s="62">
        <f>IF(Firmalar!$B$40="","",Firmalar!$GE$40)</f>
        <v/>
      </c>
      <c r="E686" s="63">
        <f>IF(OR(A686="",D686=""),"",D686-TODAY())</f>
        <v/>
      </c>
      <c r="F686" s="64">
        <f>IF(OR(A686="",D686=""),"",IF(D686&lt;TODAY(),"Süresi geçti",IF(D686&lt;=TODAY()+30,"30 gün içinde",IF(D686&lt;=TODAY()+90,"90 gün içinde","İleride"))))</f>
        <v/>
      </c>
      <c r="G686" s="64">
        <f>IF(A686="","",Firmalar!$H$40)</f>
        <v/>
      </c>
    </row>
    <row r="687" ht="18" customHeight="1">
      <c r="A687" s="61">
        <f>IF(Firmalar!$B$40="","",Firmalar!$B$40)</f>
        <v/>
      </c>
      <c r="B687" s="61">
        <f>IF(Firmalar!$B$40="","",Firmalar!$I$40)</f>
        <v/>
      </c>
      <c r="C687" s="61" t="inlineStr">
        <is>
          <t>Uygunsuzluk kapanışı</t>
        </is>
      </c>
      <c r="D687" s="62">
        <f>IF(Firmalar!$B$40="","",Firmalar!$GF$40)</f>
        <v/>
      </c>
      <c r="E687" s="63">
        <f>IF(OR(A687="",D687=""),"",D687-TODAY())</f>
        <v/>
      </c>
      <c r="F687" s="64">
        <f>IF(OR(A687="",D687=""),"",IF(D687&lt;TODAY(),"Süresi geçti",IF(D687&lt;=TODAY()+30,"30 gün içinde",IF(D687&lt;=TODAY()+90,"90 gün içinde","İleride"))))</f>
        <v/>
      </c>
      <c r="G687" s="64">
        <f>IF(A687="","",Firmalar!$H$40)</f>
        <v/>
      </c>
    </row>
    <row r="688" ht="18" customHeight="1">
      <c r="A688" s="61">
        <f>IF(Firmalar!$B$40="","",Firmalar!$B$40)</f>
        <v/>
      </c>
      <c r="B688" s="61">
        <f>IF(Firmalar!$B$40="","",Firmalar!$I$40)</f>
        <v/>
      </c>
      <c r="C688" s="61" t="inlineStr">
        <is>
          <t>Öncelikli işlem</t>
        </is>
      </c>
      <c r="D688" s="62">
        <f>IF(Firmalar!$B$40="","",Firmalar!$GG$40)</f>
        <v/>
      </c>
      <c r="E688" s="63">
        <f>IF(OR(A688="",D688=""),"",D688-TODAY())</f>
        <v/>
      </c>
      <c r="F688" s="64">
        <f>IF(OR(A688="",D688=""),"",IF(D688&lt;TODAY(),"Süresi geçti",IF(D688&lt;=TODAY()+30,"30 gün içinde",IF(D688&lt;=TODAY()+90,"90 gün içinde","İleride"))))</f>
        <v/>
      </c>
      <c r="G688" s="64">
        <f>IF(A688="","",Firmalar!$H$40)</f>
        <v/>
      </c>
    </row>
    <row r="689" ht="18" customHeight="1">
      <c r="A689" s="61">
        <f>IF(Firmalar!$B$41="","",Firmalar!$B$41)</f>
        <v/>
      </c>
      <c r="B689" s="61">
        <f>IF(Firmalar!$B$41="","",Firmalar!$I$41)</f>
        <v/>
      </c>
      <c r="C689" s="61" t="inlineStr">
        <is>
          <t>Çevre izni bitiş</t>
        </is>
      </c>
      <c r="D689" s="62">
        <f>IF(Firmalar!$B$41="","",Firmalar!$FO$41)</f>
        <v/>
      </c>
      <c r="E689" s="63">
        <f>IF(OR(A689="",D689=""),"",D689-TODAY())</f>
        <v/>
      </c>
      <c r="F689" s="64">
        <f>IF(OR(A689="",D689=""),"",IF(D689&lt;TODAY(),"Süresi geçti",IF(D689&lt;=TODAY()+30,"30 gün içinde",IF(D689&lt;=TODAY()+90,"90 gün içinde","İleride"))))</f>
        <v/>
      </c>
      <c r="G689" s="64">
        <f>IF(A689="","",Firmalar!$H$41)</f>
        <v/>
      </c>
    </row>
    <row r="690" ht="18" customHeight="1">
      <c r="A690" s="61">
        <f>IF(Firmalar!$B$41="","",Firmalar!$B$41)</f>
        <v/>
      </c>
      <c r="B690" s="61">
        <f>IF(Firmalar!$B$41="","",Firmalar!$I$41)</f>
        <v/>
      </c>
      <c r="C690" s="61" t="inlineStr">
        <is>
          <t>Çevre izni başvurusu</t>
        </is>
      </c>
      <c r="D690" s="62">
        <f>IF(Firmalar!$B$41="","",Firmalar!$FP$41)</f>
        <v/>
      </c>
      <c r="E690" s="63">
        <f>IF(OR(A690="",D690=""),"",D690-TODAY())</f>
        <v/>
      </c>
      <c r="F690" s="64">
        <f>IF(OR(A690="",D690=""),"",IF(D690&lt;TODAY(),"Süresi geçti",IF(D690&lt;=TODAY()+30,"30 gün içinde",IF(D690&lt;=TODAY()+90,"90 gün içinde","İleride"))))</f>
        <v/>
      </c>
      <c r="G690" s="64">
        <f>IF(A690="","",Firmalar!$H$41)</f>
        <v/>
      </c>
    </row>
    <row r="691" ht="18" customHeight="1">
      <c r="A691" s="61">
        <f>IF(Firmalar!$B$41="","",Firmalar!$B$41)</f>
        <v/>
      </c>
      <c r="B691" s="61">
        <f>IF(Firmalar!$B$41="","",Firmalar!$I$41)</f>
        <v/>
      </c>
      <c r="C691" s="61" t="inlineStr">
        <is>
          <t>GFB bitiş</t>
        </is>
      </c>
      <c r="D691" s="62">
        <f>IF(Firmalar!$B$41="","",Firmalar!$FQ$41)</f>
        <v/>
      </c>
      <c r="E691" s="63">
        <f>IF(OR(A691="",D691=""),"",D691-TODAY())</f>
        <v/>
      </c>
      <c r="F691" s="64">
        <f>IF(OR(A691="",D691=""),"",IF(D691&lt;TODAY(),"Süresi geçti",IF(D691&lt;=TODAY()+30,"30 gün içinde",IF(D691&lt;=TODAY()+90,"90 gün içinde","İleride"))))</f>
        <v/>
      </c>
      <c r="G691" s="64">
        <f>IF(A691="","",Firmalar!$H$41)</f>
        <v/>
      </c>
    </row>
    <row r="692" ht="18" customHeight="1">
      <c r="A692" s="61">
        <f>IF(Firmalar!$B$41="","",Firmalar!$B$41)</f>
        <v/>
      </c>
      <c r="B692" s="61">
        <f>IF(Firmalar!$B$41="","",Firmalar!$I$41)</f>
        <v/>
      </c>
      <c r="C692" s="61" t="inlineStr">
        <is>
          <t>Sözleşme bitiş</t>
        </is>
      </c>
      <c r="D692" s="62">
        <f>IF(Firmalar!$B$41="","",Firmalar!$FR$41)</f>
        <v/>
      </c>
      <c r="E692" s="63">
        <f>IF(OR(A692="",D692=""),"",D692-TODAY())</f>
        <v/>
      </c>
      <c r="F692" s="64">
        <f>IF(OR(A692="",D692=""),"",IF(D692&lt;TODAY(),"Süresi geçti",IF(D692&lt;=TODAY()+30,"30 gün içinde",IF(D692&lt;=TODAY()+90,"90 gün içinde","İleride"))))</f>
        <v/>
      </c>
      <c r="G692" s="64">
        <f>IF(A692="","",Firmalar!$H$41)</f>
        <v/>
      </c>
    </row>
    <row r="693" ht="18" customHeight="1">
      <c r="A693" s="61">
        <f>IF(Firmalar!$B$41="","",Firmalar!$B$41)</f>
        <v/>
      </c>
      <c r="B693" s="61">
        <f>IF(Firmalar!$B$41="","",Firmalar!$I$41)</f>
        <v/>
      </c>
      <c r="C693" s="61" t="inlineStr">
        <is>
          <t>Sıfır Atık bitiş</t>
        </is>
      </c>
      <c r="D693" s="62">
        <f>IF(Firmalar!$B$41="","",Firmalar!$FS$41)</f>
        <v/>
      </c>
      <c r="E693" s="63">
        <f>IF(OR(A693="",D693=""),"",D693-TODAY())</f>
        <v/>
      </c>
      <c r="F693" s="64">
        <f>IF(OR(A693="",D693=""),"",IF(D693&lt;TODAY(),"Süresi geçti",IF(D693&lt;=TODAY()+30,"30 gün içinde",IF(D693&lt;=TODAY()+90,"90 gün içinde","İleride"))))</f>
        <v/>
      </c>
      <c r="G693" s="64">
        <f>IF(A693="","",Firmalar!$H$41)</f>
        <v/>
      </c>
    </row>
    <row r="694" ht="18" customHeight="1">
      <c r="A694" s="61">
        <f>IF(Firmalar!$B$41="","",Firmalar!$B$41)</f>
        <v/>
      </c>
      <c r="B694" s="61">
        <f>IF(Firmalar!$B$41="","",Firmalar!$I$41)</f>
        <v/>
      </c>
      <c r="C694" s="61" t="inlineStr">
        <is>
          <t>Atık planı bitiş</t>
        </is>
      </c>
      <c r="D694" s="62">
        <f>IF(Firmalar!$B$41="","",Firmalar!$FT$41)</f>
        <v/>
      </c>
      <c r="E694" s="63">
        <f>IF(OR(A694="",D694=""),"",D694-TODAY())</f>
        <v/>
      </c>
      <c r="F694" s="64">
        <f>IF(OR(A694="",D694=""),"",IF(D694&lt;TODAY(),"Süresi geçti",IF(D694&lt;=TODAY()+30,"30 gün içinde",IF(D694&lt;=TODAY()+90,"90 gün içinde","İleride"))))</f>
        <v/>
      </c>
      <c r="G694" s="64">
        <f>IF(A694="","",Firmalar!$H$41)</f>
        <v/>
      </c>
    </row>
    <row r="695" ht="18" customHeight="1">
      <c r="A695" s="61">
        <f>IF(Firmalar!$B$41="","",Firmalar!$B$41)</f>
        <v/>
      </c>
      <c r="B695" s="61">
        <f>IF(Firmalar!$B$41="","",Firmalar!$I$41)</f>
        <v/>
      </c>
      <c r="C695" s="61" t="inlineStr">
        <is>
          <t>Emisyon teyidi</t>
        </is>
      </c>
      <c r="D695" s="62">
        <f>IF(Firmalar!$B$41="","",Firmalar!$FU$41)</f>
        <v/>
      </c>
      <c r="E695" s="63">
        <f>IF(OR(A695="",D695=""),"",D695-TODAY())</f>
        <v/>
      </c>
      <c r="F695" s="64">
        <f>IF(OR(A695="",D695=""),"",IF(D695&lt;TODAY(),"Süresi geçti",IF(D695&lt;=TODAY()+30,"30 gün içinde",IF(D695&lt;=TODAY()+90,"90 gün içinde","İleride"))))</f>
        <v/>
      </c>
      <c r="G695" s="64">
        <f>IF(A695="","",Firmalar!$H$41)</f>
        <v/>
      </c>
    </row>
    <row r="696" ht="18" customHeight="1">
      <c r="A696" s="61">
        <f>IF(Firmalar!$B$41="","",Firmalar!$B$41)</f>
        <v/>
      </c>
      <c r="B696" s="61">
        <f>IF(Firmalar!$B$41="","",Firmalar!$I$41)</f>
        <v/>
      </c>
      <c r="C696" s="61" t="inlineStr">
        <is>
          <t>Emisyon ölçümü</t>
        </is>
      </c>
      <c r="D696" s="62">
        <f>IF(Firmalar!$B$41="","",Firmalar!$FV$41)</f>
        <v/>
      </c>
      <c r="E696" s="63">
        <f>IF(OR(A696="",D696=""),"",D696-TODAY())</f>
        <v/>
      </c>
      <c r="F696" s="64">
        <f>IF(OR(A696="",D696=""),"",IF(D696&lt;TODAY(),"Süresi geçti",IF(D696&lt;=TODAY()+30,"30 gün içinde",IF(D696&lt;=TODAY()+90,"90 gün içinde","İleride"))))</f>
        <v/>
      </c>
      <c r="G696" s="64">
        <f>IF(A696="","",Firmalar!$H$41)</f>
        <v/>
      </c>
    </row>
    <row r="697" ht="18" customHeight="1">
      <c r="A697" s="61">
        <f>IF(Firmalar!$B$41="","",Firmalar!$B$41)</f>
        <v/>
      </c>
      <c r="B697" s="61">
        <f>IF(Firmalar!$B$41="","",Firmalar!$I$41)</f>
        <v/>
      </c>
      <c r="C697" s="61" t="inlineStr">
        <is>
          <t>İç tetkik</t>
        </is>
      </c>
      <c r="D697" s="62">
        <f>IF(Firmalar!$B$41="","",Firmalar!$FW$41)</f>
        <v/>
      </c>
      <c r="E697" s="63">
        <f>IF(OR(A697="",D697=""),"",D697-TODAY())</f>
        <v/>
      </c>
      <c r="F697" s="64">
        <f>IF(OR(A697="",D697=""),"",IF(D697&lt;TODAY(),"Süresi geçti",IF(D697&lt;=TODAY()+30,"30 gün içinde",IF(D697&lt;=TODAY()+90,"90 gün içinde","İleride"))))</f>
        <v/>
      </c>
      <c r="G697" s="64">
        <f>IF(A697="","",Firmalar!$H$41)</f>
        <v/>
      </c>
    </row>
    <row r="698" ht="18" customHeight="1">
      <c r="A698" s="61">
        <f>IF(Firmalar!$B$41="","",Firmalar!$B$41)</f>
        <v/>
      </c>
      <c r="B698" s="61">
        <f>IF(Firmalar!$B$41="","",Firmalar!$I$41)</f>
        <v/>
      </c>
      <c r="C698" s="61" t="inlineStr">
        <is>
          <t>İç tetkik planı</t>
        </is>
      </c>
      <c r="D698" s="62">
        <f>IF(Firmalar!$B$41="","",Firmalar!$FX$41)</f>
        <v/>
      </c>
      <c r="E698" s="63">
        <f>IF(OR(A698="",D698=""),"",D698-TODAY())</f>
        <v/>
      </c>
      <c r="F698" s="64">
        <f>IF(OR(A698="",D698=""),"",IF(D698&lt;TODAY(),"Süresi geçti",IF(D698&lt;=TODAY()+30,"30 gün içinde",IF(D698&lt;=TODAY()+90,"90 gün içinde","İleride"))))</f>
        <v/>
      </c>
      <c r="G698" s="64">
        <f>IF(A698="","",Firmalar!$H$41)</f>
        <v/>
      </c>
    </row>
    <row r="699" ht="18" customHeight="1">
      <c r="A699" s="61">
        <f>IF(Firmalar!$B$41="","",Firmalar!$B$41)</f>
        <v/>
      </c>
      <c r="B699" s="61">
        <f>IF(Firmalar!$B$41="","",Firmalar!$I$41)</f>
        <v/>
      </c>
      <c r="C699" s="61" t="inlineStr">
        <is>
          <t>Çevre eğitimi</t>
        </is>
      </c>
      <c r="D699" s="62">
        <f>IF(Firmalar!$B$41="","",Firmalar!$FY$41)</f>
        <v/>
      </c>
      <c r="E699" s="63">
        <f>IF(OR(A699="",D699=""),"",D699-TODAY())</f>
        <v/>
      </c>
      <c r="F699" s="64">
        <f>IF(OR(A699="",D699=""),"",IF(D699&lt;TODAY(),"Süresi geçti",IF(D699&lt;=TODAY()+30,"30 gün içinde",IF(D699&lt;=TODAY()+90,"90 gün içinde","İleride"))))</f>
        <v/>
      </c>
      <c r="G699" s="64">
        <f>IF(A699="","",Firmalar!$H$41)</f>
        <v/>
      </c>
    </row>
    <row r="700" ht="18" customHeight="1">
      <c r="A700" s="61">
        <f>IF(Firmalar!$B$41="","",Firmalar!$B$41)</f>
        <v/>
      </c>
      <c r="B700" s="61">
        <f>IF(Firmalar!$B$41="","",Firmalar!$I$41)</f>
        <v/>
      </c>
      <c r="C700" s="61" t="inlineStr">
        <is>
          <t>Eğitim planı</t>
        </is>
      </c>
      <c r="D700" s="62">
        <f>IF(Firmalar!$B$41="","",Firmalar!$FZ$41)</f>
        <v/>
      </c>
      <c r="E700" s="63">
        <f>IF(OR(A700="",D700=""),"",D700-TODAY())</f>
        <v/>
      </c>
      <c r="F700" s="64">
        <f>IF(OR(A700="",D700=""),"",IF(D700&lt;TODAY(),"Süresi geçti",IF(D700&lt;=TODAY()+30,"30 gün içinde",IF(D700&lt;=TODAY()+90,"90 gün içinde","İleride"))))</f>
        <v/>
      </c>
      <c r="G700" s="64">
        <f>IF(A700="","",Firmalar!$H$41)</f>
        <v/>
      </c>
    </row>
    <row r="701" ht="18" customHeight="1">
      <c r="A701" s="61">
        <f>IF(Firmalar!$B$41="","",Firmalar!$B$41)</f>
        <v/>
      </c>
      <c r="B701" s="61">
        <f>IF(Firmalar!$B$41="","",Firmalar!$I$41)</f>
        <v/>
      </c>
      <c r="C701" s="61" t="inlineStr">
        <is>
          <t>Kanal belgesi bitiş</t>
        </is>
      </c>
      <c r="D701" s="62">
        <f>IF(Firmalar!$B$41="","",Firmalar!$GA$41)</f>
        <v/>
      </c>
      <c r="E701" s="63">
        <f>IF(OR(A701="",D701=""),"",D701-TODAY())</f>
        <v/>
      </c>
      <c r="F701" s="64">
        <f>IF(OR(A701="",D701=""),"",IF(D701&lt;TODAY(),"Süresi geçti",IF(D701&lt;=TODAY()+30,"30 gün içinde",IF(D701&lt;=TODAY()+90,"90 gün içinde","İleride"))))</f>
        <v/>
      </c>
      <c r="G701" s="64">
        <f>IF(A701="","",Firmalar!$H$41)</f>
        <v/>
      </c>
    </row>
    <row r="702" ht="18" customHeight="1">
      <c r="A702" s="61">
        <f>IF(Firmalar!$B$41="","",Firmalar!$B$41)</f>
        <v/>
      </c>
      <c r="B702" s="61">
        <f>IF(Firmalar!$B$41="","",Firmalar!$I$41)</f>
        <v/>
      </c>
      <c r="C702" s="61" t="inlineStr">
        <is>
          <t>Deşarj izni bitiş</t>
        </is>
      </c>
      <c r="D702" s="62">
        <f>IF(Firmalar!$B$41="","",Firmalar!$GB$41)</f>
        <v/>
      </c>
      <c r="E702" s="63">
        <f>IF(OR(A702="",D702=""),"",D702-TODAY())</f>
        <v/>
      </c>
      <c r="F702" s="64">
        <f>IF(OR(A702="",D702=""),"",IF(D702&lt;TODAY(),"Süresi geçti",IF(D702&lt;=TODAY()+30,"30 gün içinde",IF(D702&lt;=TODAY()+90,"90 gün içinde","İleride"))))</f>
        <v/>
      </c>
      <c r="G702" s="64">
        <f>IF(A702="","",Firmalar!$H$41)</f>
        <v/>
      </c>
    </row>
    <row r="703" ht="18" customHeight="1">
      <c r="A703" s="61">
        <f>IF(Firmalar!$B$41="","",Firmalar!$B$41)</f>
        <v/>
      </c>
      <c r="B703" s="61">
        <f>IF(Firmalar!$B$41="","",Firmalar!$I$41)</f>
        <v/>
      </c>
      <c r="C703" s="61" t="inlineStr">
        <is>
          <t>Atıksu analizi</t>
        </is>
      </c>
      <c r="D703" s="62">
        <f>IF(Firmalar!$B$41="","",Firmalar!$GC$41)</f>
        <v/>
      </c>
      <c r="E703" s="63">
        <f>IF(OR(A703="",D703=""),"",D703-TODAY())</f>
        <v/>
      </c>
      <c r="F703" s="64">
        <f>IF(OR(A703="",D703=""),"",IF(D703&lt;TODAY(),"Süresi geçti",IF(D703&lt;=TODAY()+30,"30 gün içinde",IF(D703&lt;=TODAY()+90,"90 gün içinde","İleride"))))</f>
        <v/>
      </c>
      <c r="G703" s="64">
        <f>IF(A703="","",Firmalar!$H$41)</f>
        <v/>
      </c>
    </row>
    <row r="704" ht="18" customHeight="1">
      <c r="A704" s="61">
        <f>IF(Firmalar!$B$41="","",Firmalar!$B$41)</f>
        <v/>
      </c>
      <c r="B704" s="61">
        <f>IF(Firmalar!$B$41="","",Firmalar!$I$41)</f>
        <v/>
      </c>
      <c r="C704" s="61" t="inlineStr">
        <is>
          <t>Saha ziyareti</t>
        </is>
      </c>
      <c r="D704" s="62">
        <f>IF(Firmalar!$B$41="","",Firmalar!$GD$41)</f>
        <v/>
      </c>
      <c r="E704" s="63">
        <f>IF(OR(A704="",D704=""),"",D704-TODAY())</f>
        <v/>
      </c>
      <c r="F704" s="64">
        <f>IF(OR(A704="",D704=""),"",IF(D704&lt;TODAY(),"Süresi geçti",IF(D704&lt;=TODAY()+30,"30 gün içinde",IF(D704&lt;=TODAY()+90,"90 gün içinde","İleride"))))</f>
        <v/>
      </c>
      <c r="G704" s="64">
        <f>IF(A704="","",Firmalar!$H$41)</f>
        <v/>
      </c>
    </row>
    <row r="705" ht="18" customHeight="1">
      <c r="A705" s="61">
        <f>IF(Firmalar!$B$41="","",Firmalar!$B$41)</f>
        <v/>
      </c>
      <c r="B705" s="61">
        <f>IF(Firmalar!$B$41="","",Firmalar!$I$41)</f>
        <v/>
      </c>
      <c r="C705" s="61" t="inlineStr">
        <is>
          <t>Resmî yazı cevabı</t>
        </is>
      </c>
      <c r="D705" s="62">
        <f>IF(Firmalar!$B$41="","",Firmalar!$GE$41)</f>
        <v/>
      </c>
      <c r="E705" s="63">
        <f>IF(OR(A705="",D705=""),"",D705-TODAY())</f>
        <v/>
      </c>
      <c r="F705" s="64">
        <f>IF(OR(A705="",D705=""),"",IF(D705&lt;TODAY(),"Süresi geçti",IF(D705&lt;=TODAY()+30,"30 gün içinde",IF(D705&lt;=TODAY()+90,"90 gün içinde","İleride"))))</f>
        <v/>
      </c>
      <c r="G705" s="64">
        <f>IF(A705="","",Firmalar!$H$41)</f>
        <v/>
      </c>
    </row>
    <row r="706" ht="18" customHeight="1">
      <c r="A706" s="61">
        <f>IF(Firmalar!$B$41="","",Firmalar!$B$41)</f>
        <v/>
      </c>
      <c r="B706" s="61">
        <f>IF(Firmalar!$B$41="","",Firmalar!$I$41)</f>
        <v/>
      </c>
      <c r="C706" s="61" t="inlineStr">
        <is>
          <t>Uygunsuzluk kapanışı</t>
        </is>
      </c>
      <c r="D706" s="62">
        <f>IF(Firmalar!$B$41="","",Firmalar!$GF$41)</f>
        <v/>
      </c>
      <c r="E706" s="63">
        <f>IF(OR(A706="",D706=""),"",D706-TODAY())</f>
        <v/>
      </c>
      <c r="F706" s="64">
        <f>IF(OR(A706="",D706=""),"",IF(D706&lt;TODAY(),"Süresi geçti",IF(D706&lt;=TODAY()+30,"30 gün içinde",IF(D706&lt;=TODAY()+90,"90 gün içinde","İleride"))))</f>
        <v/>
      </c>
      <c r="G706" s="64">
        <f>IF(A706="","",Firmalar!$H$41)</f>
        <v/>
      </c>
    </row>
    <row r="707" ht="18" customHeight="1">
      <c r="A707" s="61">
        <f>IF(Firmalar!$B$41="","",Firmalar!$B$41)</f>
        <v/>
      </c>
      <c r="B707" s="61">
        <f>IF(Firmalar!$B$41="","",Firmalar!$I$41)</f>
        <v/>
      </c>
      <c r="C707" s="61" t="inlineStr">
        <is>
          <t>Öncelikli işlem</t>
        </is>
      </c>
      <c r="D707" s="62">
        <f>IF(Firmalar!$B$41="","",Firmalar!$GG$41)</f>
        <v/>
      </c>
      <c r="E707" s="63">
        <f>IF(OR(A707="",D707=""),"",D707-TODAY())</f>
        <v/>
      </c>
      <c r="F707" s="64">
        <f>IF(OR(A707="",D707=""),"",IF(D707&lt;TODAY(),"Süresi geçti",IF(D707&lt;=TODAY()+30,"30 gün içinde",IF(D707&lt;=TODAY()+90,"90 gün içinde","İleride"))))</f>
        <v/>
      </c>
      <c r="G707" s="64">
        <f>IF(A707="","",Firmalar!$H$41)</f>
        <v/>
      </c>
    </row>
    <row r="708" ht="18" customHeight="1">
      <c r="A708" s="61">
        <f>IF(Firmalar!$B$42="","",Firmalar!$B$42)</f>
        <v/>
      </c>
      <c r="B708" s="61">
        <f>IF(Firmalar!$B$42="","",Firmalar!$I$42)</f>
        <v/>
      </c>
      <c r="C708" s="61" t="inlineStr">
        <is>
          <t>Çevre izni bitiş</t>
        </is>
      </c>
      <c r="D708" s="62">
        <f>IF(Firmalar!$B$42="","",Firmalar!$FO$42)</f>
        <v/>
      </c>
      <c r="E708" s="63">
        <f>IF(OR(A708="",D708=""),"",D708-TODAY())</f>
        <v/>
      </c>
      <c r="F708" s="64">
        <f>IF(OR(A708="",D708=""),"",IF(D708&lt;TODAY(),"Süresi geçti",IF(D708&lt;=TODAY()+30,"30 gün içinde",IF(D708&lt;=TODAY()+90,"90 gün içinde","İleride"))))</f>
        <v/>
      </c>
      <c r="G708" s="64">
        <f>IF(A708="","",Firmalar!$H$42)</f>
        <v/>
      </c>
    </row>
    <row r="709" ht="18" customHeight="1">
      <c r="A709" s="61">
        <f>IF(Firmalar!$B$42="","",Firmalar!$B$42)</f>
        <v/>
      </c>
      <c r="B709" s="61">
        <f>IF(Firmalar!$B$42="","",Firmalar!$I$42)</f>
        <v/>
      </c>
      <c r="C709" s="61" t="inlineStr">
        <is>
          <t>Çevre izni başvurusu</t>
        </is>
      </c>
      <c r="D709" s="62">
        <f>IF(Firmalar!$B$42="","",Firmalar!$FP$42)</f>
        <v/>
      </c>
      <c r="E709" s="63">
        <f>IF(OR(A709="",D709=""),"",D709-TODAY())</f>
        <v/>
      </c>
      <c r="F709" s="64">
        <f>IF(OR(A709="",D709=""),"",IF(D709&lt;TODAY(),"Süresi geçti",IF(D709&lt;=TODAY()+30,"30 gün içinde",IF(D709&lt;=TODAY()+90,"90 gün içinde","İleride"))))</f>
        <v/>
      </c>
      <c r="G709" s="64">
        <f>IF(A709="","",Firmalar!$H$42)</f>
        <v/>
      </c>
    </row>
    <row r="710" ht="18" customHeight="1">
      <c r="A710" s="61">
        <f>IF(Firmalar!$B$42="","",Firmalar!$B$42)</f>
        <v/>
      </c>
      <c r="B710" s="61">
        <f>IF(Firmalar!$B$42="","",Firmalar!$I$42)</f>
        <v/>
      </c>
      <c r="C710" s="61" t="inlineStr">
        <is>
          <t>GFB bitiş</t>
        </is>
      </c>
      <c r="D710" s="62">
        <f>IF(Firmalar!$B$42="","",Firmalar!$FQ$42)</f>
        <v/>
      </c>
      <c r="E710" s="63">
        <f>IF(OR(A710="",D710=""),"",D710-TODAY())</f>
        <v/>
      </c>
      <c r="F710" s="64">
        <f>IF(OR(A710="",D710=""),"",IF(D710&lt;TODAY(),"Süresi geçti",IF(D710&lt;=TODAY()+30,"30 gün içinde",IF(D710&lt;=TODAY()+90,"90 gün içinde","İleride"))))</f>
        <v/>
      </c>
      <c r="G710" s="64">
        <f>IF(A710="","",Firmalar!$H$42)</f>
        <v/>
      </c>
    </row>
    <row r="711" ht="18" customHeight="1">
      <c r="A711" s="61">
        <f>IF(Firmalar!$B$42="","",Firmalar!$B$42)</f>
        <v/>
      </c>
      <c r="B711" s="61">
        <f>IF(Firmalar!$B$42="","",Firmalar!$I$42)</f>
        <v/>
      </c>
      <c r="C711" s="61" t="inlineStr">
        <is>
          <t>Sözleşme bitiş</t>
        </is>
      </c>
      <c r="D711" s="62">
        <f>IF(Firmalar!$B$42="","",Firmalar!$FR$42)</f>
        <v/>
      </c>
      <c r="E711" s="63">
        <f>IF(OR(A711="",D711=""),"",D711-TODAY())</f>
        <v/>
      </c>
      <c r="F711" s="64">
        <f>IF(OR(A711="",D711=""),"",IF(D711&lt;TODAY(),"Süresi geçti",IF(D711&lt;=TODAY()+30,"30 gün içinde",IF(D711&lt;=TODAY()+90,"90 gün içinde","İleride"))))</f>
        <v/>
      </c>
      <c r="G711" s="64">
        <f>IF(A711="","",Firmalar!$H$42)</f>
        <v/>
      </c>
    </row>
    <row r="712" ht="18" customHeight="1">
      <c r="A712" s="61">
        <f>IF(Firmalar!$B$42="","",Firmalar!$B$42)</f>
        <v/>
      </c>
      <c r="B712" s="61">
        <f>IF(Firmalar!$B$42="","",Firmalar!$I$42)</f>
        <v/>
      </c>
      <c r="C712" s="61" t="inlineStr">
        <is>
          <t>Sıfır Atık bitiş</t>
        </is>
      </c>
      <c r="D712" s="62">
        <f>IF(Firmalar!$B$42="","",Firmalar!$FS$42)</f>
        <v/>
      </c>
      <c r="E712" s="63">
        <f>IF(OR(A712="",D712=""),"",D712-TODAY())</f>
        <v/>
      </c>
      <c r="F712" s="64">
        <f>IF(OR(A712="",D712=""),"",IF(D712&lt;TODAY(),"Süresi geçti",IF(D712&lt;=TODAY()+30,"30 gün içinde",IF(D712&lt;=TODAY()+90,"90 gün içinde","İleride"))))</f>
        <v/>
      </c>
      <c r="G712" s="64">
        <f>IF(A712="","",Firmalar!$H$42)</f>
        <v/>
      </c>
    </row>
    <row r="713" ht="18" customHeight="1">
      <c r="A713" s="61">
        <f>IF(Firmalar!$B$42="","",Firmalar!$B$42)</f>
        <v/>
      </c>
      <c r="B713" s="61">
        <f>IF(Firmalar!$B$42="","",Firmalar!$I$42)</f>
        <v/>
      </c>
      <c r="C713" s="61" t="inlineStr">
        <is>
          <t>Atık planı bitiş</t>
        </is>
      </c>
      <c r="D713" s="62">
        <f>IF(Firmalar!$B$42="","",Firmalar!$FT$42)</f>
        <v/>
      </c>
      <c r="E713" s="63">
        <f>IF(OR(A713="",D713=""),"",D713-TODAY())</f>
        <v/>
      </c>
      <c r="F713" s="64">
        <f>IF(OR(A713="",D713=""),"",IF(D713&lt;TODAY(),"Süresi geçti",IF(D713&lt;=TODAY()+30,"30 gün içinde",IF(D713&lt;=TODAY()+90,"90 gün içinde","İleride"))))</f>
        <v/>
      </c>
      <c r="G713" s="64">
        <f>IF(A713="","",Firmalar!$H$42)</f>
        <v/>
      </c>
    </row>
    <row r="714" ht="18" customHeight="1">
      <c r="A714" s="61">
        <f>IF(Firmalar!$B$42="","",Firmalar!$B$42)</f>
        <v/>
      </c>
      <c r="B714" s="61">
        <f>IF(Firmalar!$B$42="","",Firmalar!$I$42)</f>
        <v/>
      </c>
      <c r="C714" s="61" t="inlineStr">
        <is>
          <t>Emisyon teyidi</t>
        </is>
      </c>
      <c r="D714" s="62">
        <f>IF(Firmalar!$B$42="","",Firmalar!$FU$42)</f>
        <v/>
      </c>
      <c r="E714" s="63">
        <f>IF(OR(A714="",D714=""),"",D714-TODAY())</f>
        <v/>
      </c>
      <c r="F714" s="64">
        <f>IF(OR(A714="",D714=""),"",IF(D714&lt;TODAY(),"Süresi geçti",IF(D714&lt;=TODAY()+30,"30 gün içinde",IF(D714&lt;=TODAY()+90,"90 gün içinde","İleride"))))</f>
        <v/>
      </c>
      <c r="G714" s="64">
        <f>IF(A714="","",Firmalar!$H$42)</f>
        <v/>
      </c>
    </row>
    <row r="715" ht="18" customHeight="1">
      <c r="A715" s="61">
        <f>IF(Firmalar!$B$42="","",Firmalar!$B$42)</f>
        <v/>
      </c>
      <c r="B715" s="61">
        <f>IF(Firmalar!$B$42="","",Firmalar!$I$42)</f>
        <v/>
      </c>
      <c r="C715" s="61" t="inlineStr">
        <is>
          <t>Emisyon ölçümü</t>
        </is>
      </c>
      <c r="D715" s="62">
        <f>IF(Firmalar!$B$42="","",Firmalar!$FV$42)</f>
        <v/>
      </c>
      <c r="E715" s="63">
        <f>IF(OR(A715="",D715=""),"",D715-TODAY())</f>
        <v/>
      </c>
      <c r="F715" s="64">
        <f>IF(OR(A715="",D715=""),"",IF(D715&lt;TODAY(),"Süresi geçti",IF(D715&lt;=TODAY()+30,"30 gün içinde",IF(D715&lt;=TODAY()+90,"90 gün içinde","İleride"))))</f>
        <v/>
      </c>
      <c r="G715" s="64">
        <f>IF(A715="","",Firmalar!$H$42)</f>
        <v/>
      </c>
    </row>
    <row r="716" ht="18" customHeight="1">
      <c r="A716" s="61">
        <f>IF(Firmalar!$B$42="","",Firmalar!$B$42)</f>
        <v/>
      </c>
      <c r="B716" s="61">
        <f>IF(Firmalar!$B$42="","",Firmalar!$I$42)</f>
        <v/>
      </c>
      <c r="C716" s="61" t="inlineStr">
        <is>
          <t>İç tetkik</t>
        </is>
      </c>
      <c r="D716" s="62">
        <f>IF(Firmalar!$B$42="","",Firmalar!$FW$42)</f>
        <v/>
      </c>
      <c r="E716" s="63">
        <f>IF(OR(A716="",D716=""),"",D716-TODAY())</f>
        <v/>
      </c>
      <c r="F716" s="64">
        <f>IF(OR(A716="",D716=""),"",IF(D716&lt;TODAY(),"Süresi geçti",IF(D716&lt;=TODAY()+30,"30 gün içinde",IF(D716&lt;=TODAY()+90,"90 gün içinde","İleride"))))</f>
        <v/>
      </c>
      <c r="G716" s="64">
        <f>IF(A716="","",Firmalar!$H$42)</f>
        <v/>
      </c>
    </row>
    <row r="717" ht="18" customHeight="1">
      <c r="A717" s="61">
        <f>IF(Firmalar!$B$42="","",Firmalar!$B$42)</f>
        <v/>
      </c>
      <c r="B717" s="61">
        <f>IF(Firmalar!$B$42="","",Firmalar!$I$42)</f>
        <v/>
      </c>
      <c r="C717" s="61" t="inlineStr">
        <is>
          <t>İç tetkik planı</t>
        </is>
      </c>
      <c r="D717" s="62">
        <f>IF(Firmalar!$B$42="","",Firmalar!$FX$42)</f>
        <v/>
      </c>
      <c r="E717" s="63">
        <f>IF(OR(A717="",D717=""),"",D717-TODAY())</f>
        <v/>
      </c>
      <c r="F717" s="64">
        <f>IF(OR(A717="",D717=""),"",IF(D717&lt;TODAY(),"Süresi geçti",IF(D717&lt;=TODAY()+30,"30 gün içinde",IF(D717&lt;=TODAY()+90,"90 gün içinde","İleride"))))</f>
        <v/>
      </c>
      <c r="G717" s="64">
        <f>IF(A717="","",Firmalar!$H$42)</f>
        <v/>
      </c>
    </row>
    <row r="718" ht="18" customHeight="1">
      <c r="A718" s="61">
        <f>IF(Firmalar!$B$42="","",Firmalar!$B$42)</f>
        <v/>
      </c>
      <c r="B718" s="61">
        <f>IF(Firmalar!$B$42="","",Firmalar!$I$42)</f>
        <v/>
      </c>
      <c r="C718" s="61" t="inlineStr">
        <is>
          <t>Çevre eğitimi</t>
        </is>
      </c>
      <c r="D718" s="62">
        <f>IF(Firmalar!$B$42="","",Firmalar!$FY$42)</f>
        <v/>
      </c>
      <c r="E718" s="63">
        <f>IF(OR(A718="",D718=""),"",D718-TODAY())</f>
        <v/>
      </c>
      <c r="F718" s="64">
        <f>IF(OR(A718="",D718=""),"",IF(D718&lt;TODAY(),"Süresi geçti",IF(D718&lt;=TODAY()+30,"30 gün içinde",IF(D718&lt;=TODAY()+90,"90 gün içinde","İleride"))))</f>
        <v/>
      </c>
      <c r="G718" s="64">
        <f>IF(A718="","",Firmalar!$H$42)</f>
        <v/>
      </c>
    </row>
    <row r="719" ht="18" customHeight="1">
      <c r="A719" s="61">
        <f>IF(Firmalar!$B$42="","",Firmalar!$B$42)</f>
        <v/>
      </c>
      <c r="B719" s="61">
        <f>IF(Firmalar!$B$42="","",Firmalar!$I$42)</f>
        <v/>
      </c>
      <c r="C719" s="61" t="inlineStr">
        <is>
          <t>Eğitim planı</t>
        </is>
      </c>
      <c r="D719" s="62">
        <f>IF(Firmalar!$B$42="","",Firmalar!$FZ$42)</f>
        <v/>
      </c>
      <c r="E719" s="63">
        <f>IF(OR(A719="",D719=""),"",D719-TODAY())</f>
        <v/>
      </c>
      <c r="F719" s="64">
        <f>IF(OR(A719="",D719=""),"",IF(D719&lt;TODAY(),"Süresi geçti",IF(D719&lt;=TODAY()+30,"30 gün içinde",IF(D719&lt;=TODAY()+90,"90 gün içinde","İleride"))))</f>
        <v/>
      </c>
      <c r="G719" s="64">
        <f>IF(A719="","",Firmalar!$H$42)</f>
        <v/>
      </c>
    </row>
    <row r="720" ht="18" customHeight="1">
      <c r="A720" s="61">
        <f>IF(Firmalar!$B$42="","",Firmalar!$B$42)</f>
        <v/>
      </c>
      <c r="B720" s="61">
        <f>IF(Firmalar!$B$42="","",Firmalar!$I$42)</f>
        <v/>
      </c>
      <c r="C720" s="61" t="inlineStr">
        <is>
          <t>Kanal belgesi bitiş</t>
        </is>
      </c>
      <c r="D720" s="62">
        <f>IF(Firmalar!$B$42="","",Firmalar!$GA$42)</f>
        <v/>
      </c>
      <c r="E720" s="63">
        <f>IF(OR(A720="",D720=""),"",D720-TODAY())</f>
        <v/>
      </c>
      <c r="F720" s="64">
        <f>IF(OR(A720="",D720=""),"",IF(D720&lt;TODAY(),"Süresi geçti",IF(D720&lt;=TODAY()+30,"30 gün içinde",IF(D720&lt;=TODAY()+90,"90 gün içinde","İleride"))))</f>
        <v/>
      </c>
      <c r="G720" s="64">
        <f>IF(A720="","",Firmalar!$H$42)</f>
        <v/>
      </c>
    </row>
    <row r="721" ht="18" customHeight="1">
      <c r="A721" s="61">
        <f>IF(Firmalar!$B$42="","",Firmalar!$B$42)</f>
        <v/>
      </c>
      <c r="B721" s="61">
        <f>IF(Firmalar!$B$42="","",Firmalar!$I$42)</f>
        <v/>
      </c>
      <c r="C721" s="61" t="inlineStr">
        <is>
          <t>Deşarj izni bitiş</t>
        </is>
      </c>
      <c r="D721" s="62">
        <f>IF(Firmalar!$B$42="","",Firmalar!$GB$42)</f>
        <v/>
      </c>
      <c r="E721" s="63">
        <f>IF(OR(A721="",D721=""),"",D721-TODAY())</f>
        <v/>
      </c>
      <c r="F721" s="64">
        <f>IF(OR(A721="",D721=""),"",IF(D721&lt;TODAY(),"Süresi geçti",IF(D721&lt;=TODAY()+30,"30 gün içinde",IF(D721&lt;=TODAY()+90,"90 gün içinde","İleride"))))</f>
        <v/>
      </c>
      <c r="G721" s="64">
        <f>IF(A721="","",Firmalar!$H$42)</f>
        <v/>
      </c>
    </row>
    <row r="722" ht="18" customHeight="1">
      <c r="A722" s="61">
        <f>IF(Firmalar!$B$42="","",Firmalar!$B$42)</f>
        <v/>
      </c>
      <c r="B722" s="61">
        <f>IF(Firmalar!$B$42="","",Firmalar!$I$42)</f>
        <v/>
      </c>
      <c r="C722" s="61" t="inlineStr">
        <is>
          <t>Atıksu analizi</t>
        </is>
      </c>
      <c r="D722" s="62">
        <f>IF(Firmalar!$B$42="","",Firmalar!$GC$42)</f>
        <v/>
      </c>
      <c r="E722" s="63">
        <f>IF(OR(A722="",D722=""),"",D722-TODAY())</f>
        <v/>
      </c>
      <c r="F722" s="64">
        <f>IF(OR(A722="",D722=""),"",IF(D722&lt;TODAY(),"Süresi geçti",IF(D722&lt;=TODAY()+30,"30 gün içinde",IF(D722&lt;=TODAY()+90,"90 gün içinde","İleride"))))</f>
        <v/>
      </c>
      <c r="G722" s="64">
        <f>IF(A722="","",Firmalar!$H$42)</f>
        <v/>
      </c>
    </row>
    <row r="723" ht="18" customHeight="1">
      <c r="A723" s="61">
        <f>IF(Firmalar!$B$42="","",Firmalar!$B$42)</f>
        <v/>
      </c>
      <c r="B723" s="61">
        <f>IF(Firmalar!$B$42="","",Firmalar!$I$42)</f>
        <v/>
      </c>
      <c r="C723" s="61" t="inlineStr">
        <is>
          <t>Saha ziyareti</t>
        </is>
      </c>
      <c r="D723" s="62">
        <f>IF(Firmalar!$B$42="","",Firmalar!$GD$42)</f>
        <v/>
      </c>
      <c r="E723" s="63">
        <f>IF(OR(A723="",D723=""),"",D723-TODAY())</f>
        <v/>
      </c>
      <c r="F723" s="64">
        <f>IF(OR(A723="",D723=""),"",IF(D723&lt;TODAY(),"Süresi geçti",IF(D723&lt;=TODAY()+30,"30 gün içinde",IF(D723&lt;=TODAY()+90,"90 gün içinde","İleride"))))</f>
        <v/>
      </c>
      <c r="G723" s="64">
        <f>IF(A723="","",Firmalar!$H$42)</f>
        <v/>
      </c>
    </row>
    <row r="724" ht="18" customHeight="1">
      <c r="A724" s="61">
        <f>IF(Firmalar!$B$42="","",Firmalar!$B$42)</f>
        <v/>
      </c>
      <c r="B724" s="61">
        <f>IF(Firmalar!$B$42="","",Firmalar!$I$42)</f>
        <v/>
      </c>
      <c r="C724" s="61" t="inlineStr">
        <is>
          <t>Resmî yazı cevabı</t>
        </is>
      </c>
      <c r="D724" s="62">
        <f>IF(Firmalar!$B$42="","",Firmalar!$GE$42)</f>
        <v/>
      </c>
      <c r="E724" s="63">
        <f>IF(OR(A724="",D724=""),"",D724-TODAY())</f>
        <v/>
      </c>
      <c r="F724" s="64">
        <f>IF(OR(A724="",D724=""),"",IF(D724&lt;TODAY(),"Süresi geçti",IF(D724&lt;=TODAY()+30,"30 gün içinde",IF(D724&lt;=TODAY()+90,"90 gün içinde","İleride"))))</f>
        <v/>
      </c>
      <c r="G724" s="64">
        <f>IF(A724="","",Firmalar!$H$42)</f>
        <v/>
      </c>
    </row>
    <row r="725" ht="18" customHeight="1">
      <c r="A725" s="61">
        <f>IF(Firmalar!$B$42="","",Firmalar!$B$42)</f>
        <v/>
      </c>
      <c r="B725" s="61">
        <f>IF(Firmalar!$B$42="","",Firmalar!$I$42)</f>
        <v/>
      </c>
      <c r="C725" s="61" t="inlineStr">
        <is>
          <t>Uygunsuzluk kapanışı</t>
        </is>
      </c>
      <c r="D725" s="62">
        <f>IF(Firmalar!$B$42="","",Firmalar!$GF$42)</f>
        <v/>
      </c>
      <c r="E725" s="63">
        <f>IF(OR(A725="",D725=""),"",D725-TODAY())</f>
        <v/>
      </c>
      <c r="F725" s="64">
        <f>IF(OR(A725="",D725=""),"",IF(D725&lt;TODAY(),"Süresi geçti",IF(D725&lt;=TODAY()+30,"30 gün içinde",IF(D725&lt;=TODAY()+90,"90 gün içinde","İleride"))))</f>
        <v/>
      </c>
      <c r="G725" s="64">
        <f>IF(A725="","",Firmalar!$H$42)</f>
        <v/>
      </c>
    </row>
    <row r="726" ht="18" customHeight="1">
      <c r="A726" s="61">
        <f>IF(Firmalar!$B$42="","",Firmalar!$B$42)</f>
        <v/>
      </c>
      <c r="B726" s="61">
        <f>IF(Firmalar!$B$42="","",Firmalar!$I$42)</f>
        <v/>
      </c>
      <c r="C726" s="61" t="inlineStr">
        <is>
          <t>Öncelikli işlem</t>
        </is>
      </c>
      <c r="D726" s="62">
        <f>IF(Firmalar!$B$42="","",Firmalar!$GG$42)</f>
        <v/>
      </c>
      <c r="E726" s="63">
        <f>IF(OR(A726="",D726=""),"",D726-TODAY())</f>
        <v/>
      </c>
      <c r="F726" s="64">
        <f>IF(OR(A726="",D726=""),"",IF(D726&lt;TODAY(),"Süresi geçti",IF(D726&lt;=TODAY()+30,"30 gün içinde",IF(D726&lt;=TODAY()+90,"90 gün içinde","İleride"))))</f>
        <v/>
      </c>
      <c r="G726" s="64">
        <f>IF(A726="","",Firmalar!$H$42)</f>
        <v/>
      </c>
    </row>
    <row r="727" ht="18" customHeight="1">
      <c r="A727" s="61">
        <f>IF(Firmalar!$B$43="","",Firmalar!$B$43)</f>
        <v/>
      </c>
      <c r="B727" s="61">
        <f>IF(Firmalar!$B$43="","",Firmalar!$I$43)</f>
        <v/>
      </c>
      <c r="C727" s="61" t="inlineStr">
        <is>
          <t>Çevre izni bitiş</t>
        </is>
      </c>
      <c r="D727" s="62">
        <f>IF(Firmalar!$B$43="","",Firmalar!$FO$43)</f>
        <v/>
      </c>
      <c r="E727" s="63">
        <f>IF(OR(A727="",D727=""),"",D727-TODAY())</f>
        <v/>
      </c>
      <c r="F727" s="64">
        <f>IF(OR(A727="",D727=""),"",IF(D727&lt;TODAY(),"Süresi geçti",IF(D727&lt;=TODAY()+30,"30 gün içinde",IF(D727&lt;=TODAY()+90,"90 gün içinde","İleride"))))</f>
        <v/>
      </c>
      <c r="G727" s="64">
        <f>IF(A727="","",Firmalar!$H$43)</f>
        <v/>
      </c>
    </row>
    <row r="728" ht="18" customHeight="1">
      <c r="A728" s="61">
        <f>IF(Firmalar!$B$43="","",Firmalar!$B$43)</f>
        <v/>
      </c>
      <c r="B728" s="61">
        <f>IF(Firmalar!$B$43="","",Firmalar!$I$43)</f>
        <v/>
      </c>
      <c r="C728" s="61" t="inlineStr">
        <is>
          <t>Çevre izni başvurusu</t>
        </is>
      </c>
      <c r="D728" s="62">
        <f>IF(Firmalar!$B$43="","",Firmalar!$FP$43)</f>
        <v/>
      </c>
      <c r="E728" s="63">
        <f>IF(OR(A728="",D728=""),"",D728-TODAY())</f>
        <v/>
      </c>
      <c r="F728" s="64">
        <f>IF(OR(A728="",D728=""),"",IF(D728&lt;TODAY(),"Süresi geçti",IF(D728&lt;=TODAY()+30,"30 gün içinde",IF(D728&lt;=TODAY()+90,"90 gün içinde","İleride"))))</f>
        <v/>
      </c>
      <c r="G728" s="64">
        <f>IF(A728="","",Firmalar!$H$43)</f>
        <v/>
      </c>
    </row>
    <row r="729" ht="18" customHeight="1">
      <c r="A729" s="61">
        <f>IF(Firmalar!$B$43="","",Firmalar!$B$43)</f>
        <v/>
      </c>
      <c r="B729" s="61">
        <f>IF(Firmalar!$B$43="","",Firmalar!$I$43)</f>
        <v/>
      </c>
      <c r="C729" s="61" t="inlineStr">
        <is>
          <t>GFB bitiş</t>
        </is>
      </c>
      <c r="D729" s="62">
        <f>IF(Firmalar!$B$43="","",Firmalar!$FQ$43)</f>
        <v/>
      </c>
      <c r="E729" s="63">
        <f>IF(OR(A729="",D729=""),"",D729-TODAY())</f>
        <v/>
      </c>
      <c r="F729" s="64">
        <f>IF(OR(A729="",D729=""),"",IF(D729&lt;TODAY(),"Süresi geçti",IF(D729&lt;=TODAY()+30,"30 gün içinde",IF(D729&lt;=TODAY()+90,"90 gün içinde","İleride"))))</f>
        <v/>
      </c>
      <c r="G729" s="64">
        <f>IF(A729="","",Firmalar!$H$43)</f>
        <v/>
      </c>
    </row>
    <row r="730" ht="18" customHeight="1">
      <c r="A730" s="61">
        <f>IF(Firmalar!$B$43="","",Firmalar!$B$43)</f>
        <v/>
      </c>
      <c r="B730" s="61">
        <f>IF(Firmalar!$B$43="","",Firmalar!$I$43)</f>
        <v/>
      </c>
      <c r="C730" s="61" t="inlineStr">
        <is>
          <t>Sözleşme bitiş</t>
        </is>
      </c>
      <c r="D730" s="62">
        <f>IF(Firmalar!$B$43="","",Firmalar!$FR$43)</f>
        <v/>
      </c>
      <c r="E730" s="63">
        <f>IF(OR(A730="",D730=""),"",D730-TODAY())</f>
        <v/>
      </c>
      <c r="F730" s="64">
        <f>IF(OR(A730="",D730=""),"",IF(D730&lt;TODAY(),"Süresi geçti",IF(D730&lt;=TODAY()+30,"30 gün içinde",IF(D730&lt;=TODAY()+90,"90 gün içinde","İleride"))))</f>
        <v/>
      </c>
      <c r="G730" s="64">
        <f>IF(A730="","",Firmalar!$H$43)</f>
        <v/>
      </c>
    </row>
    <row r="731" ht="18" customHeight="1">
      <c r="A731" s="61">
        <f>IF(Firmalar!$B$43="","",Firmalar!$B$43)</f>
        <v/>
      </c>
      <c r="B731" s="61">
        <f>IF(Firmalar!$B$43="","",Firmalar!$I$43)</f>
        <v/>
      </c>
      <c r="C731" s="61" t="inlineStr">
        <is>
          <t>Sıfır Atık bitiş</t>
        </is>
      </c>
      <c r="D731" s="62">
        <f>IF(Firmalar!$B$43="","",Firmalar!$FS$43)</f>
        <v/>
      </c>
      <c r="E731" s="63">
        <f>IF(OR(A731="",D731=""),"",D731-TODAY())</f>
        <v/>
      </c>
      <c r="F731" s="64">
        <f>IF(OR(A731="",D731=""),"",IF(D731&lt;TODAY(),"Süresi geçti",IF(D731&lt;=TODAY()+30,"30 gün içinde",IF(D731&lt;=TODAY()+90,"90 gün içinde","İleride"))))</f>
        <v/>
      </c>
      <c r="G731" s="64">
        <f>IF(A731="","",Firmalar!$H$43)</f>
        <v/>
      </c>
    </row>
    <row r="732" ht="18" customHeight="1">
      <c r="A732" s="61">
        <f>IF(Firmalar!$B$43="","",Firmalar!$B$43)</f>
        <v/>
      </c>
      <c r="B732" s="61">
        <f>IF(Firmalar!$B$43="","",Firmalar!$I$43)</f>
        <v/>
      </c>
      <c r="C732" s="61" t="inlineStr">
        <is>
          <t>Atık planı bitiş</t>
        </is>
      </c>
      <c r="D732" s="62">
        <f>IF(Firmalar!$B$43="","",Firmalar!$FT$43)</f>
        <v/>
      </c>
      <c r="E732" s="63">
        <f>IF(OR(A732="",D732=""),"",D732-TODAY())</f>
        <v/>
      </c>
      <c r="F732" s="64">
        <f>IF(OR(A732="",D732=""),"",IF(D732&lt;TODAY(),"Süresi geçti",IF(D732&lt;=TODAY()+30,"30 gün içinde",IF(D732&lt;=TODAY()+90,"90 gün içinde","İleride"))))</f>
        <v/>
      </c>
      <c r="G732" s="64">
        <f>IF(A732="","",Firmalar!$H$43)</f>
        <v/>
      </c>
    </row>
    <row r="733" ht="18" customHeight="1">
      <c r="A733" s="61">
        <f>IF(Firmalar!$B$43="","",Firmalar!$B$43)</f>
        <v/>
      </c>
      <c r="B733" s="61">
        <f>IF(Firmalar!$B$43="","",Firmalar!$I$43)</f>
        <v/>
      </c>
      <c r="C733" s="61" t="inlineStr">
        <is>
          <t>Emisyon teyidi</t>
        </is>
      </c>
      <c r="D733" s="62">
        <f>IF(Firmalar!$B$43="","",Firmalar!$FU$43)</f>
        <v/>
      </c>
      <c r="E733" s="63">
        <f>IF(OR(A733="",D733=""),"",D733-TODAY())</f>
        <v/>
      </c>
      <c r="F733" s="64">
        <f>IF(OR(A733="",D733=""),"",IF(D733&lt;TODAY(),"Süresi geçti",IF(D733&lt;=TODAY()+30,"30 gün içinde",IF(D733&lt;=TODAY()+90,"90 gün içinde","İleride"))))</f>
        <v/>
      </c>
      <c r="G733" s="64">
        <f>IF(A733="","",Firmalar!$H$43)</f>
        <v/>
      </c>
    </row>
    <row r="734" ht="18" customHeight="1">
      <c r="A734" s="61">
        <f>IF(Firmalar!$B$43="","",Firmalar!$B$43)</f>
        <v/>
      </c>
      <c r="B734" s="61">
        <f>IF(Firmalar!$B$43="","",Firmalar!$I$43)</f>
        <v/>
      </c>
      <c r="C734" s="61" t="inlineStr">
        <is>
          <t>Emisyon ölçümü</t>
        </is>
      </c>
      <c r="D734" s="62">
        <f>IF(Firmalar!$B$43="","",Firmalar!$FV$43)</f>
        <v/>
      </c>
      <c r="E734" s="63">
        <f>IF(OR(A734="",D734=""),"",D734-TODAY())</f>
        <v/>
      </c>
      <c r="F734" s="64">
        <f>IF(OR(A734="",D734=""),"",IF(D734&lt;TODAY(),"Süresi geçti",IF(D734&lt;=TODAY()+30,"30 gün içinde",IF(D734&lt;=TODAY()+90,"90 gün içinde","İleride"))))</f>
        <v/>
      </c>
      <c r="G734" s="64">
        <f>IF(A734="","",Firmalar!$H$43)</f>
        <v/>
      </c>
    </row>
    <row r="735" ht="18" customHeight="1">
      <c r="A735" s="61">
        <f>IF(Firmalar!$B$43="","",Firmalar!$B$43)</f>
        <v/>
      </c>
      <c r="B735" s="61">
        <f>IF(Firmalar!$B$43="","",Firmalar!$I$43)</f>
        <v/>
      </c>
      <c r="C735" s="61" t="inlineStr">
        <is>
          <t>İç tetkik</t>
        </is>
      </c>
      <c r="D735" s="62">
        <f>IF(Firmalar!$B$43="","",Firmalar!$FW$43)</f>
        <v/>
      </c>
      <c r="E735" s="63">
        <f>IF(OR(A735="",D735=""),"",D735-TODAY())</f>
        <v/>
      </c>
      <c r="F735" s="64">
        <f>IF(OR(A735="",D735=""),"",IF(D735&lt;TODAY(),"Süresi geçti",IF(D735&lt;=TODAY()+30,"30 gün içinde",IF(D735&lt;=TODAY()+90,"90 gün içinde","İleride"))))</f>
        <v/>
      </c>
      <c r="G735" s="64">
        <f>IF(A735="","",Firmalar!$H$43)</f>
        <v/>
      </c>
    </row>
    <row r="736" ht="18" customHeight="1">
      <c r="A736" s="61">
        <f>IF(Firmalar!$B$43="","",Firmalar!$B$43)</f>
        <v/>
      </c>
      <c r="B736" s="61">
        <f>IF(Firmalar!$B$43="","",Firmalar!$I$43)</f>
        <v/>
      </c>
      <c r="C736" s="61" t="inlineStr">
        <is>
          <t>İç tetkik planı</t>
        </is>
      </c>
      <c r="D736" s="62">
        <f>IF(Firmalar!$B$43="","",Firmalar!$FX$43)</f>
        <v/>
      </c>
      <c r="E736" s="63">
        <f>IF(OR(A736="",D736=""),"",D736-TODAY())</f>
        <v/>
      </c>
      <c r="F736" s="64">
        <f>IF(OR(A736="",D736=""),"",IF(D736&lt;TODAY(),"Süresi geçti",IF(D736&lt;=TODAY()+30,"30 gün içinde",IF(D736&lt;=TODAY()+90,"90 gün içinde","İleride"))))</f>
        <v/>
      </c>
      <c r="G736" s="64">
        <f>IF(A736="","",Firmalar!$H$43)</f>
        <v/>
      </c>
    </row>
    <row r="737" ht="18" customHeight="1">
      <c r="A737" s="61">
        <f>IF(Firmalar!$B$43="","",Firmalar!$B$43)</f>
        <v/>
      </c>
      <c r="B737" s="61">
        <f>IF(Firmalar!$B$43="","",Firmalar!$I$43)</f>
        <v/>
      </c>
      <c r="C737" s="61" t="inlineStr">
        <is>
          <t>Çevre eğitimi</t>
        </is>
      </c>
      <c r="D737" s="62">
        <f>IF(Firmalar!$B$43="","",Firmalar!$FY$43)</f>
        <v/>
      </c>
      <c r="E737" s="63">
        <f>IF(OR(A737="",D737=""),"",D737-TODAY())</f>
        <v/>
      </c>
      <c r="F737" s="64">
        <f>IF(OR(A737="",D737=""),"",IF(D737&lt;TODAY(),"Süresi geçti",IF(D737&lt;=TODAY()+30,"30 gün içinde",IF(D737&lt;=TODAY()+90,"90 gün içinde","İleride"))))</f>
        <v/>
      </c>
      <c r="G737" s="64">
        <f>IF(A737="","",Firmalar!$H$43)</f>
        <v/>
      </c>
    </row>
    <row r="738" ht="18" customHeight="1">
      <c r="A738" s="61">
        <f>IF(Firmalar!$B$43="","",Firmalar!$B$43)</f>
        <v/>
      </c>
      <c r="B738" s="61">
        <f>IF(Firmalar!$B$43="","",Firmalar!$I$43)</f>
        <v/>
      </c>
      <c r="C738" s="61" t="inlineStr">
        <is>
          <t>Eğitim planı</t>
        </is>
      </c>
      <c r="D738" s="62">
        <f>IF(Firmalar!$B$43="","",Firmalar!$FZ$43)</f>
        <v/>
      </c>
      <c r="E738" s="63">
        <f>IF(OR(A738="",D738=""),"",D738-TODAY())</f>
        <v/>
      </c>
      <c r="F738" s="64">
        <f>IF(OR(A738="",D738=""),"",IF(D738&lt;TODAY(),"Süresi geçti",IF(D738&lt;=TODAY()+30,"30 gün içinde",IF(D738&lt;=TODAY()+90,"90 gün içinde","İleride"))))</f>
        <v/>
      </c>
      <c r="G738" s="64">
        <f>IF(A738="","",Firmalar!$H$43)</f>
        <v/>
      </c>
    </row>
    <row r="739" ht="18" customHeight="1">
      <c r="A739" s="61">
        <f>IF(Firmalar!$B$43="","",Firmalar!$B$43)</f>
        <v/>
      </c>
      <c r="B739" s="61">
        <f>IF(Firmalar!$B$43="","",Firmalar!$I$43)</f>
        <v/>
      </c>
      <c r="C739" s="61" t="inlineStr">
        <is>
          <t>Kanal belgesi bitiş</t>
        </is>
      </c>
      <c r="D739" s="62">
        <f>IF(Firmalar!$B$43="","",Firmalar!$GA$43)</f>
        <v/>
      </c>
      <c r="E739" s="63">
        <f>IF(OR(A739="",D739=""),"",D739-TODAY())</f>
        <v/>
      </c>
      <c r="F739" s="64">
        <f>IF(OR(A739="",D739=""),"",IF(D739&lt;TODAY(),"Süresi geçti",IF(D739&lt;=TODAY()+30,"30 gün içinde",IF(D739&lt;=TODAY()+90,"90 gün içinde","İleride"))))</f>
        <v/>
      </c>
      <c r="G739" s="64">
        <f>IF(A739="","",Firmalar!$H$43)</f>
        <v/>
      </c>
    </row>
    <row r="740" ht="18" customHeight="1">
      <c r="A740" s="61">
        <f>IF(Firmalar!$B$43="","",Firmalar!$B$43)</f>
        <v/>
      </c>
      <c r="B740" s="61">
        <f>IF(Firmalar!$B$43="","",Firmalar!$I$43)</f>
        <v/>
      </c>
      <c r="C740" s="61" t="inlineStr">
        <is>
          <t>Deşarj izni bitiş</t>
        </is>
      </c>
      <c r="D740" s="62">
        <f>IF(Firmalar!$B$43="","",Firmalar!$GB$43)</f>
        <v/>
      </c>
      <c r="E740" s="63">
        <f>IF(OR(A740="",D740=""),"",D740-TODAY())</f>
        <v/>
      </c>
      <c r="F740" s="64">
        <f>IF(OR(A740="",D740=""),"",IF(D740&lt;TODAY(),"Süresi geçti",IF(D740&lt;=TODAY()+30,"30 gün içinde",IF(D740&lt;=TODAY()+90,"90 gün içinde","İleride"))))</f>
        <v/>
      </c>
      <c r="G740" s="64">
        <f>IF(A740="","",Firmalar!$H$43)</f>
        <v/>
      </c>
    </row>
    <row r="741" ht="18" customHeight="1">
      <c r="A741" s="61">
        <f>IF(Firmalar!$B$43="","",Firmalar!$B$43)</f>
        <v/>
      </c>
      <c r="B741" s="61">
        <f>IF(Firmalar!$B$43="","",Firmalar!$I$43)</f>
        <v/>
      </c>
      <c r="C741" s="61" t="inlineStr">
        <is>
          <t>Atıksu analizi</t>
        </is>
      </c>
      <c r="D741" s="62">
        <f>IF(Firmalar!$B$43="","",Firmalar!$GC$43)</f>
        <v/>
      </c>
      <c r="E741" s="63">
        <f>IF(OR(A741="",D741=""),"",D741-TODAY())</f>
        <v/>
      </c>
      <c r="F741" s="64">
        <f>IF(OR(A741="",D741=""),"",IF(D741&lt;TODAY(),"Süresi geçti",IF(D741&lt;=TODAY()+30,"30 gün içinde",IF(D741&lt;=TODAY()+90,"90 gün içinde","İleride"))))</f>
        <v/>
      </c>
      <c r="G741" s="64">
        <f>IF(A741="","",Firmalar!$H$43)</f>
        <v/>
      </c>
    </row>
    <row r="742" ht="18" customHeight="1">
      <c r="A742" s="61">
        <f>IF(Firmalar!$B$43="","",Firmalar!$B$43)</f>
        <v/>
      </c>
      <c r="B742" s="61">
        <f>IF(Firmalar!$B$43="","",Firmalar!$I$43)</f>
        <v/>
      </c>
      <c r="C742" s="61" t="inlineStr">
        <is>
          <t>Saha ziyareti</t>
        </is>
      </c>
      <c r="D742" s="62">
        <f>IF(Firmalar!$B$43="","",Firmalar!$GD$43)</f>
        <v/>
      </c>
      <c r="E742" s="63">
        <f>IF(OR(A742="",D742=""),"",D742-TODAY())</f>
        <v/>
      </c>
      <c r="F742" s="64">
        <f>IF(OR(A742="",D742=""),"",IF(D742&lt;TODAY(),"Süresi geçti",IF(D742&lt;=TODAY()+30,"30 gün içinde",IF(D742&lt;=TODAY()+90,"90 gün içinde","İleride"))))</f>
        <v/>
      </c>
      <c r="G742" s="64">
        <f>IF(A742="","",Firmalar!$H$43)</f>
        <v/>
      </c>
    </row>
    <row r="743" ht="18" customHeight="1">
      <c r="A743" s="61">
        <f>IF(Firmalar!$B$43="","",Firmalar!$B$43)</f>
        <v/>
      </c>
      <c r="B743" s="61">
        <f>IF(Firmalar!$B$43="","",Firmalar!$I$43)</f>
        <v/>
      </c>
      <c r="C743" s="61" t="inlineStr">
        <is>
          <t>Resmî yazı cevabı</t>
        </is>
      </c>
      <c r="D743" s="62">
        <f>IF(Firmalar!$B$43="","",Firmalar!$GE$43)</f>
        <v/>
      </c>
      <c r="E743" s="63">
        <f>IF(OR(A743="",D743=""),"",D743-TODAY())</f>
        <v/>
      </c>
      <c r="F743" s="64">
        <f>IF(OR(A743="",D743=""),"",IF(D743&lt;TODAY(),"Süresi geçti",IF(D743&lt;=TODAY()+30,"30 gün içinde",IF(D743&lt;=TODAY()+90,"90 gün içinde","İleride"))))</f>
        <v/>
      </c>
      <c r="G743" s="64">
        <f>IF(A743="","",Firmalar!$H$43)</f>
        <v/>
      </c>
    </row>
    <row r="744" ht="18" customHeight="1">
      <c r="A744" s="61">
        <f>IF(Firmalar!$B$43="","",Firmalar!$B$43)</f>
        <v/>
      </c>
      <c r="B744" s="61">
        <f>IF(Firmalar!$B$43="","",Firmalar!$I$43)</f>
        <v/>
      </c>
      <c r="C744" s="61" t="inlineStr">
        <is>
          <t>Uygunsuzluk kapanışı</t>
        </is>
      </c>
      <c r="D744" s="62">
        <f>IF(Firmalar!$B$43="","",Firmalar!$GF$43)</f>
        <v/>
      </c>
      <c r="E744" s="63">
        <f>IF(OR(A744="",D744=""),"",D744-TODAY())</f>
        <v/>
      </c>
      <c r="F744" s="64">
        <f>IF(OR(A744="",D744=""),"",IF(D744&lt;TODAY(),"Süresi geçti",IF(D744&lt;=TODAY()+30,"30 gün içinde",IF(D744&lt;=TODAY()+90,"90 gün içinde","İleride"))))</f>
        <v/>
      </c>
      <c r="G744" s="64">
        <f>IF(A744="","",Firmalar!$H$43)</f>
        <v/>
      </c>
    </row>
    <row r="745" ht="18" customHeight="1">
      <c r="A745" s="61">
        <f>IF(Firmalar!$B$43="","",Firmalar!$B$43)</f>
        <v/>
      </c>
      <c r="B745" s="61">
        <f>IF(Firmalar!$B$43="","",Firmalar!$I$43)</f>
        <v/>
      </c>
      <c r="C745" s="61" t="inlineStr">
        <is>
          <t>Öncelikli işlem</t>
        </is>
      </c>
      <c r="D745" s="62">
        <f>IF(Firmalar!$B$43="","",Firmalar!$GG$43)</f>
        <v/>
      </c>
      <c r="E745" s="63">
        <f>IF(OR(A745="",D745=""),"",D745-TODAY())</f>
        <v/>
      </c>
      <c r="F745" s="64">
        <f>IF(OR(A745="",D745=""),"",IF(D745&lt;TODAY(),"Süresi geçti",IF(D745&lt;=TODAY()+30,"30 gün içinde",IF(D745&lt;=TODAY()+90,"90 gün içinde","İleride"))))</f>
        <v/>
      </c>
      <c r="G745" s="64">
        <f>IF(A745="","",Firmalar!$H$43)</f>
        <v/>
      </c>
    </row>
    <row r="746" ht="18" customHeight="1">
      <c r="A746" s="61">
        <f>IF(Firmalar!$B$44="","",Firmalar!$B$44)</f>
        <v/>
      </c>
      <c r="B746" s="61">
        <f>IF(Firmalar!$B$44="","",Firmalar!$I$44)</f>
        <v/>
      </c>
      <c r="C746" s="61" t="inlineStr">
        <is>
          <t>Çevre izni bitiş</t>
        </is>
      </c>
      <c r="D746" s="62">
        <f>IF(Firmalar!$B$44="","",Firmalar!$FO$44)</f>
        <v/>
      </c>
      <c r="E746" s="63">
        <f>IF(OR(A746="",D746=""),"",D746-TODAY())</f>
        <v/>
      </c>
      <c r="F746" s="64">
        <f>IF(OR(A746="",D746=""),"",IF(D746&lt;TODAY(),"Süresi geçti",IF(D746&lt;=TODAY()+30,"30 gün içinde",IF(D746&lt;=TODAY()+90,"90 gün içinde","İleride"))))</f>
        <v/>
      </c>
      <c r="G746" s="64">
        <f>IF(A746="","",Firmalar!$H$44)</f>
        <v/>
      </c>
    </row>
    <row r="747" ht="18" customHeight="1">
      <c r="A747" s="61">
        <f>IF(Firmalar!$B$44="","",Firmalar!$B$44)</f>
        <v/>
      </c>
      <c r="B747" s="61">
        <f>IF(Firmalar!$B$44="","",Firmalar!$I$44)</f>
        <v/>
      </c>
      <c r="C747" s="61" t="inlineStr">
        <is>
          <t>Çevre izni başvurusu</t>
        </is>
      </c>
      <c r="D747" s="62">
        <f>IF(Firmalar!$B$44="","",Firmalar!$FP$44)</f>
        <v/>
      </c>
      <c r="E747" s="63">
        <f>IF(OR(A747="",D747=""),"",D747-TODAY())</f>
        <v/>
      </c>
      <c r="F747" s="64">
        <f>IF(OR(A747="",D747=""),"",IF(D747&lt;TODAY(),"Süresi geçti",IF(D747&lt;=TODAY()+30,"30 gün içinde",IF(D747&lt;=TODAY()+90,"90 gün içinde","İleride"))))</f>
        <v/>
      </c>
      <c r="G747" s="64">
        <f>IF(A747="","",Firmalar!$H$44)</f>
        <v/>
      </c>
    </row>
    <row r="748" ht="18" customHeight="1">
      <c r="A748" s="61">
        <f>IF(Firmalar!$B$44="","",Firmalar!$B$44)</f>
        <v/>
      </c>
      <c r="B748" s="61">
        <f>IF(Firmalar!$B$44="","",Firmalar!$I$44)</f>
        <v/>
      </c>
      <c r="C748" s="61" t="inlineStr">
        <is>
          <t>GFB bitiş</t>
        </is>
      </c>
      <c r="D748" s="62">
        <f>IF(Firmalar!$B$44="","",Firmalar!$FQ$44)</f>
        <v/>
      </c>
      <c r="E748" s="63">
        <f>IF(OR(A748="",D748=""),"",D748-TODAY())</f>
        <v/>
      </c>
      <c r="F748" s="64">
        <f>IF(OR(A748="",D748=""),"",IF(D748&lt;TODAY(),"Süresi geçti",IF(D748&lt;=TODAY()+30,"30 gün içinde",IF(D748&lt;=TODAY()+90,"90 gün içinde","İleride"))))</f>
        <v/>
      </c>
      <c r="G748" s="64">
        <f>IF(A748="","",Firmalar!$H$44)</f>
        <v/>
      </c>
    </row>
    <row r="749" ht="18" customHeight="1">
      <c r="A749" s="61">
        <f>IF(Firmalar!$B$44="","",Firmalar!$B$44)</f>
        <v/>
      </c>
      <c r="B749" s="61">
        <f>IF(Firmalar!$B$44="","",Firmalar!$I$44)</f>
        <v/>
      </c>
      <c r="C749" s="61" t="inlineStr">
        <is>
          <t>Sözleşme bitiş</t>
        </is>
      </c>
      <c r="D749" s="62">
        <f>IF(Firmalar!$B$44="","",Firmalar!$FR$44)</f>
        <v/>
      </c>
      <c r="E749" s="63">
        <f>IF(OR(A749="",D749=""),"",D749-TODAY())</f>
        <v/>
      </c>
      <c r="F749" s="64">
        <f>IF(OR(A749="",D749=""),"",IF(D749&lt;TODAY(),"Süresi geçti",IF(D749&lt;=TODAY()+30,"30 gün içinde",IF(D749&lt;=TODAY()+90,"90 gün içinde","İleride"))))</f>
        <v/>
      </c>
      <c r="G749" s="64">
        <f>IF(A749="","",Firmalar!$H$44)</f>
        <v/>
      </c>
    </row>
    <row r="750" ht="18" customHeight="1">
      <c r="A750" s="61">
        <f>IF(Firmalar!$B$44="","",Firmalar!$B$44)</f>
        <v/>
      </c>
      <c r="B750" s="61">
        <f>IF(Firmalar!$B$44="","",Firmalar!$I$44)</f>
        <v/>
      </c>
      <c r="C750" s="61" t="inlineStr">
        <is>
          <t>Sıfır Atık bitiş</t>
        </is>
      </c>
      <c r="D750" s="62">
        <f>IF(Firmalar!$B$44="","",Firmalar!$FS$44)</f>
        <v/>
      </c>
      <c r="E750" s="63">
        <f>IF(OR(A750="",D750=""),"",D750-TODAY())</f>
        <v/>
      </c>
      <c r="F750" s="64">
        <f>IF(OR(A750="",D750=""),"",IF(D750&lt;TODAY(),"Süresi geçti",IF(D750&lt;=TODAY()+30,"30 gün içinde",IF(D750&lt;=TODAY()+90,"90 gün içinde","İleride"))))</f>
        <v/>
      </c>
      <c r="G750" s="64">
        <f>IF(A750="","",Firmalar!$H$44)</f>
        <v/>
      </c>
    </row>
    <row r="751" ht="18" customHeight="1">
      <c r="A751" s="61">
        <f>IF(Firmalar!$B$44="","",Firmalar!$B$44)</f>
        <v/>
      </c>
      <c r="B751" s="61">
        <f>IF(Firmalar!$B$44="","",Firmalar!$I$44)</f>
        <v/>
      </c>
      <c r="C751" s="61" t="inlineStr">
        <is>
          <t>Atık planı bitiş</t>
        </is>
      </c>
      <c r="D751" s="62">
        <f>IF(Firmalar!$B$44="","",Firmalar!$FT$44)</f>
        <v/>
      </c>
      <c r="E751" s="63">
        <f>IF(OR(A751="",D751=""),"",D751-TODAY())</f>
        <v/>
      </c>
      <c r="F751" s="64">
        <f>IF(OR(A751="",D751=""),"",IF(D751&lt;TODAY(),"Süresi geçti",IF(D751&lt;=TODAY()+30,"30 gün içinde",IF(D751&lt;=TODAY()+90,"90 gün içinde","İleride"))))</f>
        <v/>
      </c>
      <c r="G751" s="64">
        <f>IF(A751="","",Firmalar!$H$44)</f>
        <v/>
      </c>
    </row>
    <row r="752" ht="18" customHeight="1">
      <c r="A752" s="61">
        <f>IF(Firmalar!$B$44="","",Firmalar!$B$44)</f>
        <v/>
      </c>
      <c r="B752" s="61">
        <f>IF(Firmalar!$B$44="","",Firmalar!$I$44)</f>
        <v/>
      </c>
      <c r="C752" s="61" t="inlineStr">
        <is>
          <t>Emisyon teyidi</t>
        </is>
      </c>
      <c r="D752" s="62">
        <f>IF(Firmalar!$B$44="","",Firmalar!$FU$44)</f>
        <v/>
      </c>
      <c r="E752" s="63">
        <f>IF(OR(A752="",D752=""),"",D752-TODAY())</f>
        <v/>
      </c>
      <c r="F752" s="64">
        <f>IF(OR(A752="",D752=""),"",IF(D752&lt;TODAY(),"Süresi geçti",IF(D752&lt;=TODAY()+30,"30 gün içinde",IF(D752&lt;=TODAY()+90,"90 gün içinde","İleride"))))</f>
        <v/>
      </c>
      <c r="G752" s="64">
        <f>IF(A752="","",Firmalar!$H$44)</f>
        <v/>
      </c>
    </row>
    <row r="753" ht="18" customHeight="1">
      <c r="A753" s="61">
        <f>IF(Firmalar!$B$44="","",Firmalar!$B$44)</f>
        <v/>
      </c>
      <c r="B753" s="61">
        <f>IF(Firmalar!$B$44="","",Firmalar!$I$44)</f>
        <v/>
      </c>
      <c r="C753" s="61" t="inlineStr">
        <is>
          <t>Emisyon ölçümü</t>
        </is>
      </c>
      <c r="D753" s="62">
        <f>IF(Firmalar!$B$44="","",Firmalar!$FV$44)</f>
        <v/>
      </c>
      <c r="E753" s="63">
        <f>IF(OR(A753="",D753=""),"",D753-TODAY())</f>
        <v/>
      </c>
      <c r="F753" s="64">
        <f>IF(OR(A753="",D753=""),"",IF(D753&lt;TODAY(),"Süresi geçti",IF(D753&lt;=TODAY()+30,"30 gün içinde",IF(D753&lt;=TODAY()+90,"90 gün içinde","İleride"))))</f>
        <v/>
      </c>
      <c r="G753" s="64">
        <f>IF(A753="","",Firmalar!$H$44)</f>
        <v/>
      </c>
    </row>
    <row r="754" ht="18" customHeight="1">
      <c r="A754" s="61">
        <f>IF(Firmalar!$B$44="","",Firmalar!$B$44)</f>
        <v/>
      </c>
      <c r="B754" s="61">
        <f>IF(Firmalar!$B$44="","",Firmalar!$I$44)</f>
        <v/>
      </c>
      <c r="C754" s="61" t="inlineStr">
        <is>
          <t>İç tetkik</t>
        </is>
      </c>
      <c r="D754" s="62">
        <f>IF(Firmalar!$B$44="","",Firmalar!$FW$44)</f>
        <v/>
      </c>
      <c r="E754" s="63">
        <f>IF(OR(A754="",D754=""),"",D754-TODAY())</f>
        <v/>
      </c>
      <c r="F754" s="64">
        <f>IF(OR(A754="",D754=""),"",IF(D754&lt;TODAY(),"Süresi geçti",IF(D754&lt;=TODAY()+30,"30 gün içinde",IF(D754&lt;=TODAY()+90,"90 gün içinde","İleride"))))</f>
        <v/>
      </c>
      <c r="G754" s="64">
        <f>IF(A754="","",Firmalar!$H$44)</f>
        <v/>
      </c>
    </row>
    <row r="755" ht="18" customHeight="1">
      <c r="A755" s="61">
        <f>IF(Firmalar!$B$44="","",Firmalar!$B$44)</f>
        <v/>
      </c>
      <c r="B755" s="61">
        <f>IF(Firmalar!$B$44="","",Firmalar!$I$44)</f>
        <v/>
      </c>
      <c r="C755" s="61" t="inlineStr">
        <is>
          <t>İç tetkik planı</t>
        </is>
      </c>
      <c r="D755" s="62">
        <f>IF(Firmalar!$B$44="","",Firmalar!$FX$44)</f>
        <v/>
      </c>
      <c r="E755" s="63">
        <f>IF(OR(A755="",D755=""),"",D755-TODAY())</f>
        <v/>
      </c>
      <c r="F755" s="64">
        <f>IF(OR(A755="",D755=""),"",IF(D755&lt;TODAY(),"Süresi geçti",IF(D755&lt;=TODAY()+30,"30 gün içinde",IF(D755&lt;=TODAY()+90,"90 gün içinde","İleride"))))</f>
        <v/>
      </c>
      <c r="G755" s="64">
        <f>IF(A755="","",Firmalar!$H$44)</f>
        <v/>
      </c>
    </row>
    <row r="756" ht="18" customHeight="1">
      <c r="A756" s="61">
        <f>IF(Firmalar!$B$44="","",Firmalar!$B$44)</f>
        <v/>
      </c>
      <c r="B756" s="61">
        <f>IF(Firmalar!$B$44="","",Firmalar!$I$44)</f>
        <v/>
      </c>
      <c r="C756" s="61" t="inlineStr">
        <is>
          <t>Çevre eğitimi</t>
        </is>
      </c>
      <c r="D756" s="62">
        <f>IF(Firmalar!$B$44="","",Firmalar!$FY$44)</f>
        <v/>
      </c>
      <c r="E756" s="63">
        <f>IF(OR(A756="",D756=""),"",D756-TODAY())</f>
        <v/>
      </c>
      <c r="F756" s="64">
        <f>IF(OR(A756="",D756=""),"",IF(D756&lt;TODAY(),"Süresi geçti",IF(D756&lt;=TODAY()+30,"30 gün içinde",IF(D756&lt;=TODAY()+90,"90 gün içinde","İleride"))))</f>
        <v/>
      </c>
      <c r="G756" s="64">
        <f>IF(A756="","",Firmalar!$H$44)</f>
        <v/>
      </c>
    </row>
    <row r="757" ht="18" customHeight="1">
      <c r="A757" s="61">
        <f>IF(Firmalar!$B$44="","",Firmalar!$B$44)</f>
        <v/>
      </c>
      <c r="B757" s="61">
        <f>IF(Firmalar!$B$44="","",Firmalar!$I$44)</f>
        <v/>
      </c>
      <c r="C757" s="61" t="inlineStr">
        <is>
          <t>Eğitim planı</t>
        </is>
      </c>
      <c r="D757" s="62">
        <f>IF(Firmalar!$B$44="","",Firmalar!$FZ$44)</f>
        <v/>
      </c>
      <c r="E757" s="63">
        <f>IF(OR(A757="",D757=""),"",D757-TODAY())</f>
        <v/>
      </c>
      <c r="F757" s="64">
        <f>IF(OR(A757="",D757=""),"",IF(D757&lt;TODAY(),"Süresi geçti",IF(D757&lt;=TODAY()+30,"30 gün içinde",IF(D757&lt;=TODAY()+90,"90 gün içinde","İleride"))))</f>
        <v/>
      </c>
      <c r="G757" s="64">
        <f>IF(A757="","",Firmalar!$H$44)</f>
        <v/>
      </c>
    </row>
    <row r="758" ht="18" customHeight="1">
      <c r="A758" s="61">
        <f>IF(Firmalar!$B$44="","",Firmalar!$B$44)</f>
        <v/>
      </c>
      <c r="B758" s="61">
        <f>IF(Firmalar!$B$44="","",Firmalar!$I$44)</f>
        <v/>
      </c>
      <c r="C758" s="61" t="inlineStr">
        <is>
          <t>Kanal belgesi bitiş</t>
        </is>
      </c>
      <c r="D758" s="62">
        <f>IF(Firmalar!$B$44="","",Firmalar!$GA$44)</f>
        <v/>
      </c>
      <c r="E758" s="63">
        <f>IF(OR(A758="",D758=""),"",D758-TODAY())</f>
        <v/>
      </c>
      <c r="F758" s="64">
        <f>IF(OR(A758="",D758=""),"",IF(D758&lt;TODAY(),"Süresi geçti",IF(D758&lt;=TODAY()+30,"30 gün içinde",IF(D758&lt;=TODAY()+90,"90 gün içinde","İleride"))))</f>
        <v/>
      </c>
      <c r="G758" s="64">
        <f>IF(A758="","",Firmalar!$H$44)</f>
        <v/>
      </c>
    </row>
    <row r="759" ht="18" customHeight="1">
      <c r="A759" s="61">
        <f>IF(Firmalar!$B$44="","",Firmalar!$B$44)</f>
        <v/>
      </c>
      <c r="B759" s="61">
        <f>IF(Firmalar!$B$44="","",Firmalar!$I$44)</f>
        <v/>
      </c>
      <c r="C759" s="61" t="inlineStr">
        <is>
          <t>Deşarj izni bitiş</t>
        </is>
      </c>
      <c r="D759" s="62">
        <f>IF(Firmalar!$B$44="","",Firmalar!$GB$44)</f>
        <v/>
      </c>
      <c r="E759" s="63">
        <f>IF(OR(A759="",D759=""),"",D759-TODAY())</f>
        <v/>
      </c>
      <c r="F759" s="64">
        <f>IF(OR(A759="",D759=""),"",IF(D759&lt;TODAY(),"Süresi geçti",IF(D759&lt;=TODAY()+30,"30 gün içinde",IF(D759&lt;=TODAY()+90,"90 gün içinde","İleride"))))</f>
        <v/>
      </c>
      <c r="G759" s="64">
        <f>IF(A759="","",Firmalar!$H$44)</f>
        <v/>
      </c>
    </row>
    <row r="760" ht="18" customHeight="1">
      <c r="A760" s="61">
        <f>IF(Firmalar!$B$44="","",Firmalar!$B$44)</f>
        <v/>
      </c>
      <c r="B760" s="61">
        <f>IF(Firmalar!$B$44="","",Firmalar!$I$44)</f>
        <v/>
      </c>
      <c r="C760" s="61" t="inlineStr">
        <is>
          <t>Atıksu analizi</t>
        </is>
      </c>
      <c r="D760" s="62">
        <f>IF(Firmalar!$B$44="","",Firmalar!$GC$44)</f>
        <v/>
      </c>
      <c r="E760" s="63">
        <f>IF(OR(A760="",D760=""),"",D760-TODAY())</f>
        <v/>
      </c>
      <c r="F760" s="64">
        <f>IF(OR(A760="",D760=""),"",IF(D760&lt;TODAY(),"Süresi geçti",IF(D760&lt;=TODAY()+30,"30 gün içinde",IF(D760&lt;=TODAY()+90,"90 gün içinde","İleride"))))</f>
        <v/>
      </c>
      <c r="G760" s="64">
        <f>IF(A760="","",Firmalar!$H$44)</f>
        <v/>
      </c>
    </row>
    <row r="761" ht="18" customHeight="1">
      <c r="A761" s="61">
        <f>IF(Firmalar!$B$44="","",Firmalar!$B$44)</f>
        <v/>
      </c>
      <c r="B761" s="61">
        <f>IF(Firmalar!$B$44="","",Firmalar!$I$44)</f>
        <v/>
      </c>
      <c r="C761" s="61" t="inlineStr">
        <is>
          <t>Saha ziyareti</t>
        </is>
      </c>
      <c r="D761" s="62">
        <f>IF(Firmalar!$B$44="","",Firmalar!$GD$44)</f>
        <v/>
      </c>
      <c r="E761" s="63">
        <f>IF(OR(A761="",D761=""),"",D761-TODAY())</f>
        <v/>
      </c>
      <c r="F761" s="64">
        <f>IF(OR(A761="",D761=""),"",IF(D761&lt;TODAY(),"Süresi geçti",IF(D761&lt;=TODAY()+30,"30 gün içinde",IF(D761&lt;=TODAY()+90,"90 gün içinde","İleride"))))</f>
        <v/>
      </c>
      <c r="G761" s="64">
        <f>IF(A761="","",Firmalar!$H$44)</f>
        <v/>
      </c>
    </row>
    <row r="762" ht="18" customHeight="1">
      <c r="A762" s="61">
        <f>IF(Firmalar!$B$44="","",Firmalar!$B$44)</f>
        <v/>
      </c>
      <c r="B762" s="61">
        <f>IF(Firmalar!$B$44="","",Firmalar!$I$44)</f>
        <v/>
      </c>
      <c r="C762" s="61" t="inlineStr">
        <is>
          <t>Resmî yazı cevabı</t>
        </is>
      </c>
      <c r="D762" s="62">
        <f>IF(Firmalar!$B$44="","",Firmalar!$GE$44)</f>
        <v/>
      </c>
      <c r="E762" s="63">
        <f>IF(OR(A762="",D762=""),"",D762-TODAY())</f>
        <v/>
      </c>
      <c r="F762" s="64">
        <f>IF(OR(A762="",D762=""),"",IF(D762&lt;TODAY(),"Süresi geçti",IF(D762&lt;=TODAY()+30,"30 gün içinde",IF(D762&lt;=TODAY()+90,"90 gün içinde","İleride"))))</f>
        <v/>
      </c>
      <c r="G762" s="64">
        <f>IF(A762="","",Firmalar!$H$44)</f>
        <v/>
      </c>
    </row>
    <row r="763" ht="18" customHeight="1">
      <c r="A763" s="61">
        <f>IF(Firmalar!$B$44="","",Firmalar!$B$44)</f>
        <v/>
      </c>
      <c r="B763" s="61">
        <f>IF(Firmalar!$B$44="","",Firmalar!$I$44)</f>
        <v/>
      </c>
      <c r="C763" s="61" t="inlineStr">
        <is>
          <t>Uygunsuzluk kapanışı</t>
        </is>
      </c>
      <c r="D763" s="62">
        <f>IF(Firmalar!$B$44="","",Firmalar!$GF$44)</f>
        <v/>
      </c>
      <c r="E763" s="63">
        <f>IF(OR(A763="",D763=""),"",D763-TODAY())</f>
        <v/>
      </c>
      <c r="F763" s="64">
        <f>IF(OR(A763="",D763=""),"",IF(D763&lt;TODAY(),"Süresi geçti",IF(D763&lt;=TODAY()+30,"30 gün içinde",IF(D763&lt;=TODAY()+90,"90 gün içinde","İleride"))))</f>
        <v/>
      </c>
      <c r="G763" s="64">
        <f>IF(A763="","",Firmalar!$H$44)</f>
        <v/>
      </c>
    </row>
    <row r="764" ht="18" customHeight="1">
      <c r="A764" s="61">
        <f>IF(Firmalar!$B$44="","",Firmalar!$B$44)</f>
        <v/>
      </c>
      <c r="B764" s="61">
        <f>IF(Firmalar!$B$44="","",Firmalar!$I$44)</f>
        <v/>
      </c>
      <c r="C764" s="61" t="inlineStr">
        <is>
          <t>Öncelikli işlem</t>
        </is>
      </c>
      <c r="D764" s="62">
        <f>IF(Firmalar!$B$44="","",Firmalar!$GG$44)</f>
        <v/>
      </c>
      <c r="E764" s="63">
        <f>IF(OR(A764="",D764=""),"",D764-TODAY())</f>
        <v/>
      </c>
      <c r="F764" s="64">
        <f>IF(OR(A764="",D764=""),"",IF(D764&lt;TODAY(),"Süresi geçti",IF(D764&lt;=TODAY()+30,"30 gün içinde",IF(D764&lt;=TODAY()+90,"90 gün içinde","İleride"))))</f>
        <v/>
      </c>
      <c r="G764" s="64">
        <f>IF(A764="","",Firmalar!$H$44)</f>
        <v/>
      </c>
    </row>
  </sheetData>
  <autoFilter ref="A4:G764"/>
  <mergeCells count="1">
    <mergeCell ref="A1:G1"/>
  </mergeCells>
  <conditionalFormatting sqref="F5:F764">
    <cfRule type="expression" priority="1" dxfId="0">
      <formula>F5="Süresi geçti"</formula>
    </cfRule>
    <cfRule type="expression" priority="2" dxfId="1">
      <formula>F5="30 gün içinde"</formula>
    </cfRule>
    <cfRule type="expression" priority="3" dxfId="5">
      <formula>F5="90 gün içinde"</formula>
    </cfRule>
    <cfRule type="expression" priority="4" dxfId="3">
      <formula>F5="İleride"</formula>
    </cfRule>
  </conditionalFormatting>
  <conditionalFormatting sqref="E5:E764">
    <cfRule type="expression" priority="5" dxfId="0">
      <formula>AND(ISNUMBER(E5),E5&lt;0)</formula>
    </cfRule>
  </conditionalFormatting>
  <conditionalFormatting sqref="D5:D764">
    <cfRule type="expression" priority="6" dxfId="0">
      <formula>AND(ISNUMBER(D5),D5&lt;TODAY())</formula>
    </cfRule>
  </conditionalFormatting>
  <pageMargins left="0.5" right="0.5" top="0.5" bottom="0.5" header="0.5" footer="0.5"/>
  <pageSetup orientation="landscape" paperSize="9" fitToHeight="0" fitToWidth="1"/>
  <headerFooter>
    <oddHeader/>
    <oddFooter>&amp;LTarihe göre sıralayabilir, Durum sütunundan süre geçenleri süze bilirsiniz.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D4E89"/>
    <outlinePr summaryBelow="1" summaryRight="1"/>
    <pageSetUpPr fitToPage="1"/>
  </sheetPr>
  <dimension ref="A1:B23"/>
  <sheetViews>
    <sheetView showGridLines="0" workbookViewId="0">
      <selection activeCell="A1" sqref="A1"/>
    </sheetView>
  </sheetViews>
  <sheetFormatPr baseColWidth="8" defaultRowHeight="15"/>
  <cols>
    <col width="120" customWidth="1" min="1" max="1"/>
    <col width="18" customWidth="1" min="2" max="2"/>
  </cols>
  <sheetData>
    <row r="1" ht="36" customHeight="1">
      <c r="A1" s="65" t="inlineStr">
        <is>
          <t>ÇEVRE DANIŞMANLIĞI TAKİP DOSYASI</t>
        </is>
      </c>
      <c r="B1" s="2" t="n"/>
    </row>
    <row r="2" ht="22" customHeight="1">
      <c r="A2" s="66" t="inlineStr">
        <is>
          <t>Her satır bir firmadır. Ayrıntı, ihtiyaç oldukça açılır.</t>
        </is>
      </c>
    </row>
    <row r="3" ht="10" customHeight="1">
      <c r="A3" s="67" t="inlineStr"/>
    </row>
    <row r="4" ht="22" customHeight="1">
      <c r="A4" s="67" t="inlineStr">
        <is>
          <t>1. Firmalar sayfasında firma adını yazın. İl, yetkili, telefon ve dosya durumunu seçin.</t>
        </is>
      </c>
    </row>
    <row r="5" ht="22" customHeight="1">
      <c r="A5" s="67" t="inlineStr">
        <is>
          <t>2. Soldaki sütunlar günlük işinizdir: aktif uyarı, en yakın iş, kalan gün, öncelik.</t>
        </is>
      </c>
    </row>
    <row r="6" ht="22" customHeight="1">
      <c r="A6" s="67" t="inlineStr">
        <is>
          <t>3. Sağdaki renkli dar sütunlar kapalı bölümdür. Sütun başlığının üstündeki + işaretine basın: Kimlik, Belge, İzin, Hava, Su, Atık, Diğer, Denetim, Takvim.</t>
        </is>
      </c>
    </row>
    <row r="7" ht="22" customHeight="1">
      <c r="A7" s="67" t="inlineStr">
        <is>
          <t>4. Seçimli hücrelerde oka basınca liste açılır. Listede yoksa kendi cümlenizi de yazabilirsiniz.</t>
        </is>
      </c>
    </row>
    <row r="8" ht="22" customHeight="1">
      <c r="A8" s="67" t="inlineStr">
        <is>
          <t>5. Tarihleri 15.03.2027 biçiminde yazın. Vergi, MERSİS, ÇKN ve telefon metin kalır; baştaki sıfır silinmez.</t>
        </is>
      </c>
    </row>
    <row r="9" ht="22" customHeight="1">
      <c r="A9" s="67" t="inlineStr">
        <is>
          <t>6. Mavi yazılar otomatiktir. Üzerine yazmayın. Kaynak tarihi silinirse kendisi yeniden hesaplar.</t>
        </is>
      </c>
    </row>
    <row r="10" ht="22" customHeight="1">
      <c r="A10" s="67" t="inlineStr">
        <is>
          <t>7. Yaklaşan işler sayfası bütün son tarihleri alt alta dizer. Durum sütunundan Süresi geçti veya 30 gün içinde seçin.</t>
        </is>
      </c>
    </row>
    <row r="11" ht="22" customHeight="1">
      <c r="A11" s="67" t="inlineStr">
        <is>
          <t>8. Yeni firma için en alttaki boş satırı kullanın. O da dolunca satırın tamamını kopyalayıp alta yapıştırın.</t>
        </is>
      </c>
    </row>
    <row r="12" ht="10" customHeight="1">
      <c r="A12" s="67" t="inlineStr"/>
    </row>
    <row r="13" ht="22" customHeight="1">
      <c r="A13" s="68" t="inlineStr">
        <is>
          <t>OTOMATİK SÜRELER</t>
        </is>
      </c>
    </row>
    <row r="14" ht="22" customHeight="1">
      <c r="A14" s="67" t="inlineStr">
        <is>
          <t>Sözleşme bitişi: 60 gün kala</t>
        </is>
      </c>
    </row>
    <row r="15" ht="22" customHeight="1">
      <c r="A15" s="67" t="inlineStr">
        <is>
          <t>İç tetkik ve çevre eğitimi: son tarihe 1 yıl, uyarı 1 ay önce</t>
        </is>
      </c>
    </row>
    <row r="16" ht="22" customHeight="1">
      <c r="A16" s="67" t="inlineStr">
        <is>
          <t>Sıfır Atık belgesi: belge tarihine 5 yıl, uyarı 3 ay önce</t>
        </is>
      </c>
    </row>
    <row r="17" ht="22" customHeight="1">
      <c r="A17" s="67" t="inlineStr">
        <is>
          <t>Atık yönetim planı: onay tarihine 3 yıl, uyarı 3 ay önce</t>
        </is>
      </c>
    </row>
    <row r="18" ht="22" customHeight="1">
      <c r="A18" s="67" t="inlineStr">
        <is>
          <t>Emisyon teyidi: son ölçüme 2 yıl, uyarı 45 gün önce</t>
        </is>
      </c>
    </row>
    <row r="19" ht="22" customHeight="1">
      <c r="A19" s="67" t="inlineStr">
        <is>
          <t>Çevre izni: bitişten 180 gün önce başvuru uyarısı</t>
        </is>
      </c>
    </row>
    <row r="20" ht="10" customHeight="1">
      <c r="A20" s="67" t="inlineStr"/>
    </row>
    <row r="21" ht="22" customHeight="1">
      <c r="A21" s="68" t="inlineStr">
        <is>
          <t>RENKLER</t>
        </is>
      </c>
    </row>
    <row r="22" ht="22" customHeight="1">
      <c r="A22" s="67" t="inlineStr">
        <is>
          <t>Yeşil: takipte veya uygun. Sarı: yaklaşıyor ya da kontrol gerekli. Kırmızı: yok, süresi geçmiş veya acil. Gri: tarih henüz yok.</t>
        </is>
      </c>
    </row>
    <row r="23" ht="22" customHeight="1">
      <c r="A23" s="67" t="inlineStr">
        <is>
          <t>Birden fazla baca varsa Hava bölümündeki ölçüm notuna şöyle yazın: 1: 12.01.2026   2: 03.06.2026</t>
        </is>
      </c>
    </row>
  </sheetData>
  <mergeCells count="1">
    <mergeCell ref="A1:B1"/>
  </mergeCells>
  <pageMargins left="0.6" right="0.6" top="0.6" bottom="0.5" header="0.5" footer="0.5"/>
  <pageSetup orientation="portrait" paperSize="9" fitToHeight="1" fitToWidth="1"/>
  <headerFooter>
    <oddHeader/>
    <oddFooter>&amp;LFirmalar sayfası veri girişi, Yaklaşan işler sayfası günlük listedir.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</cols>
  <sheetData>
    <row r="1">
      <c r="A1" s="69" t="inlineStr">
        <is>
          <t>VarYok</t>
        </is>
      </c>
      <c r="B1" s="69" t="inlineStr">
        <is>
          <t>Guncel</t>
        </is>
      </c>
      <c r="C1" s="69" t="inlineStr">
        <is>
          <t>Uygun</t>
        </is>
      </c>
      <c r="D1" s="69" t="inlineStr">
        <is>
          <t>Mevcut</t>
        </is>
      </c>
      <c r="E1" s="69" t="inlineStr">
        <is>
          <t>Mulkiyet</t>
        </is>
      </c>
      <c r="F1" s="69" t="inlineStr">
        <is>
          <t>CedVar</t>
        </is>
      </c>
      <c r="G1" s="69" t="inlineStr">
        <is>
          <t>CedTur</t>
        </is>
      </c>
      <c r="H1" s="69" t="inlineStr">
        <is>
          <t>CedEk</t>
        </is>
      </c>
      <c r="I1" s="69" t="inlineStr">
        <is>
          <t>Taahhut</t>
        </is>
      </c>
      <c r="J1" s="69" t="inlineStr">
        <is>
          <t>Degisim</t>
        </is>
      </c>
      <c r="K1" s="69" t="inlineStr">
        <is>
          <t>IzinGorus</t>
        </is>
      </c>
      <c r="L1" s="69" t="inlineStr">
        <is>
          <t>IzinEk</t>
        </is>
      </c>
      <c r="M1" s="69" t="inlineStr">
        <is>
          <t>IzinVar</t>
        </is>
      </c>
      <c r="N1" s="69" t="inlineStr">
        <is>
          <t>Yenileme</t>
        </is>
      </c>
      <c r="O1" s="69" t="inlineStr">
        <is>
          <t>Gfb</t>
        </is>
      </c>
      <c r="P1" s="69" t="inlineStr">
        <is>
          <t>Rapor</t>
        </is>
      </c>
      <c r="Q1" s="69" t="inlineStr">
        <is>
          <t>SifirKontrol</t>
        </is>
      </c>
      <c r="R1" s="69" t="inlineStr">
        <is>
          <t>Beyan</t>
        </is>
      </c>
      <c r="S1" s="69" t="inlineStr">
        <is>
          <t>Gerekli</t>
        </is>
      </c>
      <c r="T1" s="69" t="inlineStr">
        <is>
          <t>Gekap</t>
        </is>
      </c>
      <c r="U1" s="69" t="inlineStr">
        <is>
          <t>BekraKapsam</t>
        </is>
      </c>
      <c r="V1" s="69" t="inlineStr">
        <is>
          <t>BekraSeviye</t>
        </is>
      </c>
      <c r="W1" s="69" t="inlineStr">
        <is>
          <t>BekraGuncel</t>
        </is>
      </c>
      <c r="X1" s="69" t="inlineStr">
        <is>
          <t>HatAyri</t>
        </is>
      </c>
      <c r="Y1" s="69" t="inlineStr">
        <is>
          <t>Kapanis</t>
        </is>
      </c>
      <c r="Z1" s="69" t="inlineStr">
        <is>
          <t>Tutanak</t>
        </is>
      </c>
      <c r="AA1" s="69" t="inlineStr">
        <is>
          <t>Oncelik</t>
        </is>
      </c>
      <c r="AB1" s="69" t="inlineStr">
        <is>
          <t>Dosya</t>
        </is>
      </c>
      <c r="AC1" s="69" t="inlineStr">
        <is>
          <t>Siklik</t>
        </is>
      </c>
      <c r="AD1" s="69" t="inlineStr">
        <is>
          <t>Iller</t>
        </is>
      </c>
    </row>
    <row r="2">
      <c r="A2" t="inlineStr">
        <is>
          <t>Var</t>
        </is>
      </c>
      <c r="B2" t="inlineStr">
        <is>
          <t>Güncel</t>
        </is>
      </c>
      <c r="C2" t="inlineStr">
        <is>
          <t>Uygun</t>
        </is>
      </c>
      <c r="D2" t="inlineStr">
        <is>
          <t>Mevcut</t>
        </is>
      </c>
      <c r="E2" t="inlineStr">
        <is>
          <t>Kira</t>
        </is>
      </c>
      <c r="F2" t="inlineStr">
        <is>
          <t>Var</t>
        </is>
      </c>
      <c r="G2" t="inlineStr">
        <is>
          <t>ÇED gerekli değildir</t>
        </is>
      </c>
      <c r="H2" t="inlineStr">
        <is>
          <t>Ek-1</t>
        </is>
      </c>
      <c r="I2" t="inlineStr">
        <is>
          <t>Uygun</t>
        </is>
      </c>
      <c r="J2" t="inlineStr">
        <is>
          <t>Var</t>
        </is>
      </c>
      <c r="K2" t="inlineStr">
        <is>
          <t>Var</t>
        </is>
      </c>
      <c r="L2" t="inlineStr">
        <is>
          <t>Ek-1</t>
        </is>
      </c>
      <c r="M2" t="inlineStr">
        <is>
          <t>Var</t>
        </is>
      </c>
      <c r="N2" t="inlineStr">
        <is>
          <t>Takipte</t>
        </is>
      </c>
      <c r="O2" t="inlineStr">
        <is>
          <t>Var</t>
        </is>
      </c>
      <c r="P2" t="inlineStr">
        <is>
          <t>Uygun</t>
        </is>
      </c>
      <c r="Q2" t="inlineStr">
        <is>
          <t>Geçerli</t>
        </is>
      </c>
      <c r="R2" t="inlineStr">
        <is>
          <t>Yapıldı</t>
        </is>
      </c>
      <c r="S2" t="inlineStr">
        <is>
          <t>Gerekli</t>
        </is>
      </c>
      <c r="T2" t="inlineStr">
        <is>
          <t>Var</t>
        </is>
      </c>
      <c r="U2" t="inlineStr">
        <is>
          <t>Kapsam içi</t>
        </is>
      </c>
      <c r="V2" t="inlineStr">
        <is>
          <t>Alt seviye</t>
        </is>
      </c>
      <c r="W2" t="inlineStr">
        <is>
          <t>Güncel</t>
        </is>
      </c>
      <c r="X2" t="inlineStr">
        <is>
          <t>Ayrı</t>
        </is>
      </c>
      <c r="Y2" t="inlineStr">
        <is>
          <t>Kapatıldı</t>
        </is>
      </c>
      <c r="Z2" t="inlineStr">
        <is>
          <t>Tamam</t>
        </is>
      </c>
      <c r="AA2" t="inlineStr">
        <is>
          <t>Acil</t>
        </is>
      </c>
      <c r="AB2" t="inlineStr">
        <is>
          <t>Aktif</t>
        </is>
      </c>
      <c r="AC2" t="inlineStr">
        <is>
          <t>Aylık</t>
        </is>
      </c>
      <c r="AD2" t="inlineStr">
        <is>
          <t>Adana</t>
        </is>
      </c>
    </row>
    <row r="3">
      <c r="A3" t="inlineStr">
        <is>
          <t>Yok</t>
        </is>
      </c>
      <c r="B3" t="inlineStr">
        <is>
          <t>Güncel değil</t>
        </is>
      </c>
      <c r="C3" t="inlineStr">
        <is>
          <t>Uygun değil</t>
        </is>
      </c>
      <c r="D3" t="inlineStr">
        <is>
          <t>Yok</t>
        </is>
      </c>
      <c r="E3" t="inlineStr">
        <is>
          <t>Tapu</t>
        </is>
      </c>
      <c r="F3" t="inlineStr">
        <is>
          <t>Yok</t>
        </is>
      </c>
      <c r="G3" t="inlineStr">
        <is>
          <t>ÇED olumlu</t>
        </is>
      </c>
      <c r="H3" t="inlineStr">
        <is>
          <t>Ek-2</t>
        </is>
      </c>
      <c r="I3" t="inlineStr">
        <is>
          <t>Uygun değil</t>
        </is>
      </c>
      <c r="J3" t="inlineStr">
        <is>
          <t>Yok</t>
        </is>
      </c>
      <c r="K3" t="inlineStr">
        <is>
          <t>Yok</t>
        </is>
      </c>
      <c r="L3" t="inlineStr">
        <is>
          <t>Ek-2</t>
        </is>
      </c>
      <c r="M3" t="inlineStr">
        <is>
          <t>Yok</t>
        </is>
      </c>
      <c r="N3" t="inlineStr">
        <is>
          <t>Başvuru yapıldı</t>
        </is>
      </c>
      <c r="O3" t="inlineStr">
        <is>
          <t>Yok</t>
        </is>
      </c>
      <c r="P3" t="inlineStr">
        <is>
          <t>Uygun değil</t>
        </is>
      </c>
      <c r="Q3" t="inlineStr">
        <is>
          <t>Yenileme zamanı</t>
        </is>
      </c>
      <c r="R3" t="inlineStr">
        <is>
          <t>Yapılmadı</t>
        </is>
      </c>
      <c r="S3" t="inlineStr">
        <is>
          <t>Gerekli değil</t>
        </is>
      </c>
      <c r="T3" t="inlineStr">
        <is>
          <t>Yok</t>
        </is>
      </c>
      <c r="U3" t="inlineStr">
        <is>
          <t>Kapsam dışı</t>
        </is>
      </c>
      <c r="V3" t="inlineStr">
        <is>
          <t>Üst seviye</t>
        </is>
      </c>
      <c r="W3" t="inlineStr">
        <is>
          <t>Güncel değil</t>
        </is>
      </c>
      <c r="X3" t="inlineStr">
        <is>
          <t>Ayrı değil</t>
        </is>
      </c>
      <c r="Y3" t="inlineStr">
        <is>
          <t>Açık</t>
        </is>
      </c>
      <c r="Z3" t="inlineStr">
        <is>
          <t>Eksik</t>
        </is>
      </c>
      <c r="AA3" t="inlineStr">
        <is>
          <t>Yüksek</t>
        </is>
      </c>
      <c r="AB3" t="inlineStr">
        <is>
          <t>Askıda</t>
        </is>
      </c>
      <c r="AC3" t="inlineStr">
        <is>
          <t>2 ayda bir</t>
        </is>
      </c>
      <c r="AD3" t="inlineStr">
        <is>
          <t>Adıyaman</t>
        </is>
      </c>
    </row>
    <row r="4">
      <c r="B4" t="inlineStr">
        <is>
          <t>Yok</t>
        </is>
      </c>
      <c r="C4" t="inlineStr">
        <is>
          <t>Kısmen</t>
        </is>
      </c>
      <c r="D4" t="inlineStr">
        <is>
          <t>Süresi dolmuş</t>
        </is>
      </c>
      <c r="E4" t="inlineStr">
        <is>
          <t>Diğer</t>
        </is>
      </c>
      <c r="F4" t="inlineStr">
        <is>
          <t>Süreçte</t>
        </is>
      </c>
      <c r="G4" t="inlineStr">
        <is>
          <t>ÇED olumsuz</t>
        </is>
      </c>
      <c r="H4" t="inlineStr">
        <is>
          <t>Kapsam dışı</t>
        </is>
      </c>
      <c r="I4" t="inlineStr">
        <is>
          <t>Kısmen</t>
        </is>
      </c>
      <c r="J4" t="inlineStr">
        <is>
          <t>Planlanıyor</t>
        </is>
      </c>
      <c r="K4" t="inlineStr">
        <is>
          <t>Süreçte</t>
        </is>
      </c>
      <c r="L4" t="inlineStr">
        <is>
          <t>Muaf</t>
        </is>
      </c>
      <c r="M4" t="inlineStr">
        <is>
          <t>Başvuru yapıldı</t>
        </is>
      </c>
      <c r="N4" t="inlineStr">
        <is>
          <t>Yenilendi</t>
        </is>
      </c>
      <c r="O4" t="inlineStr">
        <is>
          <t>Gerekmiyor</t>
        </is>
      </c>
      <c r="P4" t="inlineStr">
        <is>
          <t>Bekleniyor</t>
        </is>
      </c>
      <c r="Q4" t="inlineStr">
        <is>
          <t>Süresi doldu</t>
        </is>
      </c>
      <c r="R4" t="inlineStr">
        <is>
          <t>Kapsam dışı</t>
        </is>
      </c>
      <c r="S4" t="inlineStr">
        <is>
          <t>Değerlendirilmedi</t>
        </is>
      </c>
      <c r="T4" t="inlineStr">
        <is>
          <t>Değerlendirilmedi</t>
        </is>
      </c>
      <c r="U4" t="inlineStr">
        <is>
          <t>Değerlendirilmedi</t>
        </is>
      </c>
      <c r="V4" t="inlineStr">
        <is>
          <t>Kapsam dışı</t>
        </is>
      </c>
      <c r="W4" t="inlineStr">
        <is>
          <t>Bildirim yok</t>
        </is>
      </c>
      <c r="X4" t="inlineStr">
        <is>
          <t>Kontrol edilmedi</t>
        </is>
      </c>
      <c r="Y4" t="inlineStr">
        <is>
          <t>Kısmen</t>
        </is>
      </c>
      <c r="Z4" t="inlineStr">
        <is>
          <t>Yok</t>
        </is>
      </c>
      <c r="AA4" t="inlineStr">
        <is>
          <t>Normal</t>
        </is>
      </c>
      <c r="AB4" t="inlineStr">
        <is>
          <t>Sözleşme bitti</t>
        </is>
      </c>
      <c r="AC4" t="inlineStr">
        <is>
          <t>3 ayda bir</t>
        </is>
      </c>
      <c r="AD4" t="inlineStr">
        <is>
          <t>Afyonkarahisar</t>
        </is>
      </c>
    </row>
    <row r="5">
      <c r="G5" t="inlineStr">
        <is>
          <t>Süreçte</t>
        </is>
      </c>
      <c r="I5" t="inlineStr">
        <is>
          <t>Değerlendirilmedi</t>
        </is>
      </c>
      <c r="K5" t="inlineStr">
        <is>
          <t>Muaf</t>
        </is>
      </c>
      <c r="L5" t="inlineStr">
        <is>
          <t>Kapsam dışı</t>
        </is>
      </c>
      <c r="M5" t="inlineStr">
        <is>
          <t>Muaf</t>
        </is>
      </c>
      <c r="N5" t="inlineStr">
        <is>
          <t>Süresi geçti</t>
        </is>
      </c>
      <c r="P5" t="inlineStr">
        <is>
          <t>Yok</t>
        </is>
      </c>
      <c r="Q5" t="inlineStr">
        <is>
          <t>Yok</t>
        </is>
      </c>
      <c r="AA5" t="inlineStr">
        <is>
          <t>Düşük</t>
        </is>
      </c>
      <c r="AB5" t="inlineStr">
        <is>
          <t>Arşiv</t>
        </is>
      </c>
      <c r="AC5" t="inlineStr">
        <is>
          <t>6 ayda bir</t>
        </is>
      </c>
      <c r="AD5" t="inlineStr">
        <is>
          <t>Ağrı</t>
        </is>
      </c>
    </row>
    <row r="6">
      <c r="N6" t="inlineStr">
        <is>
          <t>Gerekmiyor</t>
        </is>
      </c>
      <c r="AC6" t="inlineStr">
        <is>
          <t>Yıllık</t>
        </is>
      </c>
      <c r="AD6" t="inlineStr">
        <is>
          <t>Aksaray</t>
        </is>
      </c>
    </row>
    <row r="7">
      <c r="AD7" t="inlineStr">
        <is>
          <t>Amasya</t>
        </is>
      </c>
    </row>
    <row r="8">
      <c r="AD8" t="inlineStr">
        <is>
          <t>Ankara</t>
        </is>
      </c>
    </row>
    <row r="9">
      <c r="AD9" t="inlineStr">
        <is>
          <t>Antalya</t>
        </is>
      </c>
    </row>
    <row r="10">
      <c r="AD10" t="inlineStr">
        <is>
          <t>Ardahan</t>
        </is>
      </c>
    </row>
    <row r="11">
      <c r="AD11" t="inlineStr">
        <is>
          <t>Artvin</t>
        </is>
      </c>
    </row>
    <row r="12">
      <c r="AD12" t="inlineStr">
        <is>
          <t>Aydın</t>
        </is>
      </c>
    </row>
    <row r="13">
      <c r="AD13" t="inlineStr">
        <is>
          <t>Balıkesir</t>
        </is>
      </c>
    </row>
    <row r="14">
      <c r="AD14" t="inlineStr">
        <is>
          <t>Bartın</t>
        </is>
      </c>
    </row>
    <row r="15">
      <c r="AD15" t="inlineStr">
        <is>
          <t>Batman</t>
        </is>
      </c>
    </row>
    <row r="16">
      <c r="AD16" t="inlineStr">
        <is>
          <t>Bayburt</t>
        </is>
      </c>
    </row>
    <row r="17">
      <c r="AD17" t="inlineStr">
        <is>
          <t>Bilecik</t>
        </is>
      </c>
    </row>
    <row r="18">
      <c r="AD18" t="inlineStr">
        <is>
          <t>Bingöl</t>
        </is>
      </c>
    </row>
    <row r="19">
      <c r="AD19" t="inlineStr">
        <is>
          <t>Bitlis</t>
        </is>
      </c>
    </row>
    <row r="20">
      <c r="AD20" t="inlineStr">
        <is>
          <t>Bolu</t>
        </is>
      </c>
    </row>
    <row r="21">
      <c r="AD21" t="inlineStr">
        <is>
          <t>Burdur</t>
        </is>
      </c>
    </row>
    <row r="22">
      <c r="AD22" t="inlineStr">
        <is>
          <t>Bursa</t>
        </is>
      </c>
    </row>
    <row r="23">
      <c r="AD23" t="inlineStr">
        <is>
          <t>Çanakkale</t>
        </is>
      </c>
    </row>
    <row r="24">
      <c r="AD24" t="inlineStr">
        <is>
          <t>Çankırı</t>
        </is>
      </c>
    </row>
    <row r="25">
      <c r="AD25" t="inlineStr">
        <is>
          <t>Çorum</t>
        </is>
      </c>
    </row>
    <row r="26">
      <c r="AD26" t="inlineStr">
        <is>
          <t>Denizli</t>
        </is>
      </c>
    </row>
    <row r="27">
      <c r="AD27" t="inlineStr">
        <is>
          <t>Diyarbakır</t>
        </is>
      </c>
    </row>
    <row r="28">
      <c r="AD28" t="inlineStr">
        <is>
          <t>Düzce</t>
        </is>
      </c>
    </row>
    <row r="29">
      <c r="AD29" t="inlineStr">
        <is>
          <t>Edirne</t>
        </is>
      </c>
    </row>
    <row r="30">
      <c r="AD30" t="inlineStr">
        <is>
          <t>Elazığ</t>
        </is>
      </c>
    </row>
    <row r="31">
      <c r="AD31" t="inlineStr">
        <is>
          <t>Erzincan</t>
        </is>
      </c>
    </row>
    <row r="32">
      <c r="AD32" t="inlineStr">
        <is>
          <t>Erzurum</t>
        </is>
      </c>
    </row>
    <row r="33">
      <c r="AD33" t="inlineStr">
        <is>
          <t>Eskişehir</t>
        </is>
      </c>
    </row>
    <row r="34">
      <c r="AD34" t="inlineStr">
        <is>
          <t>Gaziantep</t>
        </is>
      </c>
    </row>
    <row r="35">
      <c r="AD35" t="inlineStr">
        <is>
          <t>Giresun</t>
        </is>
      </c>
    </row>
    <row r="36">
      <c r="AD36" t="inlineStr">
        <is>
          <t>Gümüşhane</t>
        </is>
      </c>
    </row>
    <row r="37">
      <c r="AD37" t="inlineStr">
        <is>
          <t>Hakkari</t>
        </is>
      </c>
    </row>
    <row r="38">
      <c r="AD38" t="inlineStr">
        <is>
          <t>Hatay</t>
        </is>
      </c>
    </row>
    <row r="39">
      <c r="AD39" t="inlineStr">
        <is>
          <t>Iğdır</t>
        </is>
      </c>
    </row>
    <row r="40">
      <c r="AD40" t="inlineStr">
        <is>
          <t>Isparta</t>
        </is>
      </c>
    </row>
    <row r="41">
      <c r="AD41" t="inlineStr">
        <is>
          <t>İstanbul</t>
        </is>
      </c>
    </row>
    <row r="42">
      <c r="AD42" t="inlineStr">
        <is>
          <t>İzmir</t>
        </is>
      </c>
    </row>
    <row r="43">
      <c r="AD43" t="inlineStr">
        <is>
          <t>Kahramanmaraş</t>
        </is>
      </c>
    </row>
    <row r="44">
      <c r="AD44" t="inlineStr">
        <is>
          <t>Karabük</t>
        </is>
      </c>
    </row>
    <row r="45">
      <c r="AD45" t="inlineStr">
        <is>
          <t>Karaman</t>
        </is>
      </c>
    </row>
    <row r="46">
      <c r="AD46" t="inlineStr">
        <is>
          <t>Kars</t>
        </is>
      </c>
    </row>
    <row r="47">
      <c r="AD47" t="inlineStr">
        <is>
          <t>Kastamonu</t>
        </is>
      </c>
    </row>
    <row r="48">
      <c r="AD48" t="inlineStr">
        <is>
          <t>Kayseri</t>
        </is>
      </c>
    </row>
    <row r="49">
      <c r="AD49" t="inlineStr">
        <is>
          <t>Kırıkkale</t>
        </is>
      </c>
    </row>
    <row r="50">
      <c r="AD50" t="inlineStr">
        <is>
          <t>Kırklareli</t>
        </is>
      </c>
    </row>
    <row r="51">
      <c r="AD51" t="inlineStr">
        <is>
          <t>Kırşehir</t>
        </is>
      </c>
    </row>
    <row r="52">
      <c r="AD52" t="inlineStr">
        <is>
          <t>Kilis</t>
        </is>
      </c>
    </row>
    <row r="53">
      <c r="AD53" t="inlineStr">
        <is>
          <t>Kocaeli</t>
        </is>
      </c>
    </row>
    <row r="54">
      <c r="AD54" t="inlineStr">
        <is>
          <t>Konya</t>
        </is>
      </c>
    </row>
    <row r="55">
      <c r="AD55" t="inlineStr">
        <is>
          <t>Kütahya</t>
        </is>
      </c>
    </row>
    <row r="56">
      <c r="AD56" t="inlineStr">
        <is>
          <t>Malatya</t>
        </is>
      </c>
    </row>
    <row r="57">
      <c r="AD57" t="inlineStr">
        <is>
          <t>Manisa</t>
        </is>
      </c>
    </row>
    <row r="58">
      <c r="AD58" t="inlineStr">
        <is>
          <t>Mardin</t>
        </is>
      </c>
    </row>
    <row r="59">
      <c r="AD59" t="inlineStr">
        <is>
          <t>Mersin</t>
        </is>
      </c>
    </row>
    <row r="60">
      <c r="AD60" t="inlineStr">
        <is>
          <t>Muğla</t>
        </is>
      </c>
    </row>
    <row r="61">
      <c r="AD61" t="inlineStr">
        <is>
          <t>Muş</t>
        </is>
      </c>
    </row>
    <row r="62">
      <c r="AD62" t="inlineStr">
        <is>
          <t>Nevşehir</t>
        </is>
      </c>
    </row>
    <row r="63">
      <c r="AD63" t="inlineStr">
        <is>
          <t>Niğde</t>
        </is>
      </c>
    </row>
    <row r="64">
      <c r="AD64" t="inlineStr">
        <is>
          <t>Ordu</t>
        </is>
      </c>
    </row>
    <row r="65">
      <c r="AD65" t="inlineStr">
        <is>
          <t>Osmaniye</t>
        </is>
      </c>
    </row>
    <row r="66">
      <c r="AD66" t="inlineStr">
        <is>
          <t>Rize</t>
        </is>
      </c>
    </row>
    <row r="67">
      <c r="AD67" t="inlineStr">
        <is>
          <t>Sakarya</t>
        </is>
      </c>
    </row>
    <row r="68">
      <c r="AD68" t="inlineStr">
        <is>
          <t>Samsun</t>
        </is>
      </c>
    </row>
    <row r="69">
      <c r="AD69" t="inlineStr">
        <is>
          <t>Siirt</t>
        </is>
      </c>
    </row>
    <row r="70">
      <c r="AD70" t="inlineStr">
        <is>
          <t>Sinop</t>
        </is>
      </c>
    </row>
    <row r="71">
      <c r="AD71" t="inlineStr">
        <is>
          <t>Sivas</t>
        </is>
      </c>
    </row>
    <row r="72">
      <c r="AD72" t="inlineStr">
        <is>
          <t>Şanlıurfa</t>
        </is>
      </c>
    </row>
    <row r="73">
      <c r="AD73" t="inlineStr">
        <is>
          <t>Şırnak</t>
        </is>
      </c>
    </row>
    <row r="74">
      <c r="AD74" t="inlineStr">
        <is>
          <t>Tekirdağ</t>
        </is>
      </c>
    </row>
    <row r="75">
      <c r="AD75" t="inlineStr">
        <is>
          <t>Tokat</t>
        </is>
      </c>
    </row>
    <row r="76">
      <c r="AD76" t="inlineStr">
        <is>
          <t>Trabzon</t>
        </is>
      </c>
    </row>
    <row r="77">
      <c r="AD77" t="inlineStr">
        <is>
          <t>Tunceli</t>
        </is>
      </c>
    </row>
    <row r="78">
      <c r="AD78" t="inlineStr">
        <is>
          <t>Uşak</t>
        </is>
      </c>
    </row>
    <row r="79">
      <c r="AD79" t="inlineStr">
        <is>
          <t>Van</t>
        </is>
      </c>
    </row>
    <row r="80">
      <c r="AD80" t="inlineStr">
        <is>
          <t>Yalova</t>
        </is>
      </c>
    </row>
    <row r="81">
      <c r="AD81" t="inlineStr">
        <is>
          <t>Yozgat</t>
        </is>
      </c>
    </row>
    <row r="82">
      <c r="AD82" t="inlineStr">
        <is>
          <t>Zonguldak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Çevre danışmanlığı firma paneli</dc:title>
  <dc:subject>Firma satırlı takip, açılır ayrıntı ve yaklaşan işler</dc:subject>
  <dcterms:created xsi:type="dcterms:W3CDTF">2026-10-28T10:59:00Z</dcterms:created>
  <dcterms:modified xsi:type="dcterms:W3CDTF">2026-10-28T10:59:00Z</dcterms:modified>
</cp:coreProperties>
</file>
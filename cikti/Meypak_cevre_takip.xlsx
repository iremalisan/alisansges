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zet" sheetId="1" state="visible" r:id="rId1"/>
    <sheet xmlns:r="http://schemas.openxmlformats.org/officeDocument/2006/relationships" name="Tesis" sheetId="2" state="visible" r:id="rId2"/>
    <sheet xmlns:r="http://schemas.openxmlformats.org/officeDocument/2006/relationships" name="Yapilacaklar" sheetId="3" state="visible" r:id="rId3"/>
    <sheet xmlns:r="http://schemas.openxmlformats.org/officeDocument/2006/relationships" name="BelgeTakvimi" sheetId="4" state="visible" r:id="rId4"/>
    <sheet xmlns:r="http://schemas.openxmlformats.org/officeDocument/2006/relationships" name="AylikKontrol" sheetId="5" state="visible" r:id="rId5"/>
    <sheet xmlns:r="http://schemas.openxmlformats.org/officeDocument/2006/relationships" name="IcIzleme" sheetId="6" state="visible" r:id="rId6"/>
    <sheet xmlns:r="http://schemas.openxmlformats.org/officeDocument/2006/relationships" name="GunlukIsletme" sheetId="7" state="visible" r:id="rId7"/>
    <sheet xmlns:r="http://schemas.openxmlformats.org/officeDocument/2006/relationships" name="SuDengesi" sheetId="8" state="visible" r:id="rId8"/>
    <sheet xmlns:r="http://schemas.openxmlformats.org/officeDocument/2006/relationships" name="AtikTakip" sheetId="9" state="visible" r:id="rId9"/>
    <sheet xmlns:r="http://schemas.openxmlformats.org/officeDocument/2006/relationships" name="Uygunsuzluk" sheetId="10" state="visible" r:id="rId10"/>
    <sheet xmlns:r="http://schemas.openxmlformats.org/officeDocument/2006/relationships" name="Notlar" sheetId="11" state="visible" r:id="rId11"/>
    <sheet xmlns:r="http://schemas.openxmlformats.org/officeDocument/2006/relationships" name="_Listeler" sheetId="12" state="hidden" r:id="rId12"/>
  </sheets>
  <definedNames>
    <definedName name="_xlnm._FilterDatabase" localSheetId="0" hidden="1">'Ozet'!$A$4:$C$4</definedName>
    <definedName name="_xlnm.Print_Titles" localSheetId="0">'Ozet'!$1:$2</definedName>
    <definedName name="_xlnm._FilterDatabase" localSheetId="1" hidden="1">'Tesis'!$A$4:$D$49</definedName>
    <definedName name="_xlnm.Print_Titles" localSheetId="1">'Tesis'!$1:$4</definedName>
    <definedName name="_xlnm._FilterDatabase" localSheetId="2" hidden="1">'Yapilacaklar'!$A$4:$L$26</definedName>
    <definedName name="_xlnm.Print_Titles" localSheetId="2">'Yapilacaklar'!$1:$4</definedName>
    <definedName name="_xlnm._FilterDatabase" localSheetId="3" hidden="1">'BelgeTakvimi'!$A$4:$J$26</definedName>
    <definedName name="_xlnm.Print_Titles" localSheetId="3">'BelgeTakvimi'!$1:$4</definedName>
    <definedName name="_xlnm._FilterDatabase" localSheetId="4" hidden="1">'AylikKontrol'!$A$4:$O$41</definedName>
    <definedName name="_xlnm.Print_Titles" localSheetId="4">'AylikKontrol'!$1:$4,'AylikKontrol'!$A:$B</definedName>
    <definedName name="_xlnm._FilterDatabase" localSheetId="5" hidden="1">'IcIzleme'!$A$4:$W$17</definedName>
    <definedName name="_xlnm.Print_Titles" localSheetId="5">'IcIzleme'!$1:$4</definedName>
    <definedName name="_xlnm._FilterDatabase" localSheetId="6" hidden="1">'GunlukIsletme'!$A$4:$P$124</definedName>
    <definedName name="_xlnm.Print_Titles" localSheetId="6">'GunlukIsletme'!$1:$4</definedName>
    <definedName name="_xlnm.Print_Titles" localSheetId="7">'SuDengesi'!$1:$4</definedName>
    <definedName name="_xlnm.Print_Titles" localSheetId="8">'AtikTakip'!$1:$4</definedName>
    <definedName name="_xlnm._FilterDatabase" localSheetId="9" hidden="1">'Uygunsuzluk'!$A$4:$J$40</definedName>
    <definedName name="_xlnm.Print_Titles" localSheetId="9">'Uygunsuzluk'!$1:$4</definedName>
    <definedName name="_xlnm.Print_Titles" localSheetId="10">'Notlar'!$1:$2</definedName>
  </definedNames>
  <calcPr calcId="124519" calcMode="auto" fullCalcOnLoad="1"/>
</workbook>
</file>

<file path=xl/styles.xml><?xml version="1.0" encoding="utf-8"?>
<styleSheet xmlns="http://schemas.openxmlformats.org/spreadsheetml/2006/main">
  <numFmts count="2">
    <numFmt numFmtId="164" formatCode="yyyy-mm-dd"/>
    <numFmt numFmtId="165" formatCode="DD.MM.YYYY"/>
  </numFmts>
  <fonts count="11">
    <font>
      <name val="Calibri"/>
      <family val="2"/>
      <color theme="1"/>
      <sz val="11"/>
      <scheme val="minor"/>
    </font>
    <font>
      <name val="Calibri"/>
      <b val="1"/>
      <color rgb="001B4F72"/>
      <sz val="16"/>
    </font>
    <font>
      <name val="Calibri"/>
      <i val="1"/>
      <color rgb="005D6D7E"/>
      <sz val="9"/>
    </font>
    <font>
      <name val="Calibri"/>
      <b val="1"/>
      <color rgb="00FFFFFF"/>
      <sz val="12"/>
    </font>
    <font>
      <name val="Calibri"/>
      <b val="1"/>
      <color rgb="002C3E50"/>
      <sz val="10"/>
    </font>
    <font>
      <name val="Calibri"/>
      <color rgb="001C2833"/>
      <sz val="10"/>
    </font>
    <font>
      <name val="Calibri"/>
      <b val="1"/>
      <color rgb="001B4F72"/>
      <sz val="14"/>
    </font>
    <font>
      <name val="Calibri"/>
      <b val="1"/>
      <color rgb="00FFFFFF"/>
      <sz val="11"/>
    </font>
    <font>
      <name val="Calibri"/>
      <b val="1"/>
      <color rgb="00922B21"/>
      <sz val="10"/>
    </font>
    <font>
      <name val="Calibri"/>
      <b val="1"/>
      <sz val="10"/>
    </font>
    <font>
      <name val="Calibri"/>
      <b val="1"/>
      <color rgb="001B4F72"/>
      <sz val="12"/>
    </font>
  </fonts>
  <fills count="18">
    <fill>
      <patternFill/>
    </fill>
    <fill>
      <patternFill patternType="gray125"/>
    </fill>
    <fill>
      <patternFill patternType="solid">
        <fgColor rgb="001B4F72"/>
      </patternFill>
    </fill>
    <fill>
      <patternFill patternType="solid">
        <fgColor rgb="00EAF2F8"/>
      </patternFill>
    </fill>
    <fill>
      <patternFill patternType="solid">
        <fgColor rgb="000E6655"/>
      </patternFill>
    </fill>
    <fill>
      <patternFill patternType="solid">
        <fgColor rgb="00E8F6F3"/>
      </patternFill>
    </fill>
    <fill>
      <patternFill patternType="solid">
        <fgColor rgb="00922B21"/>
      </patternFill>
    </fill>
    <fill>
      <patternFill patternType="solid">
        <fgColor rgb="00FDEDEC"/>
      </patternFill>
    </fill>
    <fill>
      <patternFill patternType="solid">
        <fgColor rgb="00FFFFFF"/>
      </patternFill>
    </fill>
    <fill>
      <patternFill patternType="solid">
        <fgColor rgb="00F4F6F7"/>
      </patternFill>
    </fill>
    <fill>
      <patternFill patternType="solid">
        <fgColor rgb="00FEF9E7"/>
      </patternFill>
    </fill>
    <fill>
      <patternFill patternType="solid">
        <fgColor rgb="00FDEBD0"/>
      </patternFill>
    </fill>
    <fill>
      <patternFill patternType="solid">
        <fgColor rgb="007D6608"/>
      </patternFill>
    </fill>
    <fill>
      <patternFill patternType="solid">
        <fgColor rgb="001A5276"/>
      </patternFill>
    </fill>
    <fill>
      <patternFill patternType="solid">
        <fgColor rgb="00F5EEF8"/>
      </patternFill>
    </fill>
    <fill>
      <patternFill patternType="solid">
        <fgColor rgb="00EBF5FB"/>
      </patternFill>
    </fill>
    <fill>
      <patternFill patternType="solid">
        <fgColor rgb="00117A65"/>
      </patternFill>
    </fill>
    <fill>
      <patternFill patternType="solid">
        <fgColor rgb="006C3483"/>
      </patternFill>
    </fill>
  </fills>
  <borders count="2">
    <border>
      <left/>
      <right/>
      <top/>
      <bottom/>
      <diagonal/>
    </border>
    <border>
      <left style="thin">
        <color rgb="00D5D8DC"/>
      </left>
      <right style="thin">
        <color rgb="00D5D8DC"/>
      </right>
      <top style="thin">
        <color rgb="00D5D8DC"/>
      </top>
      <bottom style="thin">
        <color rgb="00D5D8DC"/>
      </bottom>
    </border>
  </borders>
  <cellStyleXfs count="1">
    <xf numFmtId="0" fontId="0" fillId="0" borderId="0"/>
  </cellStyleXfs>
  <cellXfs count="58">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3" borderId="1" applyAlignment="1" pivotButton="0" quotePrefix="0" xfId="0">
      <alignment horizontal="left" vertical="center" wrapText="1"/>
    </xf>
    <xf numFmtId="0" fontId="5" fillId="0" borderId="1" applyAlignment="1" pivotButton="0" quotePrefix="0" xfId="0">
      <alignment horizontal="left" vertical="center" wrapText="1"/>
    </xf>
    <xf numFmtId="0" fontId="0" fillId="0" borderId="1" pivotButton="0" quotePrefix="0" xfId="0"/>
    <xf numFmtId="0" fontId="3" fillId="4" borderId="0" pivotButton="0" quotePrefix="0" xfId="0"/>
    <xf numFmtId="0" fontId="0" fillId="4" borderId="0" pivotButton="0" quotePrefix="0" xfId="0"/>
    <xf numFmtId="0" fontId="4" fillId="5" borderId="1" applyAlignment="1" pivotButton="0" quotePrefix="0" xfId="0">
      <alignment horizontal="left" vertical="center" wrapText="1"/>
    </xf>
    <xf numFmtId="0" fontId="6" fillId="0" borderId="1" applyAlignment="1" pivotButton="0" quotePrefix="0" xfId="0">
      <alignment horizontal="left" vertical="center"/>
    </xf>
    <xf numFmtId="0" fontId="3" fillId="6" borderId="0" pivotButton="0" quotePrefix="0" xfId="0"/>
    <xf numFmtId="0" fontId="0" fillId="6" borderId="0" pivotButton="0" quotePrefix="0" xfId="0"/>
    <xf numFmtId="0" fontId="5" fillId="7" borderId="1" applyAlignment="1" pivotButton="0" quotePrefix="0" xfId="0">
      <alignment horizontal="left" vertical="center" wrapText="1"/>
    </xf>
    <xf numFmtId="0" fontId="2" fillId="0" borderId="0" applyAlignment="1" pivotButton="0" quotePrefix="0" xfId="0">
      <alignment horizontal="left" vertical="center" wrapText="1"/>
    </xf>
    <xf numFmtId="0" fontId="7" fillId="2"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9" borderId="1" applyAlignment="1" pivotButton="0" quotePrefix="0" xfId="0">
      <alignment horizontal="left" vertical="center" wrapText="1"/>
    </xf>
    <xf numFmtId="0" fontId="5" fillId="10" borderId="1" applyAlignment="1" pivotButton="0" quotePrefix="0" xfId="0">
      <alignment horizontal="left" vertical="center" wrapText="1"/>
    </xf>
    <xf numFmtId="0" fontId="7" fillId="6" borderId="1" applyAlignment="1" pivotButton="0" quotePrefix="0" xfId="0">
      <alignment horizontal="center" vertical="center" wrapText="1"/>
    </xf>
    <xf numFmtId="165" fontId="5" fillId="7" borderId="1" applyAlignment="1" pivotButton="0" quotePrefix="0" xfId="0">
      <alignment horizontal="left" vertical="center" wrapText="1"/>
    </xf>
    <xf numFmtId="0" fontId="5" fillId="11" borderId="1" applyAlignment="1" pivotButton="0" quotePrefix="0" xfId="0">
      <alignment horizontal="left" vertical="center" wrapText="1"/>
    </xf>
    <xf numFmtId="165" fontId="5" fillId="11" borderId="1" applyAlignment="1" pivotButton="0" quotePrefix="0" xfId="0">
      <alignment horizontal="left" vertical="center" wrapText="1"/>
    </xf>
    <xf numFmtId="165" fontId="5" fillId="10" borderId="1" applyAlignment="1" pivotButton="0" quotePrefix="0" xfId="0">
      <alignment horizontal="left" vertical="center" wrapText="1"/>
    </xf>
    <xf numFmtId="0" fontId="5" fillId="3" borderId="1" applyAlignment="1" pivotButton="0" quotePrefix="0" xfId="0">
      <alignment horizontal="left" vertical="center" wrapText="1"/>
    </xf>
    <xf numFmtId="165" fontId="5" fillId="3" borderId="1" applyAlignment="1" pivotButton="0" quotePrefix="0" xfId="0">
      <alignment horizontal="left" vertical="center" wrapText="1"/>
    </xf>
    <xf numFmtId="0" fontId="7" fillId="12" borderId="1" applyAlignment="1" pivotButton="0" quotePrefix="0" xfId="0">
      <alignment horizontal="center" vertical="center" wrapText="1"/>
    </xf>
    <xf numFmtId="165" fontId="5" fillId="9" borderId="1" applyAlignment="1" pivotButton="0" quotePrefix="0" xfId="0">
      <alignment horizontal="left" vertical="center" wrapText="1"/>
    </xf>
    <xf numFmtId="1" fontId="5" fillId="9" borderId="1" applyAlignment="1" pivotButton="0" quotePrefix="0" xfId="0">
      <alignment horizontal="center" vertical="center" wrapText="1"/>
    </xf>
    <xf numFmtId="0" fontId="5" fillId="9" borderId="1" applyAlignment="1" pivotButton="0" quotePrefix="0" xfId="0">
      <alignment horizontal="center" vertical="center" wrapText="1"/>
    </xf>
    <xf numFmtId="165" fontId="5" fillId="8" borderId="1" applyAlignment="1" pivotButton="0" quotePrefix="0" xfId="0">
      <alignment horizontal="left" vertical="center" wrapText="1"/>
    </xf>
    <xf numFmtId="1" fontId="5" fillId="8" borderId="1" applyAlignment="1" pivotButton="0" quotePrefix="0" xfId="0">
      <alignment horizontal="center" vertical="center" wrapText="1"/>
    </xf>
    <xf numFmtId="0" fontId="5" fillId="8" borderId="1" applyAlignment="1" pivotButton="0" quotePrefix="0" xfId="0">
      <alignment horizontal="center" vertical="center" wrapText="1"/>
    </xf>
    <xf numFmtId="0" fontId="8" fillId="7" borderId="1" applyAlignment="1" pivotButton="0" quotePrefix="0" xfId="0">
      <alignment horizontal="left" vertical="center" wrapText="1"/>
    </xf>
    <xf numFmtId="0" fontId="7" fillId="13"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4" fillId="10" borderId="1" applyAlignment="1" pivotButton="0" quotePrefix="0" xfId="0">
      <alignment horizontal="center" vertical="center" wrapText="1"/>
    </xf>
    <xf numFmtId="0" fontId="4" fillId="14" borderId="1" applyAlignment="1" pivotButton="0" quotePrefix="0" xfId="0">
      <alignment horizontal="center" vertical="center" wrapText="1"/>
    </xf>
    <xf numFmtId="0" fontId="5" fillId="14" borderId="1" applyAlignment="1" pivotButton="0" quotePrefix="0" xfId="0">
      <alignment horizontal="left" vertical="center" wrapText="1"/>
    </xf>
    <xf numFmtId="0" fontId="4" fillId="11" borderId="1" applyAlignment="1" pivotButton="0" quotePrefix="0" xfId="0">
      <alignment horizontal="center" vertical="center" wrapText="1"/>
    </xf>
    <xf numFmtId="0" fontId="4" fillId="15" borderId="1" applyAlignment="1" pivotButton="0" quotePrefix="0" xfId="0">
      <alignment horizontal="center" vertical="center" wrapText="1"/>
    </xf>
    <xf numFmtId="0" fontId="5" fillId="15" borderId="1" applyAlignment="1" pivotButton="0" quotePrefix="0" xfId="0">
      <alignment horizontal="left" vertical="center" wrapText="1"/>
    </xf>
    <xf numFmtId="0" fontId="4" fillId="9" borderId="1" applyAlignment="1" pivotButton="0" quotePrefix="0" xfId="0">
      <alignment horizontal="center" vertical="center" wrapText="1"/>
    </xf>
    <xf numFmtId="0" fontId="7" fillId="16" borderId="1" applyAlignment="1" pivotButton="0" quotePrefix="0" xfId="0">
      <alignment horizontal="center" vertical="center" wrapText="1"/>
    </xf>
    <xf numFmtId="0" fontId="5" fillId="3" borderId="1" applyAlignment="1" pivotButton="0" quotePrefix="0" xfId="0">
      <alignment horizontal="center" vertical="center" wrapText="1"/>
    </xf>
    <xf numFmtId="165" fontId="5" fillId="0" borderId="1" applyAlignment="1" pivotButton="0" quotePrefix="0" xfId="0">
      <alignment horizontal="left" vertical="center" wrapText="1"/>
    </xf>
    <xf numFmtId="0" fontId="9" fillId="3" borderId="1" pivotButton="0" quotePrefix="0" xfId="0"/>
    <xf numFmtId="0" fontId="0" fillId="3" borderId="1" pivotButton="0" quotePrefix="0" xfId="0"/>
    <xf numFmtId="0" fontId="7" fillId="17" borderId="1" applyAlignment="1" pivotButton="0" quotePrefix="0" xfId="0">
      <alignment horizontal="center" vertical="center" wrapText="1"/>
    </xf>
    <xf numFmtId="0" fontId="3" fillId="17" borderId="0" pivotButton="0" quotePrefix="0" xfId="0"/>
    <xf numFmtId="0" fontId="0" fillId="17" borderId="0" pivotButton="0" quotePrefix="0" xfId="0"/>
    <xf numFmtId="165" fontId="0" fillId="0" borderId="0" pivotButton="0" quotePrefix="0" xfId="0"/>
    <xf numFmtId="0" fontId="10" fillId="3" borderId="1" applyAlignment="1" pivotButton="0" quotePrefix="0" xfId="0">
      <alignment horizontal="center" vertical="center"/>
    </xf>
  </cellXfs>
  <cellStyles count="1">
    <cellStyle name="Normal" xfId="0" builtinId="0" hidden="0"/>
  </cellStyles>
  <dxfs count="10">
    <dxf>
      <font>
        <name val="Calibri"/>
        <b val="1"/>
        <color rgb="00922B21"/>
        <sz val="10"/>
      </font>
      <fill>
        <patternFill patternType="solid">
          <fgColor rgb="00F5B7B1"/>
        </patternFill>
      </fill>
    </dxf>
    <dxf>
      <font>
        <name val="Calibri"/>
        <b val="1"/>
        <color rgb="009A4D0A"/>
        <sz val="10"/>
      </font>
      <fill>
        <patternFill patternType="solid">
          <fgColor rgb="00FDEBD0"/>
        </patternFill>
      </fill>
    </dxf>
    <dxf>
      <font>
        <name val="Calibri"/>
        <b val="1"/>
        <color rgb="000E6655"/>
        <sz val="10"/>
      </font>
      <fill>
        <patternFill patternType="solid">
          <fgColor rgb="00D5F5E3"/>
        </patternFill>
      </fill>
    </dxf>
    <dxf>
      <font>
        <name val="Calibri"/>
        <b val="1"/>
        <color rgb="00922B21"/>
        <sz val="9"/>
      </font>
      <fill>
        <patternFill patternType="solid">
          <fgColor rgb="00F5B7B1"/>
        </patternFill>
      </fill>
    </dxf>
    <dxf>
      <font>
        <name val="Calibri"/>
        <color rgb="000E6655"/>
        <sz val="9"/>
      </font>
      <fill>
        <patternFill patternType="solid">
          <fgColor rgb="00D5F5E3"/>
        </patternFill>
      </fill>
    </dxf>
    <dxf>
      <fill>
        <patternFill patternType="solid">
          <fgColor rgb="00FCF3CF"/>
        </patternFill>
      </fill>
    </dxf>
    <dxf>
      <font>
        <name val="Calibri"/>
        <b val="1"/>
        <color rgb="00922B21"/>
      </font>
      <fill>
        <patternFill patternType="solid">
          <fgColor rgb="00F5B7B1"/>
        </patternFill>
      </fill>
    </dxf>
    <dxf>
      <fill>
        <patternFill patternType="solid">
          <fgColor rgb="00D5F5E3"/>
        </patternFill>
      </fill>
    </dxf>
    <dxf>
      <font>
        <name val="Calibri"/>
        <b val="1"/>
        <color rgb="000E6655"/>
      </font>
      <fill>
        <patternFill patternType="solid">
          <fgColor rgb="00D5F5E3"/>
        </patternFill>
      </fill>
    </dxf>
    <dxf>
      <fill>
        <patternFill patternType="solid">
          <fgColor rgb="00F5B7B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Çalışma notu</author>
  </authors>
  <commentList>
    <comment ref="H4" authorId="0" shapeId="0">
      <text>
        <t>2 saatlik kompozit sonucunu yazın. Limit 150 mg/L.</t>
      </text>
    </comment>
    <comment ref="K4" authorId="0" shapeId="0">
      <text>
        <t>2 saatlik kompozit. Limit 200 mg/L.</t>
      </text>
    </comment>
    <comment ref="N4" authorId="0" shapeId="0">
      <text>
        <t>pH 6 ile 9 dahil. Yüzde 20 payı uygulanmaz.</t>
      </text>
    </comment>
  </commentList>
</comments>
</file>

<file path=xl/comments/comment2.xml><?xml version="1.0" encoding="utf-8"?>
<comments xmlns="http://schemas.openxmlformats.org/spreadsheetml/2006/main">
  <authors>
    <author>Çalışma notu</author>
  </authors>
  <commentList>
    <comment ref="E4" authorId="0" shapeId="0">
      <text>
        <t>Günlük deşarj 90 m³’ü geçerse hücre kırmızı olur. Kapasite aşımı ayrıca Yapılacaklar’a işlenir.</t>
      </text>
    </comment>
    <comment ref="J4" authorId="0" shapeId="0">
      <text>
        <t>Tablo 5.9’da klor limiti yok. Yüksek serbest klor dere için risk kaydıdır.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0E6655"/>
    <outlinePr summaryBelow="1" summaryRight="1"/>
    <pageSetUpPr fitToPage="1"/>
  </sheetPr>
  <dimension ref="A1:C30"/>
  <sheetViews>
    <sheetView showGridLines="0" zoomScale="110" workbookViewId="0">
      <pane ySplit="3" topLeftCell="A4" activePane="bottomLeft" state="frozen"/>
      <selection pane="bottomLeft" activeCell="A1" sqref="A1"/>
    </sheetView>
  </sheetViews>
  <sheetFormatPr baseColWidth="8" defaultRowHeight="15"/>
  <cols>
    <col width="38" customWidth="1" min="1" max="1"/>
    <col width="62" customWidth="1" min="2" max="2"/>
    <col width="28" customWidth="1" min="3" max="3"/>
  </cols>
  <sheetData>
    <row r="1" ht="28" customHeight="1">
      <c r="A1" s="1" t="inlineStr">
        <is>
          <t>GÜNDÜZ MEY-PAK AKDENİZ ŞUBESİ  —  ÇEVRE TAKİP ÖZETİ</t>
        </is>
      </c>
    </row>
    <row r="2" ht="32" customHeight="1">
      <c r="A2" s="2" t="inlineStr">
        <is>
          <t>Hazırlanma: 30.09.2026  |  Dayanak: kimlik belgesi, proje onayı, 04.09.2026 iç tetkik, 24.09.2026 aylık faaliyet raporu  |  Bu sayfa saha ölçümü değildir.</t>
        </is>
      </c>
    </row>
    <row r="3" ht="18" customHeight="1"/>
    <row r="4" ht="18" customHeight="1">
      <c r="A4" s="3" t="inlineStr">
        <is>
          <t>TESİS</t>
        </is>
      </c>
      <c r="B4" s="4" t="n"/>
      <c r="C4" s="4" t="n"/>
    </row>
    <row r="5" ht="32" customHeight="1">
      <c r="A5" s="5" t="inlineStr">
        <is>
          <t>Unvan</t>
        </is>
      </c>
      <c r="B5" s="6" t="inlineStr">
        <is>
          <t>Gündüz Mey-Pak Gıda İnş. Taş. Oto. Pet. Ürün. Tur. Tic. Ltd. Şti. Akdeniz Şubesi</t>
        </is>
      </c>
      <c r="C5" s="7" t="n"/>
    </row>
    <row r="6" ht="32" customHeight="1">
      <c r="A6" s="5" t="inlineStr">
        <is>
          <t>Adres</t>
        </is>
      </c>
      <c r="B6" s="6" t="inlineStr">
        <is>
          <t>Kulak Mahallesi, İnönü Bulvarı No: 120 A, Akdeniz / Mersin</t>
        </is>
      </c>
      <c r="C6" s="7" t="n"/>
    </row>
    <row r="7" ht="32" customHeight="1">
      <c r="A7" s="5" t="inlineStr">
        <is>
          <t>ÇKN / Vergi</t>
        </is>
      </c>
      <c r="B7" s="6" t="inlineStr">
        <is>
          <t>3069574032  /  Kızılbey VD 4300580693</t>
        </is>
      </c>
      <c r="C7" s="7" t="n"/>
    </row>
    <row r="8" ht="32" customHeight="1">
      <c r="A8" s="5" t="inlineStr">
        <is>
          <t>Faaliyet</t>
        </is>
      </c>
      <c r="B8" s="6" t="inlineStr">
        <is>
          <t>Narenciye, sebze ve meyve yıkama, boyutlandırma, sarartma, mumlama, ambalajlama, soğuk hava depolama</t>
        </is>
      </c>
      <c r="C8" s="7" t="n"/>
    </row>
    <row r="9" ht="32" customHeight="1">
      <c r="A9" s="5" t="inlineStr">
        <is>
          <t>ÇİLY yeri</t>
        </is>
      </c>
      <c r="B9" s="6" t="inlineStr">
        <is>
          <t>Ek-1 madde 7.9  —  çevre izni konusu şu an yalnızca atıksu deşarjı</t>
        </is>
      </c>
      <c r="C9" s="7" t="n"/>
    </row>
    <row r="10" ht="32" customHeight="1">
      <c r="A10" s="5" t="inlineStr">
        <is>
          <t>AAT</t>
        </is>
      </c>
      <c r="B10" s="6" t="inlineStr">
        <is>
          <t>90 m³/gün kurulu  |  fiziksel + biyolojik (klasik aktif çamur) + klor dezenfeksiyonu  |  dengeleme havuzu</t>
        </is>
      </c>
      <c r="C10" s="7" t="n"/>
    </row>
    <row r="11" ht="32" customHeight="1">
      <c r="A11" s="5" t="inlineStr">
        <is>
          <t>Alıcı ortam</t>
        </is>
      </c>
      <c r="B11" s="6" t="inlineStr">
        <is>
          <t>Nacarlı Deresi  |  Doğu Akdeniz Havzası</t>
        </is>
      </c>
      <c r="C11" s="7" t="n"/>
    </row>
    <row r="12" ht="32" customHeight="1">
      <c r="A12" s="5" t="inlineStr">
        <is>
          <t>Deşarj standardı</t>
        </is>
      </c>
      <c r="B12" s="6" t="inlineStr">
        <is>
          <t>SKKY Tablo 5.9  —  2 saatlik kompozit: KOİ 150 mg/L, AKM 200 mg/L, pH 6-9</t>
        </is>
      </c>
      <c r="C12" s="7" t="n"/>
    </row>
    <row r="13" ht="32" customHeight="1">
      <c r="A13" s="5" t="inlineStr">
        <is>
          <t>İç izleme</t>
        </is>
      </c>
      <c r="B13" s="6" t="inlineStr">
        <is>
          <t>Fiili debi 51-200 m³/gün bandında ise iki ayda bir. Tablo 5.9’daki üç parametrenin üçü de her seferinde bakılır.</t>
        </is>
      </c>
      <c r="C13" s="7" t="n"/>
    </row>
    <row r="14" ht="32" customHeight="1">
      <c r="A14" s="5" t="inlineStr">
        <is>
          <t>Belge durumu</t>
        </is>
      </c>
      <c r="B14" s="6" t="inlineStr">
        <is>
          <t>Atıksu deşarjı konulu GFB 26.08.2027’ye kadar. Beş yıllık çevre izin çıktısı bu dosyada yok; e-İzin’den teyit edilecek.</t>
        </is>
      </c>
      <c r="C14" s="7" t="n"/>
    </row>
    <row r="15" ht="18" customHeight="1"/>
    <row r="16" ht="18" customHeight="1">
      <c r="A16" s="8" t="inlineStr">
        <is>
          <t>AÇIK İŞ VE SÜRE SAYACI   (diğer sayfalardaki durum hücrelerinden hesaplanır)</t>
        </is>
      </c>
      <c r="B16" s="9" t="n"/>
      <c r="C16" s="9" t="n"/>
    </row>
    <row r="17" ht="22" customHeight="1">
      <c r="A17" s="10" t="inlineStr">
        <is>
          <t>Kritik ve tamamlanmamış iş</t>
        </is>
      </c>
      <c r="B17" s="11">
        <f>COUNTIFS(Yapilacaklar!B5:B40,"Kritik",Yapilacaklar!I5:I40,"&lt;&gt;Tamamlandı")</f>
        <v/>
      </c>
      <c r="C17" s="7" t="n"/>
    </row>
    <row r="18" ht="22" customHeight="1">
      <c r="A18" s="10" t="inlineStr">
        <is>
          <t>Yüksek öncelik, tamamlanmamış</t>
        </is>
      </c>
      <c r="B18" s="11">
        <f>COUNTIFS(Yapilacaklar!B5:B40,"Yüksek",Yapilacaklar!I5:I40,"&lt;&gt;Tamamlandı")</f>
        <v/>
      </c>
      <c r="C18" s="7" t="n"/>
    </row>
    <row r="19" ht="22" customHeight="1">
      <c r="A19" s="10" t="inlineStr">
        <is>
          <t>Süresi geçmiş belge</t>
        </is>
      </c>
      <c r="B19" s="11">
        <f>COUNTIF(BelgeTakvimi!G5:G30,"SÜRESİ GEÇTİ")</f>
        <v/>
      </c>
      <c r="C19" s="7" t="n"/>
    </row>
    <row r="20" ht="22" customHeight="1">
      <c r="A20" s="10" t="inlineStr">
        <is>
          <t>60 gün içinde dolacak belge</t>
        </is>
      </c>
      <c r="B20" s="11">
        <f>COUNTIF(BelgeTakvimi!G5:G30,"60 GÜN İÇİNDE")</f>
        <v/>
      </c>
      <c r="C20" s="7" t="n"/>
    </row>
    <row r="21" ht="22" customHeight="1">
      <c r="A21" s="10" t="inlineStr">
        <is>
          <t>İç izlemede limiti aşan kampanya</t>
        </is>
      </c>
      <c r="B21" s="11">
        <f>COUNTIF(IcIzleme!R5:R20,"AŞIM")</f>
        <v/>
      </c>
      <c r="C21" s="7" t="n"/>
    </row>
    <row r="22" ht="18" customHeight="1"/>
    <row r="23" ht="18" customHeight="1">
      <c r="A23" s="12" t="inlineStr">
        <is>
          <t>ÖNCE BUNLAR</t>
        </is>
      </c>
      <c r="B23" s="13" t="n"/>
      <c r="C23" s="13" t="n"/>
    </row>
    <row r="24" ht="36" customHeight="1">
      <c r="A24" s="14" t="inlineStr">
        <is>
          <t>1  Yıkama, durulama ve mumlama sularının tamamı AAT’ye gidiyor mu? İç tetkik 6.1.3 ile 6.1.4 bu konuda çelişiyor. Hat yerinde yürünecek.</t>
        </is>
      </c>
      <c r="B24" s="7" t="n"/>
      <c r="C24" s="7" t="n"/>
    </row>
    <row r="25" ht="36" customHeight="1">
      <c r="A25" s="14" t="inlineStr">
        <is>
          <t>2  Eylül 2026 iç izleme alınmış deniyor; analiz raporu dosyada yok. Rapor bulunacak ya da numune hemen planlanacak. Kıyas: KOİ 150, AKM 200, pH 6-9.</t>
        </is>
      </c>
      <c r="B25" s="7" t="n"/>
      <c r="C25" s="7" t="n"/>
    </row>
    <row r="26" ht="36" customHeight="1">
      <c r="A26" s="14" t="inlineStr">
        <is>
          <t>3  Kimlik belgesinde tesis sorumlusu boş. Biyolojik arıtma ve 90 m³/gün bu tesisi B sınıfına sokar. Çevre görevlisi bu kadronun yerine geçmez.</t>
        </is>
      </c>
      <c r="B26" s="7" t="n"/>
      <c r="C26" s="7" t="n"/>
    </row>
    <row r="27" ht="36" customHeight="1">
      <c r="A27" s="14" t="inlineStr">
        <is>
          <t>4  Tehlikeli atık sözleşmesi yok, çamur 19 08 13* kodlu ve dönemde analiz yok. Sözleşme ve çamur karakterizasyonu birlikte kapatılacak.</t>
        </is>
      </c>
      <c r="B27" s="7" t="n"/>
      <c r="C27" s="7" t="n"/>
    </row>
    <row r="28" ht="36" customHeight="1">
      <c r="A28" s="14" t="inlineStr">
        <is>
          <t>5  Beş yıllık atıksu çevre izin çıktısı dosyada yok. GFB 26.08.2027’de bitiyor. e-İzin ekini indirin; ek, bu dosyadaki limiti ezer.</t>
        </is>
      </c>
      <c r="B28" s="7" t="n"/>
      <c r="C28" s="7" t="n"/>
    </row>
    <row r="29" ht="18" customHeight="1"/>
    <row r="30" ht="36" customHeight="1">
      <c r="A30" s="15" t="inlineStr">
        <is>
          <t>Sayfalar: Tesis kimliği, Yapılacaklar, Belge takvimi, Aylık kontrol, İç izleme, Günlük işletme, Su dengesi, Atık takip, Uygunsuzluk, Notlar. Durum hücrelerini listeden seçin. Tamamlanan işin kanıt dosya adını yazın. Kayıtlar beş yıl saklanır.</t>
        </is>
      </c>
    </row>
  </sheetData>
  <autoFilter ref="A4:C4"/>
  <mergeCells count="26">
    <mergeCell ref="A25:C25"/>
    <mergeCell ref="B7:C7"/>
    <mergeCell ref="A27:C27"/>
    <mergeCell ref="B18:C18"/>
    <mergeCell ref="A26:C26"/>
    <mergeCell ref="A2:C2"/>
    <mergeCell ref="B12:C12"/>
    <mergeCell ref="B21:C21"/>
    <mergeCell ref="B11:C11"/>
    <mergeCell ref="A23:C23"/>
    <mergeCell ref="B14:C14"/>
    <mergeCell ref="B17:C17"/>
    <mergeCell ref="A4:C4"/>
    <mergeCell ref="B8:C8"/>
    <mergeCell ref="B13:C13"/>
    <mergeCell ref="A28:C28"/>
    <mergeCell ref="B19:C19"/>
    <mergeCell ref="B10:C10"/>
    <mergeCell ref="A30:C30"/>
    <mergeCell ref="B9:C9"/>
    <mergeCell ref="A24:C24"/>
    <mergeCell ref="B6:C6"/>
    <mergeCell ref="A1:C1"/>
    <mergeCell ref="B5:C5"/>
    <mergeCell ref="B20:C20"/>
    <mergeCell ref="A16:C16"/>
  </mergeCells>
  <printOptions horizontalCentered="1"/>
  <pageMargins left="0.4" right="0.4" top="0.6" bottom="0.5" header="0.25" footer="0.25"/>
  <pageSetup orientation="portrait" paperSize="9" fitToHeight="0" fitToWidth="1"/>
  <headerFooter>
    <oddHeader>&amp;L&amp;RÇevre takip dosyası  |  30.09.2026</oddHeader>
    <oddFooter>&amp;LSaha ölçümü ve analiz raporu içermez. İzin eki gelince ek esastır.&amp;RSayfa &amp;P / &amp;N</oddFooter>
    <evenHeader/>
    <evenFooter/>
    <firstHeader/>
    <firstFooter/>
  </headerFooter>
</worksheet>
</file>

<file path=xl/worksheets/sheet2.xml><?xml version="1.0" encoding="utf-8"?>
<worksheet xmlns="http://schemas.openxmlformats.org/spreadsheetml/2006/main">
  <sheetPr>
    <tabColor rgb="001B4F72"/>
    <outlinePr summaryBelow="1" summaryRight="1"/>
    <pageSetUpPr fitToPage="1"/>
  </sheetPr>
  <dimension ref="A1:D49"/>
  <sheetViews>
    <sheetView showGridLines="0" zoomScale="110" workbookViewId="0">
      <pane ySplit="4" topLeftCell="A5" activePane="bottomLeft" state="frozen"/>
      <selection pane="bottomLeft" activeCell="A1" sqref="A1"/>
    </sheetView>
  </sheetViews>
  <sheetFormatPr baseColWidth="8" defaultRowHeight="15"/>
  <cols>
    <col width="34" customWidth="1" min="1" max="1"/>
    <col width="55" customWidth="1" min="2" max="2"/>
    <col width="55" customWidth="1" min="3" max="3"/>
    <col width="40" customWidth="1" min="4" max="4"/>
  </cols>
  <sheetData>
    <row r="1" ht="24" customHeight="1">
      <c r="A1" s="1" t="inlineStr">
        <is>
          <t>TESİS KİMLİĞİ VE ATIKSU PROSESİ</t>
        </is>
      </c>
    </row>
    <row r="2">
      <c r="A2" s="2" t="inlineStr">
        <is>
          <t>Kaynak belgelerin özeti. Çelişen alanlar sarıdır; asıl evrakla düzeltilmeden denetime götürülmez.</t>
        </is>
      </c>
    </row>
    <row r="4" ht="22" customHeight="1">
      <c r="A4" s="16" t="inlineStr">
        <is>
          <t>Alan</t>
        </is>
      </c>
      <c r="B4" s="16" t="inlineStr">
        <is>
          <t>Belgedeki değer</t>
        </is>
      </c>
      <c r="C4" s="16" t="inlineStr">
        <is>
          <t>Kaynak</t>
        </is>
      </c>
      <c r="D4" s="16" t="inlineStr">
        <is>
          <t>Danışman notu</t>
        </is>
      </c>
    </row>
    <row r="5" ht="48" customHeight="1">
      <c r="A5" s="17" t="inlineStr">
        <is>
          <t>Unvan</t>
        </is>
      </c>
      <c r="B5" s="17" t="inlineStr">
        <is>
          <t>Gündüz Mey-Pak Gıda İnş. Taş. Oto. Pet. Ürün. Tur. Tic. Ltd. Şti. Akdeniz Şubesi</t>
        </is>
      </c>
      <c r="C5" s="17" t="inlineStr">
        <is>
          <t>Kimlik, proje onayı, iç tetkik, aylık rapor</t>
        </is>
      </c>
      <c r="D5" s="17" t="inlineStr">
        <is>
          <t>Dört belgede unvan aynı.</t>
        </is>
      </c>
    </row>
    <row r="6" ht="48" customHeight="1">
      <c r="A6" s="18" t="inlineStr">
        <is>
          <t>Adres</t>
        </is>
      </c>
      <c r="B6" s="18" t="inlineStr">
        <is>
          <t>Kulak Mah. İnönü Bulvarı No: 120 A, Akdeniz / Mersin</t>
        </is>
      </c>
      <c r="C6" s="18" t="inlineStr">
        <is>
          <t>Kimlik belgesi</t>
        </is>
      </c>
      <c r="D6" s="18" t="inlineStr">
        <is>
          <t>Tapu 154 ada, 8 ve 9 parsel (iç tetkik).</t>
        </is>
      </c>
    </row>
    <row r="7" ht="48" customHeight="1">
      <c r="A7" s="17" t="inlineStr">
        <is>
          <t>İl / ilçe</t>
        </is>
      </c>
      <c r="B7" s="17" t="inlineStr">
        <is>
          <t>Mersin / Akdeniz</t>
        </is>
      </c>
      <c r="C7" s="17" t="inlineStr">
        <is>
          <t>Kimlik belgesi</t>
        </is>
      </c>
      <c r="D7" s="17" t="inlineStr"/>
    </row>
    <row r="8" ht="48" customHeight="1">
      <c r="A8" s="18" t="inlineStr">
        <is>
          <t>Vergi dairesi ve no</t>
        </is>
      </c>
      <c r="B8" s="18" t="inlineStr">
        <is>
          <t>Kızılbey VD / 4300580693</t>
        </is>
      </c>
      <c r="C8" s="18" t="inlineStr">
        <is>
          <t>İç tetkik</t>
        </is>
      </c>
      <c r="D8" s="18" t="inlineStr"/>
    </row>
    <row r="9" ht="48" customHeight="1">
      <c r="A9" s="17" t="inlineStr">
        <is>
          <t>Çevre kimlik no</t>
        </is>
      </c>
      <c r="B9" s="17" t="inlineStr">
        <is>
          <t>3069574032</t>
        </is>
      </c>
      <c r="C9" s="17" t="inlineStr">
        <is>
          <t>İç tetkik, GFB belge no kökü</t>
        </is>
      </c>
      <c r="D9" s="17" t="inlineStr"/>
    </row>
    <row r="10" ht="48" customHeight="1">
      <c r="A10" s="18" t="inlineStr">
        <is>
          <t>NACE</t>
        </is>
      </c>
      <c r="B10" s="18" t="inlineStr">
        <is>
          <t>46.31.03 Diğer taze meyve sebze toptan ticareti</t>
        </is>
      </c>
      <c r="C10" s="18" t="inlineStr">
        <is>
          <t>İç tetkik</t>
        </is>
      </c>
      <c r="D10" s="18" t="inlineStr">
        <is>
          <t>Fiili iş yıkama, mumlama ve paketleme. Beyanlarda faaliyet tanımı aynı kalsın.</t>
        </is>
      </c>
    </row>
    <row r="11" ht="48" customHeight="1">
      <c r="A11" s="17" t="inlineStr">
        <is>
          <t>Çalışma</t>
        </is>
      </c>
      <c r="B11" s="17" t="inlineStr">
        <is>
          <t>Sürekli, 1 vardiya</t>
        </is>
      </c>
      <c r="C11" s="17" t="inlineStr">
        <is>
          <t>İç tetkik</t>
        </is>
      </c>
      <c r="D11" s="17" t="inlineStr"/>
    </row>
    <row r="12" ht="48" customHeight="1">
      <c r="A12" s="19" t="inlineStr">
        <is>
          <t>Personel</t>
        </is>
      </c>
      <c r="B12" s="19" t="inlineStr">
        <is>
          <t>Aylık rapor: 49. İç tetkik: idari 1, mühendis 1, işçi 58, toplam 60.</t>
        </is>
      </c>
      <c r="C12" s="19" t="inlineStr">
        <is>
          <t>24.09.2026 aylık rapor ve 04.09.2026 iç tetkik</t>
        </is>
      </c>
      <c r="D12" s="19" t="inlineStr">
        <is>
          <t>Çelişki. SGK listesiyle netleştirin. Su verimliliği muafiyeti 50 kişinin altına bağlanmış.</t>
        </is>
      </c>
    </row>
    <row r="13" ht="48" customHeight="1">
      <c r="A13" s="17" t="inlineStr">
        <is>
          <t>Alan</t>
        </is>
      </c>
      <c r="B13" s="17" t="inlineStr">
        <is>
          <t>Açık 9.730 m², kapalı 8.800 m², toplam 18.530 m². Mücavir alan.</t>
        </is>
      </c>
      <c r="C13" s="17" t="inlineStr">
        <is>
          <t>İç tetkik</t>
        </is>
      </c>
      <c r="D13" s="17" t="inlineStr"/>
    </row>
    <row r="14" ht="48" customHeight="1">
      <c r="A14" s="18" t="inlineStr">
        <is>
          <t>Yıllık kapasite</t>
        </is>
      </c>
      <c r="B14" s="18" t="inlineStr">
        <is>
          <t>Ambalajlama ve dolum 1.152.000 kg/yıl. Mumlama ve sarartma 26.880.000 kg/yıl.</t>
        </is>
      </c>
      <c r="C14" s="18" t="inlineStr">
        <is>
          <t>Kapasite raporu, iç tetkik</t>
        </is>
      </c>
      <c r="D14" s="18" t="inlineStr">
        <is>
          <t>Kapasite raporu 13.03.2025 / 150437, geçerlilik 03.03.2027.</t>
        </is>
      </c>
    </row>
    <row r="15" ht="48" customHeight="1">
      <c r="A15" s="17" t="inlineStr">
        <is>
          <t>ÇED</t>
        </is>
      </c>
      <c r="B15" s="17" t="inlineStr">
        <is>
          <t>24.02.2025, E-23645791-220.03-11844865. Yıkama, boyutlandırma, sarartma, mumlama, ambalajlama, iletme ve soğuk hava depolama için ÇED kapsam dışı.</t>
        </is>
      </c>
      <c r="C15" s="17" t="inlineStr">
        <is>
          <t>İç tetkik 6.1</t>
        </is>
      </c>
      <c r="D15" s="17" t="inlineStr">
        <is>
          <t>Kapasite veya proses değişirse karar yenilenir.</t>
        </is>
      </c>
    </row>
    <row r="16" ht="48" customHeight="1">
      <c r="A16" s="18" t="inlineStr">
        <is>
          <t>ÇİLY</t>
        </is>
      </c>
      <c r="B16" s="18" t="inlineStr">
        <is>
          <t>Ek-1 liste, madde 7.9. Üretim kapasitesi 100 ton/gün üzeri bitkisel ürün işleme ve ambalajlama.</t>
        </is>
      </c>
      <c r="C16" s="18" t="inlineStr">
        <is>
          <t>Aylık rapor ve iç tetkik</t>
        </is>
      </c>
      <c r="D16" s="18" t="inlineStr">
        <is>
          <t>İzin konusu belgelerde yalnızca atıksu deşarjı.</t>
        </is>
      </c>
    </row>
    <row r="17" ht="48" customHeight="1">
      <c r="A17" s="19" t="inlineStr">
        <is>
          <t>GFB</t>
        </is>
      </c>
      <c r="B17" s="19" t="inlineStr">
        <is>
          <t>26.08.2026 tarihli 58003700-150/E.5093. Belge no 3069574032.1.1. Geçerlilik 26.08.2027. Konu: Atıksu deşarjı.</t>
        </is>
      </c>
      <c r="C17" s="19" t="inlineStr">
        <is>
          <t>Aylık rapor C.1 ve iç tetkik 6.3</t>
        </is>
      </c>
      <c r="D17" s="19" t="inlineStr">
        <is>
          <t>Beş yıllık çevre izin belgesi bu setin içinde yok.</t>
        </is>
      </c>
    </row>
    <row r="18" ht="48" customHeight="1">
      <c r="A18" s="19" t="inlineStr">
        <is>
          <t>Uygunluk yazısı</t>
        </is>
      </c>
      <c r="B18" s="19" t="inlineStr">
        <is>
          <t>07.08.2026. Aylık raporda E.944, iç tetkik sonucunda E.9446 ifadesi var. Başvuru 05.06.2026 / 700227.</t>
        </is>
      </c>
      <c r="C18" s="19" t="inlineStr">
        <is>
          <t>Aylık rapor C.2, iç tetkik sonuç</t>
        </is>
      </c>
      <c r="D18" s="19" t="inlineStr">
        <is>
          <t>Sayılar tutmuyor. İmzalı üst yazı dosyalansın, raporlardaki sayı ona çekilsin.</t>
        </is>
      </c>
    </row>
    <row r="19" ht="48" customHeight="1">
      <c r="A19" s="19" t="inlineStr">
        <is>
          <t>AAT proje onayı</t>
        </is>
      </c>
      <c r="B19" s="19" t="inlineStr">
        <is>
          <t>15.08.2025, E-27907008-100-13239842. Form belge no AAT03608. Hazırlayan: Bentos. Onay: İl Müdürü Hasan Alan.</t>
        </is>
      </c>
      <c r="C19" s="19" t="inlineStr">
        <is>
          <t>Proje onay yazısı ve Ek-1 form</t>
        </is>
      </c>
      <c r="D19" s="19" t="inlineStr">
        <is>
          <t>İç tetkik 6.5’te sayı 13239847 yazılmış. Resmi yazıdaki 13239842 esas alınsın.</t>
        </is>
      </c>
    </row>
    <row r="20" ht="48" customHeight="1">
      <c r="A20" s="19" t="inlineStr">
        <is>
          <t>AAT kimlik</t>
        </is>
      </c>
      <c r="B20" s="19" t="inlineStr">
        <is>
          <t>33.25-3069574032-344. Düzenleme ve güncelleme 10.09.2025. Üst yazı E.13621421.</t>
        </is>
      </c>
      <c r="C20" s="19" t="inlineStr">
        <is>
          <t>Kimlik belgesi</t>
        </is>
      </c>
      <c r="D20" s="19" t="inlineStr">
        <is>
          <t>Tesis sorumlusu alanları boş.</t>
        </is>
      </c>
    </row>
    <row r="21" ht="48" customHeight="1">
      <c r="A21" s="17" t="inlineStr">
        <is>
          <t>İşletmeye alma / inşaat</t>
        </is>
      </c>
      <c r="B21" s="17" t="inlineStr">
        <is>
          <t>İşletmeye alma 15.08.2025. İnşaat bitiş 01.01.2000.</t>
        </is>
      </c>
      <c r="C21" s="17" t="inlineStr">
        <is>
          <t>Kimlik belgesi</t>
        </is>
      </c>
      <c r="D21" s="17" t="inlineStr">
        <is>
          <t>Ünite, 2000 tarihli yapı ile 2025 onaylı projenin aynı olup olmadığı sahada bakılacak.</t>
        </is>
      </c>
    </row>
    <row r="22" ht="48" customHeight="1">
      <c r="A22" s="18" t="inlineStr">
        <is>
          <t>Atıksu türü</t>
        </is>
      </c>
      <c r="B22" s="18" t="inlineStr">
        <is>
          <t>Endüstriyel. Evsel hat da aynı tesiste arıtılıyor.</t>
        </is>
      </c>
      <c r="C22" s="18" t="inlineStr">
        <is>
          <t>Kimlik + aylık rapor B.1.2 ve B.1.3</t>
        </is>
      </c>
      <c r="D22" s="18" t="inlineStr">
        <is>
          <t>Birlikte arıtımda evsel debiye bakılmaz. Standart Tablo 5.9’dur. Tablo 21 uygulanmaz.</t>
        </is>
      </c>
    </row>
    <row r="23" ht="48" customHeight="1">
      <c r="A23" s="17" t="inlineStr">
        <is>
          <t>Arıtma</t>
        </is>
      </c>
      <c r="B23" s="17" t="inlineStr">
        <is>
          <t>Fiziksel, biyolojik, dezenfeksiyon. Dengeleme havuzu, klasik aktif çamur, klor ve bileşikleri.</t>
        </is>
      </c>
      <c r="C23" s="17" t="inlineStr">
        <is>
          <t>Kimlik belgesi</t>
        </is>
      </c>
      <c r="D23" s="17" t="inlineStr">
        <is>
          <t>B sınıfı tesis personel yükümlülüğü doğar.</t>
        </is>
      </c>
    </row>
    <row r="24" ht="48" customHeight="1">
      <c r="A24" s="18" t="inlineStr">
        <is>
          <t>Kapasite</t>
        </is>
      </c>
      <c r="B24" s="18" t="inlineStr">
        <is>
          <t>90 m³/gün kurulu</t>
        </is>
      </c>
      <c r="C24" s="18" t="inlineStr">
        <is>
          <t>Kimlik, proje formu</t>
        </is>
      </c>
      <c r="D24" s="18" t="inlineStr">
        <is>
          <t>İzleme sıklığı fiili debiye bağlıdır. Kurulu kapasite 51-200 bandındadır.</t>
        </is>
      </c>
    </row>
    <row r="25" ht="48" customHeight="1">
      <c r="A25" s="19" t="inlineStr">
        <is>
          <t>Deşarj yeri</t>
        </is>
      </c>
      <c r="B25" s="19" t="inlineStr">
        <is>
          <t>Alıcı ortam: Nacarlı Deresi. Havza: Doğu Akdeniz.</t>
        </is>
      </c>
      <c r="C25" s="19" t="inlineStr">
        <is>
          <t>Kimlik ve proje formu</t>
        </is>
      </c>
      <c r="D25" s="19" t="inlineStr">
        <is>
          <t>Hassas su kütlesi veya sulama bağlantısı izin ekiyle teyit edilecek. Dosyada ilave N/P şartı yok.</t>
        </is>
      </c>
    </row>
    <row r="26" ht="48" customHeight="1">
      <c r="A26" s="19" t="inlineStr">
        <is>
          <t>Koordinat</t>
        </is>
      </c>
      <c r="B26" s="19" t="inlineStr">
        <is>
          <t>Kimlik: 36.88865924 , 34.83704835. Proje formu: 36.888659 , 34.836633.</t>
        </is>
      </c>
      <c r="C26" s="19" t="inlineStr">
        <is>
          <t>Kimlik ve Ek-1 form</t>
        </is>
      </c>
      <c r="D26" s="19" t="inlineStr">
        <is>
          <t>Boylamlar farklı. Deşarj noktasının gerçek koordinatı yerinde okunup kimlik buna göre güncellensin.</t>
        </is>
      </c>
    </row>
    <row r="27" ht="48" customHeight="1">
      <c r="A27" s="17" t="inlineStr">
        <is>
          <t>Sektör tablosu</t>
        </is>
      </c>
      <c r="B27" s="17" t="inlineStr">
        <is>
          <t>SKKY Tablo 5.9 Sebze, meyve yıkama ve işleme.</t>
        </is>
      </c>
      <c r="C27" s="17" t="inlineStr">
        <is>
          <t>Kimlik ve proje formu</t>
        </is>
      </c>
      <c r="D27" s="17" t="inlineStr">
        <is>
          <t>2 saatlik: KOİ 150 mg/L, AKM 200 mg/L, pH 6-9. 24 saatlik: KOİ 100, AKM 100, pH 6-9. Denetimde 2 saatlik kompozit esastır.</t>
        </is>
      </c>
    </row>
    <row r="28" ht="48" customHeight="1">
      <c r="A28" s="19" t="inlineStr">
        <is>
          <t>Tesis sorumlusu</t>
        </is>
      </c>
      <c r="B28" s="19" t="inlineStr">
        <is>
          <t>Kimlik belgesinde ad, e-sertifika ve belge sınıfı boş.</t>
        </is>
      </c>
      <c r="C28" s="19" t="inlineStr">
        <is>
          <t>Kimlik belgesi</t>
        </is>
      </c>
      <c r="D28" s="19" t="inlineStr">
        <is>
          <t>B sınıfı: tam zamanlı çevre mühendisi, en az 3 yıl deneyim, yeterlilik belgesi. Belge 5 yıllıktır.</t>
        </is>
      </c>
    </row>
    <row r="29" ht="48" customHeight="1">
      <c r="A29" s="19" t="inlineStr">
        <is>
          <t>Çevre görevlisi</t>
        </is>
      </c>
      <c r="B29" s="19" t="inlineStr">
        <is>
          <t>Asena Kübra Turhan, KBRÇEV. Sözleşme 18.08.2026.</t>
        </is>
      </c>
      <c r="C29" s="19" t="inlineStr">
        <is>
          <t>Aylık rapor ve iç tetkik</t>
        </is>
      </c>
      <c r="D29" s="19" t="inlineStr">
        <is>
          <t>Çevre görevlisi tesis sorumlusunun yerine geçmez.</t>
        </is>
      </c>
    </row>
    <row r="30" ht="48" customHeight="1">
      <c r="A30" s="18" t="inlineStr">
        <is>
          <t>İşletme yetkilisi</t>
        </is>
      </c>
      <c r="B30" s="18" t="inlineStr">
        <is>
          <t>İrem Çakır</t>
        </is>
      </c>
      <c r="C30" s="18" t="inlineStr">
        <is>
          <t>Aylık rapor, iç tetkik imza</t>
        </is>
      </c>
      <c r="D30" s="18" t="inlineStr"/>
    </row>
    <row r="31" ht="48" customHeight="1">
      <c r="A31" s="17" t="inlineStr">
        <is>
          <t>Danışman firma</t>
        </is>
      </c>
      <c r="B31" s="17" t="inlineStr">
        <is>
          <t>KBRÇEV Çevre Danışmanlık ve Mühendislik Ltd. Şti.</t>
        </is>
      </c>
      <c r="C31" s="17" t="inlineStr">
        <is>
          <t>Aylık rapor, iç tetkik</t>
        </is>
      </c>
      <c r="D31" s="17" t="inlineStr">
        <is>
          <t>Proje onayını Bentos hazırlamış. İşletme danışmanlığı KBRÇEV’de.</t>
        </is>
      </c>
    </row>
    <row r="32" ht="48" customHeight="1">
      <c r="A32" s="19" t="inlineStr">
        <is>
          <t>İç izleme beyanı</t>
        </is>
      </c>
      <c r="B32" s="19" t="inlineStr">
        <is>
          <t>04.09.2026 iç tetkik: numune alınmamış. 24.09.2026 aylık rapor: rapor döneminde numune alınmış.</t>
        </is>
      </c>
      <c r="C32" s="19" t="inlineStr">
        <is>
          <t>İki rapor</t>
        </is>
      </c>
      <c r="D32" s="19" t="inlineStr">
        <is>
          <t>Analiz raporu bu sete dahil değil. Sonuç görülmeden uygunluk yazılmaz.</t>
        </is>
      </c>
    </row>
    <row r="33" ht="48" customHeight="1">
      <c r="A33" s="17" t="inlineStr">
        <is>
          <t>Yağmur ve yıkama</t>
        </is>
      </c>
      <c r="B33" s="17" t="inlineStr">
        <is>
          <t>6.1.3: endüstriyel yıkama suyu arıtılıyor. 6.1.4: yağmur ve yıkama suları ayrı sistemde toplanıp deşarj ediliyor.</t>
        </is>
      </c>
      <c r="C33" s="17" t="inlineStr">
        <is>
          <t>İç tetkik</t>
        </is>
      </c>
      <c r="D33" s="17" t="inlineStr">
        <is>
          <t>En kritik saha doğrulaması. Yıkama suyu yağmur hattıyla dereye gidiyorsa arıtılmamış deşarjdır.</t>
        </is>
      </c>
    </row>
    <row r="34" ht="48" customHeight="1">
      <c r="A34" s="19" t="inlineStr">
        <is>
          <t>Yeraltı suyu</t>
        </is>
      </c>
      <c r="B34" s="19" t="inlineStr">
        <is>
          <t>Kuyu kullanımı var. DSİ belgesi konusunda bilgilendirme yapılmış. Dönemde yeraltı suyu numunesi alınmamış.</t>
        </is>
      </c>
      <c r="C34" s="19" t="inlineStr">
        <is>
          <t>Aylık B.1.7, iç tetkik 6.1.7</t>
        </is>
      </c>
      <c r="D34" s="19" t="inlineStr">
        <is>
          <t>Belgenin kendisi dosyada yok.</t>
        </is>
      </c>
    </row>
    <row r="35" ht="48" customHeight="1">
      <c r="A35" s="19" t="inlineStr">
        <is>
          <t>Hava / baca</t>
        </is>
      </c>
      <c r="B35" s="19" t="inlineStr">
        <is>
          <t>03.07.2009 tarihli yönetmelik kapsamında baca bulunduğu yazılmış. İç izleme baca gazı ölçümü yok. Emisyon konulu izin yok.</t>
        </is>
      </c>
      <c r="C35" s="19" t="inlineStr">
        <is>
          <t>Aylık B.2, iç tetkik 6.4 ve 6.2</t>
        </is>
      </c>
      <c r="D35" s="19" t="inlineStr">
        <is>
          <t>Baca envanteri çıkarılıp emisyon izni gerekip gerekmediği kapatılacak.</t>
        </is>
      </c>
    </row>
    <row r="36" ht="48" customHeight="1">
      <c r="A36" s="19" t="inlineStr">
        <is>
          <t>Gürültü</t>
        </is>
      </c>
      <c r="B36" s="19" t="inlineStr">
        <is>
          <t>Ek-1 madde 7.9 gürültü izninden muaf tesisler arasında. 07.08.2026 tarihli 22579501-150/E.9446 veya E.944 uygunluk yazısı.</t>
        </is>
      </c>
      <c r="C36" s="19" t="inlineStr">
        <is>
          <t>Aylık B.4, iç tetkik 6.4</t>
        </is>
      </c>
      <c r="D36" s="19" t="inlineStr">
        <is>
          <t>Sayı E.944 / E.9446 olarak iki raporda ayrışıyor. İmzalı yazı esas.</t>
        </is>
      </c>
    </row>
    <row r="37" ht="48" customHeight="1">
      <c r="A37" s="17" t="inlineStr">
        <is>
          <t>Toprak</t>
        </is>
      </c>
      <c r="B37" s="17" t="inlineStr">
        <is>
          <t>Faaliyet, Toprak Kirliliği Kontrolü Yönetmeliği Ek-2 listesinde değil denmiş. Beyan formu yapılmamış.</t>
        </is>
      </c>
      <c r="C37" s="17" t="inlineStr">
        <is>
          <t>Aylık B.5, iç tetkik 6.5</t>
        </is>
      </c>
      <c r="D37" s="17" t="inlineStr">
        <is>
          <t>Güncel Ek-2 listesi NACE ve mumlama faaliyetiyle bir kez daha karşılaştırılsın.</t>
        </is>
      </c>
    </row>
    <row r="38" ht="48" customHeight="1">
      <c r="A38" s="18" t="inlineStr">
        <is>
          <t>BEKRA</t>
        </is>
      </c>
      <c r="B38" s="18" t="inlineStr">
        <is>
          <t>29.04.2025, bildirim no 164505, seviye kapsam dışı.</t>
        </is>
      </c>
      <c r="C38" s="18" t="inlineStr">
        <is>
          <t>Aylık B.7, iç tetkik 6.9</t>
        </is>
      </c>
      <c r="D38" s="18" t="inlineStr">
        <is>
          <t>Kimyasal veya depolama miktarı değişirse bildirim yenilenir.</t>
        </is>
      </c>
    </row>
    <row r="39" ht="48" customHeight="1">
      <c r="A39" s="19" t="inlineStr">
        <is>
          <t>Kimyasallar</t>
        </is>
      </c>
      <c r="B39" s="19" t="inlineStr">
        <is>
          <t>Üretim veya ithalat yok, SEA beyanı yok. Yıkama ve mumlamada kullanılan kimyasallar için SDS istendiği yazılmış.</t>
        </is>
      </c>
      <c r="C39" s="19" t="inlineStr">
        <is>
          <t>Aylık B.6, iç tetkik 6.6</t>
        </is>
      </c>
      <c r="D39" s="19" t="inlineStr">
        <is>
          <t>Hipoklorit, mum, varsa fungusit ve etilen SDS’si klasörde fiilen duruyor mu, bakılacak.</t>
        </is>
      </c>
    </row>
    <row r="40" ht="48" customHeight="1">
      <c r="A40" s="19" t="inlineStr">
        <is>
          <t>Atıklar</t>
        </is>
      </c>
      <c r="B40" s="19" t="inlineStr">
        <is>
          <t>15 01 01, 15 01 02, 15 01 06, 15 01 10*, 15 02 02*, 19 08 13*, 20 01 08, 20 01 26*, 20 01 34.</t>
        </is>
      </c>
      <c r="C40" s="19" t="inlineStr">
        <is>
          <t>Aylık B.3.1, iç tetkik 6.3.1</t>
        </is>
      </c>
      <c r="D40" s="19" t="inlineStr">
        <is>
          <t>19 08 01 ızgara ve 19 08 02 kum listede yok. Oluşuyorsa eklenecek.</t>
        </is>
      </c>
    </row>
    <row r="41" ht="48" customHeight="1">
      <c r="A41" s="19" t="inlineStr">
        <is>
          <t>Atık sözleşmesi</t>
        </is>
      </c>
      <c r="B41" s="19" t="inlineStr">
        <is>
          <t>İç tetkikte sözleşme bulunmadığı yazıyor.</t>
        </is>
      </c>
      <c r="C41" s="19" t="inlineStr">
        <is>
          <t>İç tetkik 6.3.7</t>
        </is>
      </c>
      <c r="D41" s="19" t="inlineStr">
        <is>
          <t>Tehlikeli atıklar için lisanslı firma sözleşmesi şart.</t>
        </is>
      </c>
    </row>
    <row r="42" ht="48" customHeight="1">
      <c r="A42" s="18" t="inlineStr">
        <is>
          <t>Atık analizi</t>
        </is>
      </c>
      <c r="B42" s="18" t="inlineStr">
        <is>
          <t>Raporlama döneminde yapılmamış.</t>
        </is>
      </c>
      <c r="C42" s="18" t="inlineStr">
        <is>
          <t>Aylık B.3.3, iç tetkik 6.3.3</t>
        </is>
      </c>
      <c r="D42" s="18" t="inlineStr">
        <is>
          <t>19 08 13* kodu analizle doğrulanacak. Analizden önce tehlikesize çevrilmez.</t>
        </is>
      </c>
    </row>
    <row r="43" ht="48" customHeight="1">
      <c r="A43" s="17" t="inlineStr">
        <is>
          <t>Atık yönetim planı</t>
        </is>
      </c>
      <c r="B43" s="17" t="inlineStr">
        <is>
          <t>E.14153800 sayılı üst yazı ile 03.11.2028’e kadar geçerli.</t>
        </is>
      </c>
      <c r="C43" s="17" t="inlineStr">
        <is>
          <t>Aylık rapor ve iç tetkik</t>
        </is>
      </c>
      <c r="D43" s="17" t="inlineStr"/>
    </row>
    <row r="44" ht="48" customHeight="1">
      <c r="A44" s="18" t="inlineStr">
        <is>
          <t>Atık beyanı</t>
        </is>
      </c>
      <c r="B44" s="18" t="inlineStr">
        <is>
          <t>2025 yılı beyanı yapılmış.</t>
        </is>
      </c>
      <c r="C44" s="18" t="inlineStr">
        <is>
          <t>Aylık rapor sonuç</t>
        </is>
      </c>
      <c r="D44" s="18" t="inlineStr">
        <is>
          <t>2026 yılı kayıtları ay ay tutulsun. Beyan Mart 2027’de.</t>
        </is>
      </c>
    </row>
    <row r="45" ht="48" customHeight="1">
      <c r="A45" s="19" t="inlineStr">
        <is>
          <t>Mali sorumluluk sigortası</t>
        </is>
      </c>
      <c r="B45" s="19" t="inlineStr">
        <is>
          <t>23.02.2026 – 23.02.2027.</t>
        </is>
      </c>
      <c r="C45" s="19" t="inlineStr">
        <is>
          <t>Aylık rapor, iç tetkik 6.3.6</t>
        </is>
      </c>
      <c r="D45" s="19" t="inlineStr">
        <is>
          <t>Poliçe numarası raporda yok. Poliçe PDF’si dosyalansın.</t>
        </is>
      </c>
    </row>
    <row r="46" ht="48" customHeight="1">
      <c r="A46" s="18" t="inlineStr">
        <is>
          <t>Sıfır atık</t>
        </is>
      </c>
      <c r="B46" s="18" t="inlineStr">
        <is>
          <t>Temel seviye belge 06.05.2025, T5/33/C/20/368. 3’lü kumbara kurulmuş.</t>
        </is>
      </c>
      <c r="C46" s="18" t="inlineStr">
        <is>
          <t>İç tetkik 6.10</t>
        </is>
      </c>
      <c r="D46" s="18" t="inlineStr">
        <is>
          <t>24.09.2026’da eğitim verildiği aylık raporda yazıyor. Katılım formu dosyalansın.</t>
        </is>
      </c>
    </row>
    <row r="47" ht="48" customHeight="1">
      <c r="A47" s="17" t="inlineStr">
        <is>
          <t>KSTK</t>
        </is>
      </c>
      <c r="B47" s="17" t="inlineStr">
        <is>
          <t>Ek-1 gıda 8.B eşiğinin altında kalındığı, münferit başvurunun yapılabileceği yazılmış.</t>
        </is>
      </c>
      <c r="C47" s="17" t="inlineStr">
        <is>
          <t>İç tetkik 6.11</t>
        </is>
      </c>
      <c r="D47" s="17" t="inlineStr">
        <is>
          <t>Her kapasite raporunda eşik yeniden bakılacak.</t>
        </is>
      </c>
    </row>
    <row r="48" ht="48" customHeight="1">
      <c r="A48" s="19" t="inlineStr">
        <is>
          <t>Su verimliliği</t>
        </is>
      </c>
      <c r="B48" s="19" t="inlineStr">
        <is>
          <t>27.12.2024 tarihli yönetmelik Ek-2. 50 çalışandan az olduğu için zorunluluk yok denmiş.</t>
        </is>
      </c>
      <c r="C48" s="19" t="inlineStr">
        <is>
          <t>İç tetkik 6.13</t>
        </is>
      </c>
      <c r="D48" s="19" t="inlineStr">
        <is>
          <t>Aynı rapor personeli 60 gösteriyor. Muafiyet gerekçesi personel netleşmeden kullanılmasın.</t>
        </is>
      </c>
    </row>
    <row r="49" ht="48" customHeight="1">
      <c r="A49" s="17" t="inlineStr">
        <is>
          <t>Proses özeti</t>
        </is>
      </c>
      <c r="B49" s="17" t="inlineStr">
        <is>
          <t>Kabul, sarartma (etilen), yıkama, durulama, mumlama, boylama, paketleme, soğuk hava, sevkiyat.</t>
        </is>
      </c>
      <c r="C49" s="17" t="inlineStr">
        <is>
          <t>İç tetkik iş akışı</t>
        </is>
      </c>
      <c r="D49" s="17" t="inlineStr">
        <is>
          <t>Atıksu yıkama, durulama, mumlama ve zemin yıkamadan doğar. Evsel su sosyal tesislerden gelir.</t>
        </is>
      </c>
    </row>
  </sheetData>
  <autoFilter ref="A4:D49"/>
  <mergeCells count="2">
    <mergeCell ref="A1:D1"/>
    <mergeCell ref="A2:D2"/>
  </mergeCells>
  <printOptions horizontalCentered="1"/>
  <pageMargins left="0.4" right="0.4" top="0.6" bottom="0.5" header="0.25" footer="0.25"/>
  <pageSetup orientation="landscape" paperSize="9" fitToHeight="0" fitToWidth="1"/>
  <headerFooter>
    <oddHeader>&amp;LTesis kimliği&amp;RÇevre takip dosyası  |  30.09.2026</oddHeader>
    <oddFooter>&amp;LSaha ölçümü ve analiz raporu içermez. İzin eki gelince ek esastır.&amp;RSayfa &amp;P / &amp;N</oddFooter>
    <evenHeader/>
    <evenFooter/>
    <firstHeader/>
    <firstFooter/>
  </headerFooter>
</worksheet>
</file>

<file path=xl/worksheets/sheet3.xml><?xml version="1.0" encoding="utf-8"?>
<worksheet xmlns="http://schemas.openxmlformats.org/spreadsheetml/2006/main">
  <sheetPr>
    <tabColor rgb="00922B21"/>
    <outlinePr summaryBelow="1" summaryRight="1"/>
    <pageSetUpPr fitToPage="1"/>
  </sheetPr>
  <dimension ref="A1:L26"/>
  <sheetViews>
    <sheetView showGridLines="0" zoomScale="110" workbookViewId="0">
      <pane ySplit="4" topLeftCell="A5" activePane="bottomLeft" state="frozen"/>
      <selection pane="bottomLeft" activeCell="A1" sqref="A1"/>
    </sheetView>
  </sheetViews>
  <sheetFormatPr baseColWidth="8" defaultRowHeight="15"/>
  <cols>
    <col width="8" customWidth="1" min="1" max="1"/>
    <col width="12" customWidth="1" min="2" max="2"/>
    <col width="18" customWidth="1" min="3" max="3"/>
    <col width="28" customWidth="1" min="4" max="4"/>
    <col width="62" customWidth="1" min="5" max="5"/>
    <col width="28" customWidth="1" min="6" max="6"/>
    <col width="22" customWidth="1" min="7" max="7"/>
    <col width="16" customWidth="1" min="8" max="8"/>
    <col width="16" customWidth="1" min="9" max="9"/>
    <col width="16" customWidth="1" min="10" max="10"/>
    <col width="28" customWidth="1" min="11" max="11"/>
    <col width="36" customWidth="1" min="12" max="12"/>
  </cols>
  <sheetData>
    <row r="1">
      <c r="A1" s="1" t="inlineStr">
        <is>
          <t>YAPILACAK İŞLER</t>
        </is>
      </c>
    </row>
    <row r="2">
      <c r="A2" s="2" t="inlineStr">
        <is>
          <t>Durum sütununu listeden seçin. İş bitince tamamlanma tarihini ve kanıt dosyasının adını yazın. Özet sayfasındaki sayaç buradan gelir.</t>
        </is>
      </c>
    </row>
    <row r="4" ht="22" customHeight="1">
      <c r="A4" s="20" t="inlineStr">
        <is>
          <t>No</t>
        </is>
      </c>
      <c r="B4" s="20" t="inlineStr">
        <is>
          <t>Öncelik</t>
        </is>
      </c>
      <c r="C4" s="20" t="inlineStr">
        <is>
          <t>Süreç</t>
        </is>
      </c>
      <c r="D4" s="20" t="inlineStr">
        <is>
          <t>Konu</t>
        </is>
      </c>
      <c r="E4" s="20" t="inlineStr">
        <is>
          <t>Ne yapılacak</t>
        </is>
      </c>
      <c r="F4" s="20" t="inlineStr">
        <is>
          <t>Kaynak</t>
        </is>
      </c>
      <c r="G4" s="20" t="inlineStr">
        <is>
          <t>Sorumlu</t>
        </is>
      </c>
      <c r="H4" s="20" t="inlineStr">
        <is>
          <t>Hedef tarih</t>
        </is>
      </c>
      <c r="I4" s="20" t="inlineStr">
        <is>
          <t>Durum</t>
        </is>
      </c>
      <c r="J4" s="20" t="inlineStr">
        <is>
          <t>Tamamlanma</t>
        </is>
      </c>
      <c r="K4" s="20" t="inlineStr">
        <is>
          <t>Kanıt dosyası</t>
        </is>
      </c>
      <c r="L4" s="20" t="inlineStr">
        <is>
          <t>Not</t>
        </is>
      </c>
    </row>
    <row r="5" ht="78" customHeight="1">
      <c r="A5" s="14" t="inlineStr">
        <is>
          <t>Y-01</t>
        </is>
      </c>
      <c r="B5" s="14" t="inlineStr">
        <is>
          <t>Kritik</t>
        </is>
      </c>
      <c r="C5" s="14" t="inlineStr">
        <is>
          <t>Atıksu hattı</t>
        </is>
      </c>
      <c r="D5" s="14" t="inlineStr">
        <is>
          <t>Yıkama suyu nereye gidiyor?</t>
        </is>
      </c>
      <c r="E5" s="14" t="inlineStr">
        <is>
          <t>Yıkama, durulama, mumlama süzüntüsü ve zemin yıkama hatlarını uçtan uca yürüyün. Hepsi AAT girişinde birleşiyor mu, yağmur hattına veya dereye kaçan vana var mı, fotoğraf ve kroki ile dosyalayın. Kaçak hat varsa aynı gün AAT’ye alın ve bypass’ı kilitleyin.</t>
        </is>
      </c>
      <c r="F5" s="14" t="inlineStr">
        <is>
          <t>İç tetkik 6.1.3 ile 6.1.4 çelişkisi</t>
        </is>
      </c>
      <c r="G5" s="14" t="inlineStr">
        <is>
          <t>Danışman + işletme</t>
        </is>
      </c>
      <c r="H5" s="21" t="n">
        <v>46310</v>
      </c>
      <c r="I5" s="14" t="inlineStr">
        <is>
          <t>Açık</t>
        </is>
      </c>
      <c r="J5" s="21" t="n"/>
      <c r="K5" s="14" t="n"/>
      <c r="L5" s="14" t="inlineStr">
        <is>
          <t>Hat şeması görülmeden deşarj uygunluğu yazılmasın.</t>
        </is>
      </c>
    </row>
    <row r="6" ht="78" customHeight="1">
      <c r="A6" s="14" t="inlineStr">
        <is>
          <t>Y-02</t>
        </is>
      </c>
      <c r="B6" s="14" t="inlineStr">
        <is>
          <t>Kritik</t>
        </is>
      </c>
      <c r="C6" s="14" t="inlineStr">
        <is>
          <t>İç izleme</t>
        </is>
      </c>
      <c r="D6" s="14" t="inlineStr">
        <is>
          <t>Eylül 2026 analiz raporu</t>
        </is>
      </c>
      <c r="E6" s="14" t="inlineStr">
        <is>
          <t>Aylık raporda numune alındığı, iç tetkikte alınmadığı yazıyor. Analiz raporunu, numune tutanağını ve o günkü debiyi bulun. KOİ 150 mg/L, AKM 200 mg/L ve pH 6-9 ile kıyaslayın. Aşım varsa il müdürlüğüne bildirim ve on iş günü içindeki iki ek numune dosyada mı bakın. Rapor yoksa yetkili laboratuvarla 2 saatlik kompozit numuneyi bu hafta planlayın.</t>
        </is>
      </c>
      <c r="F6" s="14" t="inlineStr">
        <is>
          <t>04.09 iç tetkik 6.1.7 ve 24.09 aylık B.1.6</t>
        </is>
      </c>
      <c r="G6" s="14" t="inlineStr">
        <is>
          <t>Çevre görevlisi</t>
        </is>
      </c>
      <c r="H6" s="21" t="n">
        <v>46302</v>
      </c>
      <c r="I6" s="14" t="inlineStr">
        <is>
          <t>Açık</t>
        </is>
      </c>
      <c r="J6" s="21" t="n"/>
      <c r="K6" s="14" t="n"/>
      <c r="L6" s="14" t="inlineStr">
        <is>
          <t>Sonuç görülmeden ‘limitlere uygun’ cümlesi rapora yazılmayacak.</t>
        </is>
      </c>
    </row>
    <row r="7" ht="78" customHeight="1">
      <c r="A7" s="14" t="inlineStr">
        <is>
          <t>Y-03</t>
        </is>
      </c>
      <c r="B7" s="14" t="inlineStr">
        <is>
          <t>Kritik</t>
        </is>
      </c>
      <c r="C7" s="14" t="inlineStr">
        <is>
          <t>Personel</t>
        </is>
      </c>
      <c r="D7" s="14" t="inlineStr">
        <is>
          <t>Tesis sorumlusu ataması</t>
        </is>
      </c>
      <c r="E7" s="14" t="inlineStr">
        <is>
          <t>Kimlik belgesindeki tesis sorumlusu boş. Biyolojik arıtma ve 50-1000 m³/gün münferit sanayi tesisi B sınıfıdır. Tam zamanlı çevre mühendisi, ikincil veya ileri arıtmada en az üç yıl deneyim ve tesis sorumlusu belgesi aranır. Atama sonrası kimlik belgesi il müdürlüğünde güncellensin.</t>
        </is>
      </c>
      <c r="F7" s="14" t="inlineStr">
        <is>
          <t>Kimlik belgesi, 23.05.2019 tarihli tebliğ</t>
        </is>
      </c>
      <c r="G7" s="14" t="inlineStr">
        <is>
          <t>İşletme</t>
        </is>
      </c>
      <c r="H7" s="21" t="n">
        <v>46326</v>
      </c>
      <c r="I7" s="14" t="inlineStr">
        <is>
          <t>Açık</t>
        </is>
      </c>
      <c r="J7" s="21" t="n"/>
      <c r="K7" s="14" t="n"/>
      <c r="L7" s="14" t="inlineStr">
        <is>
          <t>KBRÇEV çevre görevlisi bu kadroyu karşılamaz.</t>
        </is>
      </c>
    </row>
    <row r="8" ht="78" customHeight="1">
      <c r="A8" s="14" t="inlineStr">
        <is>
          <t>Y-04</t>
        </is>
      </c>
      <c r="B8" s="14" t="inlineStr">
        <is>
          <t>Kritik</t>
        </is>
      </c>
      <c r="C8" s="14" t="inlineStr">
        <is>
          <t>Atık</t>
        </is>
      </c>
      <c r="D8" s="14" t="inlineStr">
        <is>
          <t>Sözleşme ve çamur analizi</t>
        </is>
      </c>
      <c r="E8" s="14" t="inlineStr">
        <is>
          <t>15 01 10*, 15 02 02*, 19 08 13* ve 20 01 26* için lisanslı geri kazanım veya bertaraf sözleşmesi yapın. AAT çamurundan temsilî numune aldırın. Sonuç tehlikeliyse kod 19 08 13* kalır ve MOTAT zorunludur. Tehlikesiz çıkarsa 19 08 14’e geçin ve beyanı düzeltin. Geçici depolama sızdırmaz, etiketli ve yağmurdan ayrı olsun.</t>
        </is>
      </c>
      <c r="F8" s="14" t="inlineStr">
        <is>
          <t>İç tetkik 6.3.3 ve 6.3.7</t>
        </is>
      </c>
      <c r="G8" s="14" t="inlineStr">
        <is>
          <t>Danışman + işletme</t>
        </is>
      </c>
      <c r="H8" s="21" t="n">
        <v>46326</v>
      </c>
      <c r="I8" s="14" t="inlineStr">
        <is>
          <t>Açık</t>
        </is>
      </c>
      <c r="J8" s="21" t="n"/>
      <c r="K8" s="14" t="n"/>
      <c r="L8" s="14" t="inlineStr">
        <is>
          <t>Analiz gelmeden kodu tehlikesize çevirmeyin.</t>
        </is>
      </c>
    </row>
    <row r="9" ht="78" customHeight="1">
      <c r="A9" s="22" t="inlineStr">
        <is>
          <t>Y-05</t>
        </is>
      </c>
      <c r="B9" s="22" t="inlineStr">
        <is>
          <t>Yüksek</t>
        </is>
      </c>
      <c r="C9" s="22" t="inlineStr">
        <is>
          <t>İzin</t>
        </is>
      </c>
      <c r="D9" s="22" t="inlineStr">
        <is>
          <t>Çevre izin çıktısı ve eki</t>
        </is>
      </c>
      <c r="E9" s="22" t="inlineStr">
        <is>
          <t>e-İzin’den atıksu deşarjı belge çıktısını ve ekini indirin. Ekteki debi, tablo, parametre, izleme sıklığı ve varsa ilave şart bu dosyadaki değerlerin önüne geçer. GFB 26.08.2027’de biter. Belge henüz oluşmamışsa GFB süresinde izin sürecini tamamlayın.</t>
        </is>
      </c>
      <c r="F9" s="22" t="inlineStr">
        <is>
          <t>GFB 3069574032.1.1 ve uygunluk yazısı</t>
        </is>
      </c>
      <c r="G9" s="22" t="inlineStr">
        <is>
          <t>Çevre görevlisi</t>
        </is>
      </c>
      <c r="H9" s="23" t="n">
        <v>46310</v>
      </c>
      <c r="I9" s="22" t="inlineStr">
        <is>
          <t>Açık</t>
        </is>
      </c>
      <c r="J9" s="23" t="n"/>
      <c r="K9" s="22" t="n"/>
      <c r="L9" s="22" t="inlineStr">
        <is>
          <t>Uygunluk yazısı ile beş yıllık belge aynı evrak değildir.</t>
        </is>
      </c>
    </row>
    <row r="10" ht="78" customHeight="1">
      <c r="A10" s="22" t="inlineStr">
        <is>
          <t>Y-06</t>
        </is>
      </c>
      <c r="B10" s="22" t="inlineStr">
        <is>
          <t>Yüksek</t>
        </is>
      </c>
      <c r="C10" s="22" t="inlineStr">
        <is>
          <t>Su temini</t>
        </is>
      </c>
      <c r="D10" s="22" t="inlineStr">
        <is>
          <t>DSİ yeraltı suyu belgesi</t>
        </is>
      </c>
      <c r="E10" s="22" t="inlineStr">
        <is>
          <t>Kuyu kullanılıyor ve belge dosyada yok. DSİ arama veya kullanma belgesini ya da tahsis yazısını isteyin. Yoksa başvuru başlatın. Kuyu sayacını okuyup SuDengesi sayfasına işleyin.</t>
        </is>
      </c>
      <c r="F10" s="22" t="inlineStr">
        <is>
          <t>Aylık B.1.7, iç tetkik 6.1.7</t>
        </is>
      </c>
      <c r="G10" s="22" t="inlineStr">
        <is>
          <t>İşletme</t>
        </is>
      </c>
      <c r="H10" s="23" t="n">
        <v>46326</v>
      </c>
      <c r="I10" s="22" t="inlineStr">
        <is>
          <t>Açık</t>
        </is>
      </c>
      <c r="J10" s="23" t="n"/>
      <c r="K10" s="22" t="n"/>
      <c r="L10" s="22" t="inlineStr">
        <is>
          <t>Belge yokken kuyu debisini su dengesinden düşmeyin; ölçün ve ayrıca işaretleyin.</t>
        </is>
      </c>
    </row>
    <row r="11" ht="78" customHeight="1">
      <c r="A11" s="22" t="inlineStr">
        <is>
          <t>Y-07</t>
        </is>
      </c>
      <c r="B11" s="22" t="inlineStr">
        <is>
          <t>Yüksek</t>
        </is>
      </c>
      <c r="C11" s="22" t="inlineStr">
        <is>
          <t>Debi</t>
        </is>
      </c>
      <c r="D11" s="22" t="inlineStr">
        <is>
          <t>Günlük debi defteri</t>
        </is>
      </c>
      <c r="E11" s="22" t="inlineStr">
        <is>
          <t>Giriş ve deşarj debisini GunlukIsletme sayfasına her gün yazın. 90 m³/gün aşımı kapasite ihlalidir. Fiili debi sürekli 50 m³/gün ve altında kalırsa izleme dört aya ancak il müdürlüğünün yazısıyla iner.</t>
        </is>
      </c>
      <c r="F11" s="22" t="inlineStr">
        <is>
          <t>Kimlik kapasitesi 90 m³/gün</t>
        </is>
      </c>
      <c r="G11" s="22" t="inlineStr">
        <is>
          <t>Tesis işletmecisi</t>
        </is>
      </c>
      <c r="H11" s="23" t="n">
        <v>46310</v>
      </c>
      <c r="I11" s="22" t="inlineStr">
        <is>
          <t>Açık</t>
        </is>
      </c>
      <c r="J11" s="23" t="n"/>
      <c r="K11" s="22" t="n"/>
      <c r="L11" s="22" t="inlineStr">
        <is>
          <t>Su sayaçları (şebeke ve kuyu) ay sonunda SuDengesi’ne taşınsın.</t>
        </is>
      </c>
    </row>
    <row r="12" ht="78" customHeight="1">
      <c r="A12" s="22" t="inlineStr">
        <is>
          <t>Y-08</t>
        </is>
      </c>
      <c r="B12" s="22" t="inlineStr">
        <is>
          <t>Yüksek</t>
        </is>
      </c>
      <c r="C12" s="22" t="inlineStr">
        <is>
          <t>Sigorta</t>
        </is>
      </c>
      <c r="D12" s="22" t="inlineStr">
        <is>
          <t>Tehlikeli atık mali sorumluluk sigortası</t>
        </is>
      </c>
      <c r="E12" s="22" t="inlineStr">
        <is>
          <t>Poliçe 23.02.2027’de bitiyor. Poliçe PDF’sini dosyalayın. Ocak 2027’de yenileme teklifini alın. Teminat, tesisin tehlikeli atık kodlarını kapsasın.</t>
        </is>
      </c>
      <c r="F12" s="22" t="inlineStr">
        <is>
          <t>İç tetkik 6.3.6</t>
        </is>
      </c>
      <c r="G12" s="22" t="inlineStr">
        <is>
          <t>İşletme</t>
        </is>
      </c>
      <c r="H12" s="23" t="n">
        <v>46402</v>
      </c>
      <c r="I12" s="22" t="inlineStr">
        <is>
          <t>Açık</t>
        </is>
      </c>
      <c r="J12" s="23" t="n"/>
      <c r="K12" s="22" t="n"/>
      <c r="L12" s="22" t="inlineStr">
        <is>
          <t>Poliçe numarası mevcut raporlarda yok.</t>
        </is>
      </c>
    </row>
    <row r="13" ht="78" customHeight="1">
      <c r="A13" s="22" t="inlineStr">
        <is>
          <t>Y-09</t>
        </is>
      </c>
      <c r="B13" s="22" t="inlineStr">
        <is>
          <t>Yüksek</t>
        </is>
      </c>
      <c r="C13" s="22" t="inlineStr">
        <is>
          <t>Kapasite</t>
        </is>
      </c>
      <c r="D13" s="22" t="inlineStr">
        <is>
          <t>Kapasite raporu yenileme</t>
        </is>
      </c>
      <c r="E13" s="22" t="inlineStr">
        <is>
          <t>TOBB kapasite raporu 03.03.2027’de bitiyor. Yenilenince günlük tonajı ÇED kapsam dışı kararı, Ek-1 madde 7.9 eşiği (100 ton/gün) ve KSTK eşiği ile yeniden karşılaştırın.</t>
        </is>
      </c>
      <c r="F13" s="22" t="inlineStr">
        <is>
          <t>13.03.2025 / 150437</t>
        </is>
      </c>
      <c r="G13" s="22" t="inlineStr">
        <is>
          <t>İşletme</t>
        </is>
      </c>
      <c r="H13" s="23" t="n">
        <v>46402</v>
      </c>
      <c r="I13" s="22" t="inlineStr">
        <is>
          <t>Açık</t>
        </is>
      </c>
      <c r="J13" s="23" t="n"/>
      <c r="K13" s="22" t="n"/>
      <c r="L13" s="22" t="inlineStr">
        <is>
          <t>Mumlama 26.880 ton/yıl. Günlük eşik, çalışma günü sayısına göre değişir.</t>
        </is>
      </c>
    </row>
    <row r="14" ht="78" customHeight="1">
      <c r="A14" s="22" t="inlineStr">
        <is>
          <t>Y-10</t>
        </is>
      </c>
      <c r="B14" s="22" t="inlineStr">
        <is>
          <t>Yüksek</t>
        </is>
      </c>
      <c r="C14" s="22" t="inlineStr">
        <is>
          <t>Personel sayısı</t>
        </is>
      </c>
      <c r="D14" s="22" t="inlineStr">
        <is>
          <t>49 ile 60 çelişkisi</t>
        </is>
      </c>
      <c r="E14" s="22" t="inlineStr">
        <is>
          <t>SGK hizmet listesinden güncel çalışan sayısını alın. İç tetkikteki su verimliliği muafiyeti 50 kişinin altına bağlanmış; aynı rapor toplamı 60. Sayı 50 ve üzerindeyse Su Verimliliği Yönetmeliği Ek-2 yükümlülüğünü yeniden değerlendirin.</t>
        </is>
      </c>
      <c r="F14" s="22" t="inlineStr">
        <is>
          <t>Aylık rapor A bölümü ve iç tetkik 1 ve 6.13</t>
        </is>
      </c>
      <c r="G14" s="22" t="inlineStr">
        <is>
          <t>Danışman</t>
        </is>
      </c>
      <c r="H14" s="23" t="n">
        <v>46326</v>
      </c>
      <c r="I14" s="22" t="inlineStr">
        <is>
          <t>Açık</t>
        </is>
      </c>
      <c r="J14" s="23" t="n"/>
      <c r="K14" s="22" t="n"/>
      <c r="L14" s="22" t="inlineStr">
        <is>
          <t>Muafiyet cümlesi personel netleşmeden tekrar yazılmasın.</t>
        </is>
      </c>
    </row>
    <row r="15" ht="78" customHeight="1">
      <c r="A15" s="19" t="inlineStr">
        <is>
          <t>Y-11</t>
        </is>
      </c>
      <c r="B15" s="19" t="inlineStr">
        <is>
          <t>Orta</t>
        </is>
      </c>
      <c r="C15" s="19" t="inlineStr">
        <is>
          <t>Dezenfeksiyon</t>
        </is>
      </c>
      <c r="D15" s="19" t="inlineStr">
        <is>
          <t>Klor dozu ve dere gözlemi</t>
        </is>
      </c>
      <c r="E15" s="19" t="inlineStr">
        <is>
          <t>Çıkışta pH ve serbest kloru günlük ölçün. Nacarlı Deresi mansabında renk, koku, köpük ve balık etkisini ziyarette kaydedin. Serbest klor yüksekse dozu düşürün. Tablo 5.9’da klor limiti yoktur; gerekçe dere canlılığıdır.</t>
        </is>
      </c>
      <c r="F15" s="19" t="inlineStr">
        <is>
          <t>Kimlik: klor ile dezenfeksiyon</t>
        </is>
      </c>
      <c r="G15" s="19" t="inlineStr">
        <is>
          <t>Tesis işletmecisi</t>
        </is>
      </c>
      <c r="H15" s="24" t="n">
        <v>46310</v>
      </c>
      <c r="I15" s="19" t="inlineStr">
        <is>
          <t>Açık</t>
        </is>
      </c>
      <c r="J15" s="24" t="n"/>
      <c r="K15" s="19" t="n"/>
      <c r="L15" s="19" t="inlineStr">
        <is>
          <t>Doz kaydı olmadan ‘dezenfeksiyon yapılıyor’ denmez.</t>
        </is>
      </c>
    </row>
    <row r="16" ht="78" customHeight="1">
      <c r="A16" s="19" t="inlineStr">
        <is>
          <t>Y-12</t>
        </is>
      </c>
      <c r="B16" s="19" t="inlineStr">
        <is>
          <t>Orta</t>
        </is>
      </c>
      <c r="C16" s="19" t="inlineStr">
        <is>
          <t>Kimyasal</t>
        </is>
      </c>
      <c r="D16" s="19" t="inlineStr">
        <is>
          <t>SDS klasörü ve BEKRA sınırı</t>
        </is>
      </c>
      <c r="E16" s="19" t="inlineStr">
        <is>
          <t>Hipoklorit, mum, varsa hasat sonrası fungusit ve etilen tüplerinin SDS’lerini, yıllık azami depolama miktarını ve dökülme setini klasöre koyun. Miktar veya madde değişirse 29.04.2025 / 164505 sayılı kapsam dışı bildirimini güncelleyin.</t>
        </is>
      </c>
      <c r="F16" s="19" t="inlineStr">
        <is>
          <t>Aylık B.6 ve B.7</t>
        </is>
      </c>
      <c r="G16" s="19" t="inlineStr">
        <is>
          <t>İşletme</t>
        </is>
      </c>
      <c r="H16" s="24" t="n">
        <v>46326</v>
      </c>
      <c r="I16" s="19" t="inlineStr">
        <is>
          <t>Açık</t>
        </is>
      </c>
      <c r="J16" s="24" t="n"/>
      <c r="K16" s="19" t="n"/>
      <c r="L16" s="19" t="inlineStr">
        <is>
          <t>Mum ve fungusit çamur tehlikesini etkiler. Çamur analiz kapsamına yazılsın.</t>
        </is>
      </c>
    </row>
    <row r="17" ht="78" customHeight="1">
      <c r="A17" s="19" t="inlineStr">
        <is>
          <t>Y-13</t>
        </is>
      </c>
      <c r="B17" s="19" t="inlineStr">
        <is>
          <t>Orta</t>
        </is>
      </c>
      <c r="C17" s="19" t="inlineStr">
        <is>
          <t>Evrak</t>
        </is>
      </c>
      <c r="D17" s="19" t="inlineStr">
        <is>
          <t>Sayı tutarsızlıklarını düzeltmek</t>
        </is>
      </c>
      <c r="E17" s="19" t="inlineStr">
        <is>
          <t>Proje onay sayısı resmi yazıda 13239842, iç tetkik 6.5’te 13239847. Uygunluk yazısı bir raporda E.944, diğerinde E.9446. İmzalı evrakı esas alıp iç tetkik ve aylık rapor arşiv notunu düzeltin.</t>
        </is>
      </c>
      <c r="F17" s="19" t="inlineStr">
        <is>
          <t>Proje onay yazısı, iki rapor</t>
        </is>
      </c>
      <c r="G17" s="19" t="inlineStr">
        <is>
          <t>Çevre görevlisi</t>
        </is>
      </c>
      <c r="H17" s="24" t="n">
        <v>46326</v>
      </c>
      <c r="I17" s="19" t="inlineStr">
        <is>
          <t>Açık</t>
        </is>
      </c>
      <c r="J17" s="24" t="n"/>
      <c r="K17" s="19" t="n"/>
      <c r="L17" s="19" t="inlineStr">
        <is>
          <t>Denetçi iki raporu yan yana okur.</t>
        </is>
      </c>
    </row>
    <row r="18" ht="78" customHeight="1">
      <c r="A18" s="19" t="inlineStr">
        <is>
          <t>Y-14</t>
        </is>
      </c>
      <c r="B18" s="19" t="inlineStr">
        <is>
          <t>Orta</t>
        </is>
      </c>
      <c r="C18" s="19" t="inlineStr">
        <is>
          <t>Deşarj noktası</t>
        </is>
      </c>
      <c r="D18" s="19" t="inlineStr">
        <is>
          <t>Koordinatı yerinde okumak</t>
        </is>
      </c>
      <c r="E18" s="19" t="inlineStr">
        <is>
          <t>Kimlik boylamı 34.83704835, proje formu 34.836633. Deşarj ucunun koordinatını yerinde okuyun. Farklıysa kimlik güncellemesi ve izin eki aynı noktayı göstersin.</t>
        </is>
      </c>
      <c r="F18" s="19" t="inlineStr">
        <is>
          <t>Kimlik ve Ek-1 form</t>
        </is>
      </c>
      <c r="G18" s="19" t="inlineStr">
        <is>
          <t>Danışman</t>
        </is>
      </c>
      <c r="H18" s="24" t="n">
        <v>46326</v>
      </c>
      <c r="I18" s="19" t="inlineStr">
        <is>
          <t>Açık</t>
        </is>
      </c>
      <c r="J18" s="24" t="n"/>
      <c r="K18" s="19" t="n"/>
      <c r="L18" s="19" t="inlineStr">
        <is>
          <t>Numune, deşarj ucundan önce, arıtma çıkış bacasından alınır.</t>
        </is>
      </c>
    </row>
    <row r="19" ht="78" customHeight="1">
      <c r="A19" s="19" t="inlineStr">
        <is>
          <t>Y-15</t>
        </is>
      </c>
      <c r="B19" s="19" t="inlineStr">
        <is>
          <t>Orta</t>
        </is>
      </c>
      <c r="C19" s="19" t="inlineStr">
        <is>
          <t>Proje uyumu</t>
        </is>
      </c>
      <c r="D19" s="19" t="inlineStr">
        <is>
          <t>2000 yılı yapı ile 2025 projesi</t>
        </is>
      </c>
      <c r="E19" s="19" t="inlineStr">
        <is>
          <t>İnşaat bitiş 01.01.2000, onay ve işletmeye alma 15.08.2025. Dengeleme, aktif çamur ve klor ünitesi onaylı projeyle aynı mı, eksik ünite var mı, yerinde işaretleyin.</t>
        </is>
      </c>
      <c r="F19" s="19" t="inlineStr">
        <is>
          <t>Kimlik belgesi</t>
        </is>
      </c>
      <c r="G19" s="19" t="inlineStr">
        <is>
          <t>Danışman</t>
        </is>
      </c>
      <c r="H19" s="24" t="n">
        <v>46341</v>
      </c>
      <c r="I19" s="19" t="inlineStr">
        <is>
          <t>Açık</t>
        </is>
      </c>
      <c r="J19" s="24" t="n"/>
      <c r="K19" s="19" t="n"/>
      <c r="L19" s="19" t="inlineStr">
        <is>
          <t>Projede olup sahada olmayan ünite, kimlikte yazılan arıtma türünü bozar.</t>
        </is>
      </c>
    </row>
    <row r="20" ht="78" customHeight="1">
      <c r="A20" s="19" t="inlineStr">
        <is>
          <t>Y-16</t>
        </is>
      </c>
      <c r="B20" s="19" t="inlineStr">
        <is>
          <t>Orta</t>
        </is>
      </c>
      <c r="C20" s="19" t="inlineStr">
        <is>
          <t>Hava</t>
        </is>
      </c>
      <c r="D20" s="19" t="inlineStr">
        <is>
          <t>Baca envanteri</t>
        </is>
      </c>
      <c r="E20" s="19" t="inlineStr">
        <is>
          <t>Kazanın, jeneratörün ve proses bacasının envanterini çıkarın. Emisyon konulu izin gerekmiyorsa bunu baca listesi ve il müdürlüğü değerlendirmesiyle dosyalayın. Gerekiyorsa ölçüm ve başvuru takvime girsin.</t>
        </is>
      </c>
      <c r="F20" s="19" t="inlineStr">
        <is>
          <t>Aylık B.2, iç tetkik 6.4</t>
        </is>
      </c>
      <c r="G20" s="19" t="inlineStr">
        <is>
          <t>Danışman</t>
        </is>
      </c>
      <c r="H20" s="24" t="n">
        <v>46356</v>
      </c>
      <c r="I20" s="19" t="inlineStr">
        <is>
          <t>Açık</t>
        </is>
      </c>
      <c r="J20" s="24" t="n"/>
      <c r="K20" s="19" t="n"/>
      <c r="L20" s="19" t="inlineStr">
        <is>
          <t>‘Baca var, ölçüm yok, izin yok’ cümlesi denetimde açık kalır.</t>
        </is>
      </c>
    </row>
    <row r="21" ht="78" customHeight="1">
      <c r="A21" s="19" t="inlineStr">
        <is>
          <t>Y-17</t>
        </is>
      </c>
      <c r="B21" s="19" t="inlineStr">
        <is>
          <t>Orta</t>
        </is>
      </c>
      <c r="C21" s="19" t="inlineStr">
        <is>
          <t>Soğuk hava</t>
        </is>
      </c>
      <c r="D21" s="19" t="inlineStr">
        <is>
          <t>F-gaz ve etilen</t>
        </is>
      </c>
      <c r="E21" s="19" t="inlineStr">
        <is>
          <t>Soğuk hava depolarındaki soğutucu akışkanı ve kaçak kontrol kayıtlarını sorun. Etilen tüplerinin depolama koşulu ve SDS’si klasörde olsun. Proses akışında ikisi de var, çevre dosyasında değerlendirme yok.</t>
        </is>
      </c>
      <c r="F21" s="19" t="inlineStr">
        <is>
          <t>İç tetkik iş akışı</t>
        </is>
      </c>
      <c r="G21" s="19" t="inlineStr">
        <is>
          <t>İşletme</t>
        </is>
      </c>
      <c r="H21" s="24" t="n">
        <v>46356</v>
      </c>
      <c r="I21" s="19" t="inlineStr">
        <is>
          <t>Açık</t>
        </is>
      </c>
      <c r="J21" s="24" t="n"/>
      <c r="K21" s="19" t="n"/>
      <c r="L21" s="19" t="inlineStr">
        <is>
          <t>F-gaz kapsamı gaz türü ve şarj miktarına bağlıdır. Türü yazılmadan muaf denmez.</t>
        </is>
      </c>
    </row>
    <row r="22" ht="78" customHeight="1">
      <c r="A22" s="19" t="inlineStr">
        <is>
          <t>Y-18</t>
        </is>
      </c>
      <c r="B22" s="19" t="inlineStr">
        <is>
          <t>Orta</t>
        </is>
      </c>
      <c r="C22" s="19" t="inlineStr">
        <is>
          <t>Atık beyanı</t>
        </is>
      </c>
      <c r="D22" s="19" t="inlineStr">
        <is>
          <t>2026 yılı kütle kaydı</t>
        </is>
      </c>
      <c r="E22" s="19" t="inlineStr">
        <is>
          <t>2025 beyanı yapılmış. 2026 için her sevkiyatın tarih, kod, miktar, firma ve MOTAT numarasını AtikTakip sayfasına işleyin. Beyan Mart 2027’de bu kayıttan çıkacak.</t>
        </is>
      </c>
      <c r="F22" s="19" t="inlineStr">
        <is>
          <t>Aylık rapor sonuç maddesi</t>
        </is>
      </c>
      <c r="G22" s="19" t="inlineStr">
        <is>
          <t>Çevre görevlisi</t>
        </is>
      </c>
      <c r="H22" s="24" t="n">
        <v>46461</v>
      </c>
      <c r="I22" s="19" t="inlineStr">
        <is>
          <t>Açık</t>
        </is>
      </c>
      <c r="J22" s="24" t="n"/>
      <c r="K22" s="19" t="n"/>
      <c r="L22" s="19" t="inlineStr">
        <is>
          <t>Ay sonu sıfır hareket bile ‘hareket yok’ diye işaretlensin.</t>
        </is>
      </c>
    </row>
    <row r="23" ht="78" customHeight="1">
      <c r="A23" s="19" t="inlineStr">
        <is>
          <t>Y-19</t>
        </is>
      </c>
      <c r="B23" s="19" t="inlineStr">
        <is>
          <t>Orta</t>
        </is>
      </c>
      <c r="C23" s="19" t="inlineStr">
        <is>
          <t>AAT atığı</t>
        </is>
      </c>
      <c r="D23" s="19" t="inlineStr">
        <is>
          <t>Izgara ve kum kodu</t>
        </is>
      </c>
      <c r="E23" s="19" t="inlineStr">
        <is>
          <t>Atık listesinde 19 08 01 ve 19 08 02 yok. Izgara ve kum oluşuyorsa kod, geçici depolama ve beyan kapsamına alın. Oluşmuyorsa bunun gerekçesini saha notuna yazın.</t>
        </is>
      </c>
      <c r="F23" s="19" t="inlineStr">
        <is>
          <t>Atık listesi</t>
        </is>
      </c>
      <c r="G23" s="19" t="inlineStr">
        <is>
          <t>Danışman</t>
        </is>
      </c>
      <c r="H23" s="24" t="n">
        <v>46341</v>
      </c>
      <c r="I23" s="19" t="inlineStr">
        <is>
          <t>Açık</t>
        </is>
      </c>
      <c r="J23" s="24" t="n"/>
      <c r="K23" s="19" t="n"/>
      <c r="L23" s="19" t="inlineStr"/>
    </row>
    <row r="24" ht="78" customHeight="1">
      <c r="A24" s="19" t="inlineStr">
        <is>
          <t>Y-20</t>
        </is>
      </c>
      <c r="B24" s="19" t="inlineStr">
        <is>
          <t>Orta</t>
        </is>
      </c>
      <c r="C24" s="19" t="inlineStr">
        <is>
          <t>Bypass</t>
        </is>
      </c>
      <c r="D24" s="19" t="inlineStr">
        <is>
          <t>Vana kilidi</t>
        </is>
      </c>
      <c r="E24" s="19" t="inlineStr">
        <is>
          <t>Ham suyun dereye gidebildiği her vanayı bulun. Kilit, mühür veya kayıt dışı kullanım yasağını işletme defterine bağlayın. Ay içinde açıldıysa saatini ve gerekçesini GunlukIsletme’ye yazın.</t>
        </is>
      </c>
      <c r="F24" s="19" t="inlineStr">
        <is>
          <t>Deşarj yasağı, SKKY seyreltme ve kaçak deşarj hükümleri</t>
        </is>
      </c>
      <c r="G24" s="19" t="inlineStr">
        <is>
          <t>Tesis işletmecisi</t>
        </is>
      </c>
      <c r="H24" s="24" t="n">
        <v>46310</v>
      </c>
      <c r="I24" s="19" t="inlineStr">
        <is>
          <t>Açık</t>
        </is>
      </c>
      <c r="J24" s="24" t="n"/>
      <c r="K24" s="19" t="n"/>
      <c r="L24" s="19" t="inlineStr">
        <is>
          <t>İç tetkikte kaza yok denmesi, vananın kilitli olduğunu göstermez.</t>
        </is>
      </c>
    </row>
    <row r="25" ht="78" customHeight="1">
      <c r="A25" s="25" t="inlineStr">
        <is>
          <t>Y-21</t>
        </is>
      </c>
      <c r="B25" s="25" t="inlineStr">
        <is>
          <t>Düşük</t>
        </is>
      </c>
      <c r="C25" s="25" t="inlineStr">
        <is>
          <t>Eğitim</t>
        </is>
      </c>
      <c r="D25" s="25" t="inlineStr">
        <is>
          <t>24.09.2026 katılım formu</t>
        </is>
      </c>
      <c r="E25" s="25" t="inlineStr">
        <is>
          <t>Aylık raporda çevre mevzuatı, genel atık ve sıfır atık eğitiminin 24.09.2026’da verildiği yazıyor. Yoklama ve konu başlığını dosyalayın. İç tetkik aynı eğitimi henüz verilecek diye yazmıştı.</t>
        </is>
      </c>
      <c r="F25" s="25" t="inlineStr">
        <is>
          <t>Aylık rapor E.1</t>
        </is>
      </c>
      <c r="G25" s="25" t="inlineStr">
        <is>
          <t>Çevre görevlisi</t>
        </is>
      </c>
      <c r="H25" s="26" t="n">
        <v>46310</v>
      </c>
      <c r="I25" s="25" t="inlineStr">
        <is>
          <t>Açık</t>
        </is>
      </c>
      <c r="J25" s="26" t="n"/>
      <c r="K25" s="25" t="n"/>
      <c r="L25" s="25" t="inlineStr"/>
    </row>
    <row r="26" ht="78" customHeight="1">
      <c r="A26" s="25" t="inlineStr">
        <is>
          <t>Y-22</t>
        </is>
      </c>
      <c r="B26" s="25" t="inlineStr">
        <is>
          <t>Düşük</t>
        </is>
      </c>
      <c r="C26" s="25" t="inlineStr">
        <is>
          <t>Sözleşme dosyası</t>
        </is>
      </c>
      <c r="D26" s="25" t="inlineStr">
        <is>
          <t>Danışmanlık faturası ile sözleşme ayrılsın</t>
        </is>
      </c>
      <c r="E26" s="25" t="inlineStr">
        <is>
          <t>Aylık raporda son fatura yerine 18.08.2026 sözleşme tarihi yazılmış. Sözleşme ve her ayın fatura numarası ayrı izlensin.</t>
        </is>
      </c>
      <c r="F26" s="25" t="inlineStr">
        <is>
          <t>Aylık rapor A bölümü</t>
        </is>
      </c>
      <c r="G26" s="25" t="inlineStr">
        <is>
          <t>KBRÇEV / işletme</t>
        </is>
      </c>
      <c r="H26" s="26" t="n">
        <v>46326</v>
      </c>
      <c r="I26" s="25" t="inlineStr">
        <is>
          <t>Açık</t>
        </is>
      </c>
      <c r="J26" s="26" t="n"/>
      <c r="K26" s="25" t="n"/>
      <c r="L26" s="25" t="inlineStr"/>
    </row>
  </sheetData>
  <autoFilter ref="A4:L26"/>
  <mergeCells count="2">
    <mergeCell ref="A2:L2"/>
    <mergeCell ref="A1:L1"/>
  </mergeCells>
  <conditionalFormatting sqref="H5:H26">
    <cfRule type="expression" priority="1" dxfId="0">
      <formula>AND(H5&lt;TODAY(),I5&lt;&gt;"Tamamlandı")</formula>
    </cfRule>
  </conditionalFormatting>
  <dataValidations count="1">
    <dataValidation sqref="I5:I26" showDropDown="0" showInputMessage="1" showErrorMessage="1" allowBlank="1" errorTitle="Geçersiz değer" error="Listeden seçin" promptTitle="Seçim" prompt="Listeden seçin" type="list">
      <formula1>=_Listeler!$A$1:$A$4</formula1>
    </dataValidation>
  </dataValidations>
  <printOptions horizontalCentered="1"/>
  <pageMargins left="0.4" right="0.4" top="0.6" bottom="0.5" header="0.25" footer="0.25"/>
  <pageSetup orientation="landscape" paperSize="9" fitToHeight="0" fitToWidth="1"/>
  <headerFooter>
    <oddHeader>&amp;LYapılacak işler&amp;RÇevre takip dosyası  |  30.09.2026</oddHeader>
    <oddFooter>&amp;LSaha ölçümü ve analiz raporu içermez. İzin eki gelince ek esastır.&amp;RSayfa &amp;P / &amp;N</oddFooter>
    <evenHeader/>
    <evenFooter/>
    <firstHeader/>
    <firstFooter/>
  </headerFooter>
</worksheet>
</file>

<file path=xl/worksheets/sheet4.xml><?xml version="1.0" encoding="utf-8"?>
<worksheet xmlns="http://schemas.openxmlformats.org/spreadsheetml/2006/main">
  <sheetPr>
    <tabColor rgb="009A7D0A"/>
    <outlinePr summaryBelow="1" summaryRight="1"/>
    <pageSetUpPr fitToPage="1"/>
  </sheetPr>
  <dimension ref="A1:J26"/>
  <sheetViews>
    <sheetView showGridLines="0" zoomScale="110" workbookViewId="0">
      <pane ySplit="4" topLeftCell="A5" activePane="bottomLeft" state="frozen"/>
      <selection pane="bottomLeft" activeCell="A1" sqref="A1"/>
    </sheetView>
  </sheetViews>
  <sheetFormatPr baseColWidth="8" defaultRowHeight="15"/>
  <cols>
    <col width="8" customWidth="1" min="1" max="1"/>
    <col width="42" customWidth="1" min="2" max="2"/>
    <col width="55" customWidth="1" min="3" max="3"/>
    <col width="16" customWidth="1" min="4" max="4"/>
    <col width="16" customWidth="1" min="5" max="5"/>
    <col width="14" customWidth="1" min="6" max="6"/>
    <col width="20" customWidth="1" min="7" max="7"/>
    <col width="18" customWidth="1" min="8" max="8"/>
    <col width="42" customWidth="1" min="9" max="9"/>
    <col width="55" customWidth="1" min="10" max="10"/>
  </cols>
  <sheetData>
    <row r="1">
      <c r="A1" s="1" t="inlineStr">
        <is>
          <t>BELGE TAKVİMİ</t>
        </is>
      </c>
    </row>
    <row r="2">
      <c r="A2" s="2" t="inlineStr">
        <is>
          <t>Bitiş tarihi yazılı satırlarda kalan gün ve durum kendiliğinden hesaplanır. Süresiz belgelerde bitiş boş bırakıldı.</t>
        </is>
      </c>
    </row>
    <row r="4">
      <c r="A4" s="27" t="inlineStr">
        <is>
          <t>Kod</t>
        </is>
      </c>
      <c r="B4" s="27" t="inlineStr">
        <is>
          <t>Belge</t>
        </is>
      </c>
      <c r="C4" s="27" t="inlineStr">
        <is>
          <t>Sayı / tarih</t>
        </is>
      </c>
      <c r="D4" s="27" t="inlineStr">
        <is>
          <t>Başlangıç</t>
        </is>
      </c>
      <c r="E4" s="27" t="inlineStr">
        <is>
          <t>Bitiş</t>
        </is>
      </c>
      <c r="F4" s="27" t="inlineStr">
        <is>
          <t>Kalan gün</t>
        </is>
      </c>
      <c r="G4" s="27" t="inlineStr">
        <is>
          <t>Durum</t>
        </is>
      </c>
      <c r="H4" s="27" t="inlineStr">
        <is>
          <t>Dosyada var mı</t>
        </is>
      </c>
      <c r="I4" s="27" t="inlineStr">
        <is>
          <t>Ne zaman yenilenir</t>
        </is>
      </c>
      <c r="J4" s="27" t="inlineStr">
        <is>
          <t>Not</t>
        </is>
      </c>
    </row>
    <row r="5" ht="36" customHeight="1">
      <c r="A5" s="18" t="inlineStr">
        <is>
          <t>B-01</t>
        </is>
      </c>
      <c r="B5" s="18" t="inlineStr">
        <is>
          <t>ÇED kapsam dışı kararı</t>
        </is>
      </c>
      <c r="C5" s="18" t="inlineStr">
        <is>
          <t>24.02.2025 / E-23645791-220.03-11844865</t>
        </is>
      </c>
      <c r="D5" s="28" t="n"/>
      <c r="E5" s="28" t="n"/>
      <c r="F5" s="29">
        <f>IF(E5="","",E5-TODAY())</f>
        <v/>
      </c>
      <c r="G5" s="30">
        <f>IF(E5="","Süresiz / olaya bağlı",IF(E5&lt;TODAY(),"SÜRESİ GEÇTİ",IF(E5-TODAY()&lt;=60,"60 GÜN İÇİNDE","GEÇERLİ")))</f>
        <v/>
      </c>
      <c r="H5" s="18" t="inlineStr">
        <is>
          <t>Evet</t>
        </is>
      </c>
      <c r="I5" s="18" t="inlineStr">
        <is>
          <t>Kapasite veya proses değişince</t>
        </is>
      </c>
      <c r="J5" s="18" t="inlineStr">
        <is>
          <t>Yıkama, sarartma, mumlama, ambalajlama ve soğuk hava için.</t>
        </is>
      </c>
    </row>
    <row r="6" ht="36" customHeight="1">
      <c r="A6" s="17" t="inlineStr">
        <is>
          <t>B-02</t>
        </is>
      </c>
      <c r="B6" s="17" t="inlineStr">
        <is>
          <t>AAT proje onayı</t>
        </is>
      </c>
      <c r="C6" s="17" t="inlineStr">
        <is>
          <t>15.08.2025 / E-27907008-100-13239842</t>
        </is>
      </c>
      <c r="D6" s="31" t="n">
        <v>45884</v>
      </c>
      <c r="E6" s="31" t="n"/>
      <c r="F6" s="32">
        <f>IF(E6="","",E6-TODAY())</f>
        <v/>
      </c>
      <c r="G6" s="33">
        <f>IF(E6="","Süresiz / olaya bağlı",IF(E6&lt;TODAY(),"SÜRESİ GEÇTİ",IF(E6-TODAY()&lt;=60,"60 GÜN İÇİNDE","GEÇERLİ")))</f>
        <v/>
      </c>
      <c r="H6" s="17" t="inlineStr">
        <is>
          <t>Evet</t>
        </is>
      </c>
      <c r="I6" s="17" t="inlineStr">
        <is>
          <t>Revizyon veya kapasite artışı</t>
        </is>
      </c>
      <c r="J6" s="17" t="inlineStr">
        <is>
          <t>Form no AAT03608. İç tetkikteki 13239847 sayısı kullanılmasın.</t>
        </is>
      </c>
    </row>
    <row r="7" ht="36" customHeight="1">
      <c r="A7" s="18" t="inlineStr">
        <is>
          <t>B-03</t>
        </is>
      </c>
      <c r="B7" s="18" t="inlineStr">
        <is>
          <t>AAT kimlik belgesi</t>
        </is>
      </c>
      <c r="C7" s="18" t="inlineStr">
        <is>
          <t>10.09.2025 / 33.25-3069574032-344</t>
        </is>
      </c>
      <c r="D7" s="28" t="n">
        <v>45910</v>
      </c>
      <c r="E7" s="28" t="n"/>
      <c r="F7" s="29">
        <f>IF(E7="","",E7-TODAY())</f>
        <v/>
      </c>
      <c r="G7" s="30">
        <f>IF(E7="","Süresiz / olaya bağlı",IF(E7&lt;TODAY(),"SÜRESİ GEÇTİ",IF(E7-TODAY()&lt;=60,"60 GÜN İÇİNDE","GEÇERLİ")))</f>
        <v/>
      </c>
      <c r="H7" s="18" t="inlineStr">
        <is>
          <t>Evet</t>
        </is>
      </c>
      <c r="I7" s="18" t="inlineStr">
        <is>
          <t>Tesis sorumlusu, koordinat veya kapasite değişince</t>
        </is>
      </c>
      <c r="J7" s="18" t="inlineStr">
        <is>
          <t>Tesis sorumlusu boş. Üst yazı E.13621421.</t>
        </is>
      </c>
    </row>
    <row r="8" ht="36" customHeight="1">
      <c r="A8" s="17" t="inlineStr">
        <is>
          <t>B-04</t>
        </is>
      </c>
      <c r="B8" s="17" t="inlineStr">
        <is>
          <t>Atıksu deşarjı GFB</t>
        </is>
      </c>
      <c r="C8" s="17" t="inlineStr">
        <is>
          <t>26.08.2026 / 58003700-150/E.5093 / 3069574032.1.1</t>
        </is>
      </c>
      <c r="D8" s="31" t="n">
        <v>46260</v>
      </c>
      <c r="E8" s="31" t="n">
        <v>46625</v>
      </c>
      <c r="F8" s="32">
        <f>IF(E8="","",E8-TODAY())</f>
        <v/>
      </c>
      <c r="G8" s="33">
        <f>IF(E8="","Süresiz / olaya bağlı",IF(E8&lt;TODAY(),"SÜRESİ GEÇTİ",IF(E8-TODAY()&lt;=60,"60 GÜN İÇİNDE","GEÇERLİ")))</f>
        <v/>
      </c>
      <c r="H8" s="17" t="inlineStr">
        <is>
          <t>Evet</t>
        </is>
      </c>
      <c r="I8" s="17" t="inlineStr">
        <is>
          <t>26.08.2027’den önce çevre izin belgesi</t>
        </is>
      </c>
      <c r="J8" s="17" t="inlineStr">
        <is>
          <t>Konu yalnız atıksu deşarjı.</t>
        </is>
      </c>
    </row>
    <row r="9" ht="36" customHeight="1">
      <c r="A9" s="18" t="inlineStr">
        <is>
          <t>B-05</t>
        </is>
      </c>
      <c r="B9" s="18" t="inlineStr">
        <is>
          <t>İl müdürlüğü uygunluk yazısı</t>
        </is>
      </c>
      <c r="C9" s="18" t="inlineStr">
        <is>
          <t>07.08.2026 / E.944 veya E.9446</t>
        </is>
      </c>
      <c r="D9" s="28" t="n">
        <v>46241</v>
      </c>
      <c r="E9" s="28" t="n"/>
      <c r="F9" s="29">
        <f>IF(E9="","",E9-TODAY())</f>
        <v/>
      </c>
      <c r="G9" s="30">
        <f>IF(E9="","Süresiz / olaya bağlı",IF(E9&lt;TODAY(),"SÜRESİ GEÇTİ",IF(E9-TODAY()&lt;=60,"60 GÜN İÇİNDE","GEÇERLİ")))</f>
        <v/>
      </c>
      <c r="H9" s="19" t="inlineStr">
        <is>
          <t>Teyit</t>
        </is>
      </c>
      <c r="I9" s="18" t="inlineStr">
        <is>
          <t>e-İzin belge çıktısı ile birlikte</t>
        </is>
      </c>
      <c r="J9" s="18" t="inlineStr">
        <is>
          <t>Başvuru 05.06.2026 / 700227. Sayı asıl yazıdan doğrulanacak.</t>
        </is>
      </c>
    </row>
    <row r="10" ht="36" customHeight="1">
      <c r="A10" s="17" t="inlineStr">
        <is>
          <t>B-06</t>
        </is>
      </c>
      <c r="B10" s="17" t="inlineStr">
        <is>
          <t>Çevre izin belgesi (5 yıl)</t>
        </is>
      </c>
      <c r="C10" s="17" t="inlineStr">
        <is>
          <t>Dosyada yok</t>
        </is>
      </c>
      <c r="D10" s="31" t="n"/>
      <c r="E10" s="31" t="n"/>
      <c r="F10" s="32">
        <f>IF(E10="","",E10-TODAY())</f>
        <v/>
      </c>
      <c r="G10" s="33">
        <f>IF(E10="","Süresiz / olaya bağlı",IF(E10&lt;TODAY(),"SÜRESİ GEÇTİ",IF(E10-TODAY()&lt;=60,"60 GÜN İÇİNDE","GEÇERLİ")))</f>
        <v/>
      </c>
      <c r="H10" s="34" t="inlineStr">
        <is>
          <t>Hayır</t>
        </is>
      </c>
      <c r="I10" s="17" t="inlineStr">
        <is>
          <t>GFB bitmeden</t>
        </is>
      </c>
      <c r="J10" s="17" t="inlineStr">
        <is>
          <t>Çıktı ve ek geldiğinde B-04’ün yerine asıl belge olur. Ek limitleri Excel’e işlenecek.</t>
        </is>
      </c>
    </row>
    <row r="11" ht="36" customHeight="1">
      <c r="A11" s="18" t="inlineStr">
        <is>
          <t>B-07</t>
        </is>
      </c>
      <c r="B11" s="18" t="inlineStr">
        <is>
          <t>Gürültü muafiyet / uygunluk</t>
        </is>
      </c>
      <c r="C11" s="18" t="inlineStr">
        <is>
          <t>07.08.2026 / 22579501-150/E.944 veya E.9446</t>
        </is>
      </c>
      <c r="D11" s="28" t="n">
        <v>46241</v>
      </c>
      <c r="E11" s="28" t="n"/>
      <c r="F11" s="29">
        <f>IF(E11="","",E11-TODAY())</f>
        <v/>
      </c>
      <c r="G11" s="30">
        <f>IF(E11="","Süresiz / olaya bağlı",IF(E11&lt;TODAY(),"SÜRESİ GEÇTİ",IF(E11-TODAY()&lt;=60,"60 GÜN İÇİNDE","GEÇERLİ")))</f>
        <v/>
      </c>
      <c r="H11" s="19" t="inlineStr">
        <is>
          <t>Teyit</t>
        </is>
      </c>
      <c r="I11" s="18" t="inlineStr">
        <is>
          <t>Kapasite veya ekipman değişince</t>
        </is>
      </c>
      <c r="J11" s="18" t="inlineStr">
        <is>
          <t>Ek-1 7.9 gürültü izninden muaf tesisler arasında değerlendirilmiş.</t>
        </is>
      </c>
    </row>
    <row r="12" ht="36" customHeight="1">
      <c r="A12" s="17" t="inlineStr">
        <is>
          <t>B-08</t>
        </is>
      </c>
      <c r="B12" s="17" t="inlineStr">
        <is>
          <t>Kapasite raporu</t>
        </is>
      </c>
      <c r="C12" s="17" t="inlineStr">
        <is>
          <t>13.03.2025 / 150437 / TOBB</t>
        </is>
      </c>
      <c r="D12" s="31" t="n">
        <v>45729</v>
      </c>
      <c r="E12" s="31" t="n">
        <v>46449</v>
      </c>
      <c r="F12" s="32">
        <f>IF(E12="","",E12-TODAY())</f>
        <v/>
      </c>
      <c r="G12" s="33">
        <f>IF(E12="","Süresiz / olaya bağlı",IF(E12&lt;TODAY(),"SÜRESİ GEÇTİ",IF(E12-TODAY()&lt;=60,"60 GÜN İÇİNDE","GEÇERLİ")))</f>
        <v/>
      </c>
      <c r="H12" s="17" t="inlineStr">
        <is>
          <t>Evet</t>
        </is>
      </c>
      <c r="I12" s="17" t="inlineStr">
        <is>
          <t>03.03.2027 öncesi</t>
        </is>
      </c>
      <c r="J12" s="17" t="inlineStr">
        <is>
          <t>Ambalaj 1.152 ton/yıl, mumlama ve sarartma 26.880 ton/yıl.</t>
        </is>
      </c>
    </row>
    <row r="13" ht="36" customHeight="1">
      <c r="A13" s="18" t="inlineStr">
        <is>
          <t>B-09</t>
        </is>
      </c>
      <c r="B13" s="18" t="inlineStr">
        <is>
          <t>Tehlikeli atık mali sorumluluk sigortası</t>
        </is>
      </c>
      <c r="C13" s="18" t="inlineStr">
        <is>
          <t>23.02.2026 – 23.02.2027</t>
        </is>
      </c>
      <c r="D13" s="28" t="n">
        <v>46076</v>
      </c>
      <c r="E13" s="28" t="n">
        <v>46441</v>
      </c>
      <c r="F13" s="29">
        <f>IF(E13="","",E13-TODAY())</f>
        <v/>
      </c>
      <c r="G13" s="30">
        <f>IF(E13="","Süresiz / olaya bağlı",IF(E13&lt;TODAY(),"SÜRESİ GEÇTİ",IF(E13-TODAY()&lt;=60,"60 GÜN İÇİNDE","GEÇERLİ")))</f>
        <v/>
      </c>
      <c r="H13" s="19" t="inlineStr">
        <is>
          <t>Teyit</t>
        </is>
      </c>
      <c r="I13" s="18" t="inlineStr">
        <is>
          <t>23.02.2027 öncesi</t>
        </is>
      </c>
      <c r="J13" s="18" t="inlineStr">
        <is>
          <t>Poliçe numarası raporda yok. PDF dosyalansın.</t>
        </is>
      </c>
    </row>
    <row r="14" ht="36" customHeight="1">
      <c r="A14" s="17" t="inlineStr">
        <is>
          <t>B-10</t>
        </is>
      </c>
      <c r="B14" s="17" t="inlineStr">
        <is>
          <t>Atık yönetim planı</t>
        </is>
      </c>
      <c r="C14" s="17" t="inlineStr">
        <is>
          <t>E.14153800 / 03.11.2028’e kadar</t>
        </is>
      </c>
      <c r="D14" s="31" t="n"/>
      <c r="E14" s="31" t="n">
        <v>47060</v>
      </c>
      <c r="F14" s="32">
        <f>IF(E14="","",E14-TODAY())</f>
        <v/>
      </c>
      <c r="G14" s="33">
        <f>IF(E14="","Süresiz / olaya bağlı",IF(E14&lt;TODAY(),"SÜRESİ GEÇTİ",IF(E14-TODAY()&lt;=60,"60 GÜN İÇİNDE","GEÇERLİ")))</f>
        <v/>
      </c>
      <c r="H14" s="17" t="inlineStr">
        <is>
          <t>Evet</t>
        </is>
      </c>
      <c r="I14" s="17" t="inlineStr">
        <is>
          <t>03.11.2028 öncesi</t>
        </is>
      </c>
      <c r="J14" s="17" t="inlineStr">
        <is>
          <t>Başlangıç tarihi raporda yok.</t>
        </is>
      </c>
    </row>
    <row r="15" ht="36" customHeight="1">
      <c r="A15" s="18" t="inlineStr">
        <is>
          <t>B-11</t>
        </is>
      </c>
      <c r="B15" s="18" t="inlineStr">
        <is>
          <t>2025 atık beyanı</t>
        </is>
      </c>
      <c r="C15" s="18" t="inlineStr">
        <is>
          <t>Yapılmış deniyor</t>
        </is>
      </c>
      <c r="D15" s="28" t="n"/>
      <c r="E15" s="28" t="n"/>
      <c r="F15" s="29">
        <f>IF(E15="","",E15-TODAY())</f>
        <v/>
      </c>
      <c r="G15" s="30">
        <f>IF(E15="","Süresiz / olaya bağlı",IF(E15&lt;TODAY(),"SÜRESİ GEÇTİ",IF(E15-TODAY()&lt;=60,"60 GÜN İÇİNDE","GEÇERLİ")))</f>
        <v/>
      </c>
      <c r="H15" s="19" t="inlineStr">
        <is>
          <t>Teyit</t>
        </is>
      </c>
      <c r="I15" s="18" t="inlineStr">
        <is>
          <t>2026 beyanı Mart 2027</t>
        </is>
      </c>
      <c r="J15" s="18" t="inlineStr">
        <is>
          <t>Beyan çıktısı PDF olarak dosyada ayrıca durmalı.</t>
        </is>
      </c>
    </row>
    <row r="16" ht="36" customHeight="1">
      <c r="A16" s="17" t="inlineStr">
        <is>
          <t>B-12</t>
        </is>
      </c>
      <c r="B16" s="17" t="inlineStr">
        <is>
          <t>Tehlikeli atık bertaraf sözleşmeleri</t>
        </is>
      </c>
      <c r="C16" s="17" t="inlineStr">
        <is>
          <t>İç tetkik: sözleşme yok</t>
        </is>
      </c>
      <c r="D16" s="31" t="n"/>
      <c r="E16" s="31" t="n"/>
      <c r="F16" s="32">
        <f>IF(E16="","",E16-TODAY())</f>
        <v/>
      </c>
      <c r="G16" s="33">
        <f>IF(E16="","Süresiz / olaya bağlı",IF(E16&lt;TODAY(),"SÜRESİ GEÇTİ",IF(E16-TODAY()&lt;=60,"60 GÜN İÇİNDE","GEÇERLİ")))</f>
        <v/>
      </c>
      <c r="H16" s="34" t="inlineStr">
        <is>
          <t>Hayır</t>
        </is>
      </c>
      <c r="I16" s="17" t="inlineStr">
        <is>
          <t>Hemen</t>
        </is>
      </c>
      <c r="J16" s="17" t="inlineStr">
        <is>
          <t>15 01 10*, 15 02 02*, 19 08 13*, 20 01 26*.</t>
        </is>
      </c>
    </row>
    <row r="17" ht="36" customHeight="1">
      <c r="A17" s="18" t="inlineStr">
        <is>
          <t>B-13</t>
        </is>
      </c>
      <c r="B17" s="18" t="inlineStr">
        <is>
          <t>Çamur karakterizasyon analizi</t>
        </is>
      </c>
      <c r="C17" s="18" t="inlineStr">
        <is>
          <t>Dönemde yapılmamış</t>
        </is>
      </c>
      <c r="D17" s="28" t="n"/>
      <c r="E17" s="28" t="n"/>
      <c r="F17" s="29">
        <f>IF(E17="","",E17-TODAY())</f>
        <v/>
      </c>
      <c r="G17" s="30">
        <f>IF(E17="","Süresiz / olaya bağlı",IF(E17&lt;TODAY(),"SÜRESİ GEÇTİ",IF(E17-TODAY()&lt;=60,"60 GÜN İÇİNDE","GEÇERLİ")))</f>
        <v/>
      </c>
      <c r="H17" s="34" t="inlineStr">
        <is>
          <t>Hayır</t>
        </is>
      </c>
      <c r="I17" s="18" t="inlineStr">
        <is>
          <t>Sözleşme ile birlikte</t>
        </is>
      </c>
      <c r="J17" s="18" t="inlineStr">
        <is>
          <t>19 08 13* kodunu doğrular veya 19 08 14’e çevirir.</t>
        </is>
      </c>
    </row>
    <row r="18" ht="36" customHeight="1">
      <c r="A18" s="17" t="inlineStr">
        <is>
          <t>B-14</t>
        </is>
      </c>
      <c r="B18" s="17" t="inlineStr">
        <is>
          <t>BEKRA bildirimi</t>
        </is>
      </c>
      <c r="C18" s="17" t="inlineStr">
        <is>
          <t>29.04.2025 / 164505 / seviye kapsam dışı</t>
        </is>
      </c>
      <c r="D18" s="31" t="n">
        <v>45776</v>
      </c>
      <c r="E18" s="31" t="n"/>
      <c r="F18" s="32">
        <f>IF(E18="","",E18-TODAY())</f>
        <v/>
      </c>
      <c r="G18" s="33">
        <f>IF(E18="","Süresiz / olaya bağlı",IF(E18&lt;TODAY(),"SÜRESİ GEÇTİ",IF(E18-TODAY()&lt;=60,"60 GÜN İÇİNDE","GEÇERLİ")))</f>
        <v/>
      </c>
      <c r="H18" s="17" t="inlineStr">
        <is>
          <t>Evet</t>
        </is>
      </c>
      <c r="I18" s="17" t="inlineStr">
        <is>
          <t>Kimyasal miktarı değişince</t>
        </is>
      </c>
      <c r="J18" s="17" t="inlineStr"/>
    </row>
    <row r="19" ht="36" customHeight="1">
      <c r="A19" s="18" t="inlineStr">
        <is>
          <t>B-15</t>
        </is>
      </c>
      <c r="B19" s="18" t="inlineStr">
        <is>
          <t>Sıfır atık temel seviye belgesi</t>
        </is>
      </c>
      <c r="C19" s="18" t="inlineStr">
        <is>
          <t>06.05.2025 / T5/33/C/20/368</t>
        </is>
      </c>
      <c r="D19" s="28" t="n">
        <v>45783</v>
      </c>
      <c r="E19" s="28" t="n"/>
      <c r="F19" s="29">
        <f>IF(E19="","",E19-TODAY())</f>
        <v/>
      </c>
      <c r="G19" s="30">
        <f>IF(E19="","Süresiz / olaya bağlı",IF(E19&lt;TODAY(),"SÜRESİ GEÇTİ",IF(E19-TODAY()&lt;=60,"60 GÜN İÇİNDE","GEÇERLİ")))</f>
        <v/>
      </c>
      <c r="H19" s="18" t="inlineStr">
        <is>
          <t>Evet</t>
        </is>
      </c>
      <c r="I19" s="18" t="inlineStr">
        <is>
          <t>Sistem bozulursa veya seviye yükselirse</t>
        </is>
      </c>
      <c r="J19" s="18" t="inlineStr">
        <is>
          <t>3’lü kumbara kurulmuş.</t>
        </is>
      </c>
    </row>
    <row r="20" ht="36" customHeight="1">
      <c r="A20" s="17" t="inlineStr">
        <is>
          <t>B-16</t>
        </is>
      </c>
      <c r="B20" s="17" t="inlineStr">
        <is>
          <t>DSİ yeraltı suyu kullanım belgesi</t>
        </is>
      </c>
      <c r="C20" s="17" t="inlineStr">
        <is>
          <t>Dosyada yok, kullanım var</t>
        </is>
      </c>
      <c r="D20" s="31" t="n"/>
      <c r="E20" s="31" t="n"/>
      <c r="F20" s="32">
        <f>IF(E20="","",E20-TODAY())</f>
        <v/>
      </c>
      <c r="G20" s="33">
        <f>IF(E20="","Süresiz / olaya bağlı",IF(E20&lt;TODAY(),"SÜRESİ GEÇTİ",IF(E20-TODAY()&lt;=60,"60 GÜN İÇİNDE","GEÇERLİ")))</f>
        <v/>
      </c>
      <c r="H20" s="34" t="inlineStr">
        <is>
          <t>Hayır</t>
        </is>
      </c>
      <c r="I20" s="17" t="inlineStr">
        <is>
          <t>Başvuru veya belge derhal</t>
        </is>
      </c>
      <c r="J20" s="17" t="inlineStr">
        <is>
          <t>Aylık raporda cezai sonuç hakkında bilgilendirme yapılmış.</t>
        </is>
      </c>
    </row>
    <row r="21" ht="36" customHeight="1">
      <c r="A21" s="18" t="inlineStr">
        <is>
          <t>B-17</t>
        </is>
      </c>
      <c r="B21" s="18" t="inlineStr">
        <is>
          <t>Çevre danışmanlık sözleşmesi</t>
        </is>
      </c>
      <c r="C21" s="18" t="inlineStr">
        <is>
          <t>18.08.2026 / KBRÇEV</t>
        </is>
      </c>
      <c r="D21" s="28" t="n">
        <v>46252</v>
      </c>
      <c r="E21" s="28" t="n"/>
      <c r="F21" s="29">
        <f>IF(E21="","",E21-TODAY())</f>
        <v/>
      </c>
      <c r="G21" s="30">
        <f>IF(E21="","Süresiz / olaya bağlı",IF(E21&lt;TODAY(),"SÜRESİ GEÇTİ",IF(E21-TODAY()&lt;=60,"60 GÜN İÇİNDE","GEÇERLİ")))</f>
        <v/>
      </c>
      <c r="H21" s="18" t="inlineStr">
        <is>
          <t>Evet</t>
        </is>
      </c>
      <c r="I21" s="18" t="inlineStr">
        <is>
          <t>Sözleşme süresine göre</t>
        </is>
      </c>
      <c r="J21" s="18" t="inlineStr">
        <is>
          <t>Bitiş tarihi raporda yazmıyor. Sözleşmeden işlensin.</t>
        </is>
      </c>
    </row>
    <row r="22" ht="36" customHeight="1">
      <c r="A22" s="17" t="inlineStr">
        <is>
          <t>B-18</t>
        </is>
      </c>
      <c r="B22" s="17" t="inlineStr">
        <is>
          <t>Tesis sorumlusu belgesi</t>
        </is>
      </c>
      <c r="C22" s="17" t="inlineStr">
        <is>
          <t>Yok</t>
        </is>
      </c>
      <c r="D22" s="31" t="n"/>
      <c r="E22" s="31" t="n"/>
      <c r="F22" s="32">
        <f>IF(E22="","",E22-TODAY())</f>
        <v/>
      </c>
      <c r="G22" s="33">
        <f>IF(E22="","Süresiz / olaya bağlı",IF(E22&lt;TODAY(),"SÜRESİ GEÇTİ",IF(E22-TODAY()&lt;=60,"60 GÜN İÇİNDE","GEÇERLİ")))</f>
        <v/>
      </c>
      <c r="H22" s="34" t="inlineStr">
        <is>
          <t>Hayır</t>
        </is>
      </c>
      <c r="I22" s="17" t="inlineStr">
        <is>
          <t>Atama ile birlikte</t>
        </is>
      </c>
      <c r="J22" s="17" t="inlineStr">
        <is>
          <t>5 yıl geçerli belge. Kimliğe işlenecek.</t>
        </is>
      </c>
    </row>
    <row r="23" ht="36" customHeight="1">
      <c r="A23" s="18" t="inlineStr">
        <is>
          <t>B-19</t>
        </is>
      </c>
      <c r="B23" s="18" t="inlineStr">
        <is>
          <t>İç izleme analiz raporu (Eylül 2026)</t>
        </is>
      </c>
      <c r="C23" s="18" t="inlineStr">
        <is>
          <t>Alındı deniyor, rapor sette yok</t>
        </is>
      </c>
      <c r="D23" s="28" t="n"/>
      <c r="E23" s="28" t="n"/>
      <c r="F23" s="29">
        <f>IF(E23="","",E23-TODAY())</f>
        <v/>
      </c>
      <c r="G23" s="30">
        <f>IF(E23="","Süresiz / olaya bağlı",IF(E23&lt;TODAY(),"SÜRESİ GEÇTİ",IF(E23-TODAY()&lt;=60,"60 GÜN İÇİNDE","GEÇERLİ")))</f>
        <v/>
      </c>
      <c r="H23" s="34" t="inlineStr">
        <is>
          <t>Hayır</t>
        </is>
      </c>
      <c r="I23" s="18" t="inlineStr">
        <is>
          <t>Hemen bulun veya yeniden alın</t>
        </is>
      </c>
      <c r="J23" s="18" t="inlineStr">
        <is>
          <t>Sonraki kampanya iki ay sonra.</t>
        </is>
      </c>
    </row>
    <row r="24" ht="36" customHeight="1">
      <c r="A24" s="17" t="inlineStr">
        <is>
          <t>B-20</t>
        </is>
      </c>
      <c r="B24" s="17" t="inlineStr">
        <is>
          <t>Eğitim katılım formu</t>
        </is>
      </c>
      <c r="C24" s="17" t="inlineStr">
        <is>
          <t>24.09.2026’da verildi deniyor</t>
        </is>
      </c>
      <c r="D24" s="31" t="n">
        <v>46289</v>
      </c>
      <c r="E24" s="31" t="n"/>
      <c r="F24" s="32">
        <f>IF(E24="","",E24-TODAY())</f>
        <v/>
      </c>
      <c r="G24" s="33">
        <f>IF(E24="","Süresiz / olaya bağlı",IF(E24&lt;TODAY(),"SÜRESİ GEÇTİ",IF(E24-TODAY()&lt;=60,"60 GÜN İÇİNDE","GEÇERLİ")))</f>
        <v/>
      </c>
      <c r="H24" s="19" t="inlineStr">
        <is>
          <t>Teyit</t>
        </is>
      </c>
      <c r="I24" s="17" t="inlineStr">
        <is>
          <t>Yılda en az bir kez dosyalansın</t>
        </is>
      </c>
      <c r="J24" s="17" t="inlineStr">
        <is>
          <t>Çevre mevzuatı, genel atık, sıfır atık.</t>
        </is>
      </c>
    </row>
    <row r="25" ht="36" customHeight="1">
      <c r="A25" s="18" t="inlineStr">
        <is>
          <t>B-21</t>
        </is>
      </c>
      <c r="B25" s="18" t="inlineStr">
        <is>
          <t>Toprak kirliliği ön bilgi formu</t>
        </is>
      </c>
      <c r="C25" s="18" t="inlineStr">
        <is>
          <t>Ek-2 dışı denmiş, form yok</t>
        </is>
      </c>
      <c r="D25" s="28" t="n"/>
      <c r="E25" s="28" t="n"/>
      <c r="F25" s="29">
        <f>IF(E25="","",E25-TODAY())</f>
        <v/>
      </c>
      <c r="G25" s="30">
        <f>IF(E25="","Süresiz / olaya bağlı",IF(E25&lt;TODAY(),"SÜRESİ GEÇTİ",IF(E25-TODAY()&lt;=60,"60 GÜN İÇİNDE","GEÇERLİ")))</f>
        <v/>
      </c>
      <c r="H25" s="18" t="inlineStr">
        <is>
          <t>Muaf denmiş</t>
        </is>
      </c>
      <c r="I25" s="18" t="inlineStr">
        <is>
          <t>Ek-2 listesi değişirse</t>
        </is>
      </c>
      <c r="J25" s="18" t="inlineStr">
        <is>
          <t>Güncel listeyle bir kez daha doğrulansın.</t>
        </is>
      </c>
    </row>
    <row r="26" ht="36" customHeight="1">
      <c r="A26" s="17" t="inlineStr">
        <is>
          <t>B-22</t>
        </is>
      </c>
      <c r="B26" s="17" t="inlineStr">
        <is>
          <t>Emisyon ölçüm / izin dosyası</t>
        </is>
      </c>
      <c r="C26" s="17" t="inlineStr">
        <is>
          <t>Baca var deniyor, ölçüm yok</t>
        </is>
      </c>
      <c r="D26" s="31" t="n"/>
      <c r="E26" s="31" t="n"/>
      <c r="F26" s="32">
        <f>IF(E26="","",E26-TODAY())</f>
        <v/>
      </c>
      <c r="G26" s="33">
        <f>IF(E26="","Süresiz / olaya bağlı",IF(E26&lt;TODAY(),"SÜRESİ GEÇTİ",IF(E26-TODAY()&lt;=60,"60 GÜN İÇİNDE","GEÇERLİ")))</f>
        <v/>
      </c>
      <c r="H26" s="34" t="inlineStr">
        <is>
          <t>Hayır</t>
        </is>
      </c>
      <c r="I26" s="17" t="inlineStr">
        <is>
          <t>Baca envanterinden sonra</t>
        </is>
      </c>
      <c r="J26" s="17" t="inlineStr">
        <is>
          <t>Emisyon izni gerekmediği yazıyla kapatılacak ya da başvuru açılacak.</t>
        </is>
      </c>
    </row>
  </sheetData>
  <autoFilter ref="A4:J26"/>
  <mergeCells count="2">
    <mergeCell ref="A1:J1"/>
    <mergeCell ref="A2:J2"/>
  </mergeCells>
  <conditionalFormatting sqref="G5:G26">
    <cfRule type="expression" priority="1" dxfId="0">
      <formula>G5="SÜRESİ GEÇTİ"</formula>
    </cfRule>
    <cfRule type="expression" priority="2" dxfId="1">
      <formula>G5="60 GÜN İÇİNDE"</formula>
    </cfRule>
    <cfRule type="expression" priority="3" dxfId="2">
      <formula>G5="GEÇERLİ"</formula>
    </cfRule>
  </conditionalFormatting>
  <printOptions horizontalCentered="1"/>
  <pageMargins left="0.4" right="0.4" top="0.6" bottom="0.5" header="0.25" footer="0.25"/>
  <pageSetup orientation="landscape" paperSize="9" fitToHeight="0" fitToWidth="1"/>
  <headerFooter>
    <oddHeader>&amp;LBelge takvimi&amp;RÇevre takip dosyası  |  30.09.2026</oddHeader>
    <oddFooter>&amp;LSaha ölçümü ve analiz raporu içermez. İzin eki gelince ek esastır.&amp;RSayfa &amp;P / &amp;N</oddFooter>
    <evenHeader/>
    <evenFooter/>
    <firstHeader/>
    <firstFooter/>
  </headerFooter>
</worksheet>
</file>

<file path=xl/worksheets/sheet5.xml><?xml version="1.0" encoding="utf-8"?>
<worksheet xmlns="http://schemas.openxmlformats.org/spreadsheetml/2006/main">
  <sheetPr>
    <tabColor rgb="001A5276"/>
    <outlinePr summaryBelow="1" summaryRight="1"/>
    <pageSetUpPr fitToPage="1"/>
  </sheetPr>
  <dimension ref="A1:P43"/>
  <sheetViews>
    <sheetView showGridLines="0" zoomScale="110"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6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36" customWidth="1" min="15" max="15"/>
  </cols>
  <sheetData>
    <row r="1">
      <c r="A1" s="1" t="inlineStr">
        <is>
          <t>AYLIK SAHA VE DOSYA KONTROLÜ</t>
        </is>
      </c>
    </row>
    <row r="2">
      <c r="A2" s="2" t="inlineStr">
        <is>
          <t>Her ziyarette hücreye Uygun, Uygun değil, Gözlenmedi veya Kapsam dışı yazın. Uygun değil olan satır Uygunsuzluk sayfasına işlenir.</t>
        </is>
      </c>
    </row>
    <row r="4" ht="22" customHeight="1">
      <c r="A4" s="35" t="inlineStr">
        <is>
          <t>Grup</t>
        </is>
      </c>
      <c r="B4" s="35" t="inlineStr">
        <is>
          <t>Kontrol</t>
        </is>
      </c>
      <c r="C4" s="35" t="inlineStr">
        <is>
          <t>Eki26</t>
        </is>
      </c>
      <c r="D4" s="35" t="inlineStr">
        <is>
          <t>Kas26</t>
        </is>
      </c>
      <c r="E4" s="35" t="inlineStr">
        <is>
          <t>Ara26</t>
        </is>
      </c>
      <c r="F4" s="35" t="inlineStr">
        <is>
          <t>Oca27</t>
        </is>
      </c>
      <c r="G4" s="35" t="inlineStr">
        <is>
          <t>Şub27</t>
        </is>
      </c>
      <c r="H4" s="35" t="inlineStr">
        <is>
          <t>Mar27</t>
        </is>
      </c>
      <c r="I4" s="35" t="inlineStr">
        <is>
          <t>Nis27</t>
        </is>
      </c>
      <c r="J4" s="35" t="inlineStr">
        <is>
          <t>May27</t>
        </is>
      </c>
      <c r="K4" s="35" t="inlineStr">
        <is>
          <t>Haz27</t>
        </is>
      </c>
      <c r="L4" s="35" t="inlineStr">
        <is>
          <t>Tem27</t>
        </is>
      </c>
      <c r="M4" s="35" t="inlineStr">
        <is>
          <t>Ağu27</t>
        </is>
      </c>
      <c r="N4" s="35" t="inlineStr">
        <is>
          <t>Eyl27</t>
        </is>
      </c>
      <c r="O4" s="35" t="inlineStr">
        <is>
          <t>Not</t>
        </is>
      </c>
    </row>
    <row r="5" ht="28" customHeight="1">
      <c r="A5" s="36" t="inlineStr">
        <is>
          <t>Hat</t>
        </is>
      </c>
      <c r="B5" s="14" t="inlineStr">
        <is>
          <t>Meyve ve sebze yıkama suyu AAT girişine bağlı</t>
        </is>
      </c>
      <c r="C5" s="37" t="n"/>
      <c r="D5" s="37" t="n"/>
      <c r="E5" s="37" t="n"/>
      <c r="F5" s="37" t="n"/>
      <c r="G5" s="37" t="n"/>
      <c r="H5" s="37" t="n"/>
      <c r="I5" s="37" t="n"/>
      <c r="J5" s="37" t="n"/>
      <c r="K5" s="37" t="n"/>
      <c r="L5" s="37" t="n"/>
      <c r="M5" s="37" t="n"/>
      <c r="N5" s="37" t="n"/>
      <c r="O5" s="6" t="n"/>
    </row>
    <row r="6" ht="28" customHeight="1">
      <c r="A6" s="36" t="inlineStr">
        <is>
          <t>Hat</t>
        </is>
      </c>
      <c r="B6" s="14" t="inlineStr">
        <is>
          <t>Durulama suyu AAT girişine bağlı</t>
        </is>
      </c>
      <c r="C6" s="37" t="n"/>
      <c r="D6" s="37" t="n"/>
      <c r="E6" s="37" t="n"/>
      <c r="F6" s="37" t="n"/>
      <c r="G6" s="37" t="n"/>
      <c r="H6" s="37" t="n"/>
      <c r="I6" s="37" t="n"/>
      <c r="J6" s="37" t="n"/>
      <c r="K6" s="37" t="n"/>
      <c r="L6" s="37" t="n"/>
      <c r="M6" s="37" t="n"/>
      <c r="N6" s="37" t="n"/>
      <c r="O6" s="6" t="n"/>
    </row>
    <row r="7" ht="28" customHeight="1">
      <c r="A7" s="36" t="inlineStr">
        <is>
          <t>Hat</t>
        </is>
      </c>
      <c r="B7" s="14" t="inlineStr">
        <is>
          <t>Mumlama süzüntüsü ve zemin yıkama AAT’ye bağlı</t>
        </is>
      </c>
      <c r="C7" s="37" t="n"/>
      <c r="D7" s="37" t="n"/>
      <c r="E7" s="37" t="n"/>
      <c r="F7" s="37" t="n"/>
      <c r="G7" s="37" t="n"/>
      <c r="H7" s="37" t="n"/>
      <c r="I7" s="37" t="n"/>
      <c r="J7" s="37" t="n"/>
      <c r="K7" s="37" t="n"/>
      <c r="L7" s="37" t="n"/>
      <c r="M7" s="37" t="n"/>
      <c r="N7" s="37" t="n"/>
      <c r="O7" s="6" t="n"/>
    </row>
    <row r="8" ht="28" customHeight="1">
      <c r="A8" s="36" t="inlineStr">
        <is>
          <t>Hat</t>
        </is>
      </c>
      <c r="B8" s="14" t="inlineStr">
        <is>
          <t>Sosyal tesis evsel suyu AAT’ye bağlı</t>
        </is>
      </c>
      <c r="C8" s="37" t="n"/>
      <c r="D8" s="37" t="n"/>
      <c r="E8" s="37" t="n"/>
      <c r="F8" s="37" t="n"/>
      <c r="G8" s="37" t="n"/>
      <c r="H8" s="37" t="n"/>
      <c r="I8" s="37" t="n"/>
      <c r="J8" s="37" t="n"/>
      <c r="K8" s="37" t="n"/>
      <c r="L8" s="37" t="n"/>
      <c r="M8" s="37" t="n"/>
      <c r="N8" s="37" t="n"/>
      <c r="O8" s="6" t="n"/>
    </row>
    <row r="9" ht="28" customHeight="1">
      <c r="A9" s="36" t="inlineStr">
        <is>
          <t>Hat</t>
        </is>
      </c>
      <c r="B9" s="14" t="inlineStr">
        <is>
          <t>Yağmur suyu AAT’ye ve proses hattına karışmıyor</t>
        </is>
      </c>
      <c r="C9" s="37" t="n"/>
      <c r="D9" s="37" t="n"/>
      <c r="E9" s="37" t="n"/>
      <c r="F9" s="37" t="n"/>
      <c r="G9" s="37" t="n"/>
      <c r="H9" s="37" t="n"/>
      <c r="I9" s="37" t="n"/>
      <c r="J9" s="37" t="n"/>
      <c r="K9" s="37" t="n"/>
      <c r="L9" s="37" t="n"/>
      <c r="M9" s="37" t="n"/>
      <c r="N9" s="37" t="n"/>
      <c r="O9" s="6" t="n"/>
    </row>
    <row r="10" ht="28" customHeight="1">
      <c r="A10" s="36" t="inlineStr">
        <is>
          <t>Hat</t>
        </is>
      </c>
      <c r="B10" s="14" t="inlineStr">
        <is>
          <t>Temiz su, kuyu suyu veya soğutma suyu ile seyreltme yok</t>
        </is>
      </c>
      <c r="C10" s="37" t="n"/>
      <c r="D10" s="37" t="n"/>
      <c r="E10" s="37" t="n"/>
      <c r="F10" s="37" t="n"/>
      <c r="G10" s="37" t="n"/>
      <c r="H10" s="37" t="n"/>
      <c r="I10" s="37" t="n"/>
      <c r="J10" s="37" t="n"/>
      <c r="K10" s="37" t="n"/>
      <c r="L10" s="37" t="n"/>
      <c r="M10" s="37" t="n"/>
      <c r="N10" s="37" t="n"/>
      <c r="O10" s="6" t="n"/>
    </row>
    <row r="11" ht="28" customHeight="1">
      <c r="A11" s="36" t="inlineStr">
        <is>
          <t>Hat</t>
        </is>
      </c>
      <c r="B11" s="14" t="inlineStr">
        <is>
          <t>Bypass vanası kapalı, kilitli veya kayıt altında</t>
        </is>
      </c>
      <c r="C11" s="37" t="n"/>
      <c r="D11" s="37" t="n"/>
      <c r="E11" s="37" t="n"/>
      <c r="F11" s="37" t="n"/>
      <c r="G11" s="37" t="n"/>
      <c r="H11" s="37" t="n"/>
      <c r="I11" s="37" t="n"/>
      <c r="J11" s="37" t="n"/>
      <c r="K11" s="37" t="n"/>
      <c r="L11" s="37" t="n"/>
      <c r="M11" s="37" t="n"/>
      <c r="N11" s="37" t="n"/>
      <c r="O11" s="6" t="n"/>
    </row>
    <row r="12" ht="28" customHeight="1">
      <c r="A12" s="36" t="inlineStr">
        <is>
          <t>Hat</t>
        </is>
      </c>
      <c r="B12" s="14" t="inlineStr">
        <is>
          <t>Dereye giden kaçak hortum veya ikinci deşarj ucu yok</t>
        </is>
      </c>
      <c r="C12" s="37" t="n"/>
      <c r="D12" s="37" t="n"/>
      <c r="E12" s="37" t="n"/>
      <c r="F12" s="37" t="n"/>
      <c r="G12" s="37" t="n"/>
      <c r="H12" s="37" t="n"/>
      <c r="I12" s="37" t="n"/>
      <c r="J12" s="37" t="n"/>
      <c r="K12" s="37" t="n"/>
      <c r="L12" s="37" t="n"/>
      <c r="M12" s="37" t="n"/>
      <c r="N12" s="37" t="n"/>
      <c r="O12" s="6" t="n"/>
    </row>
    <row r="13" ht="28" customHeight="1">
      <c r="A13" s="38" t="inlineStr">
        <is>
          <t>Ünite</t>
        </is>
      </c>
      <c r="B13" s="25" t="inlineStr">
        <is>
          <t>Izgara temiz, tutulan atık sahada birikmiyor</t>
        </is>
      </c>
      <c r="C13" s="37" t="n"/>
      <c r="D13" s="37" t="n"/>
      <c r="E13" s="37" t="n"/>
      <c r="F13" s="37" t="n"/>
      <c r="G13" s="37" t="n"/>
      <c r="H13" s="37" t="n"/>
      <c r="I13" s="37" t="n"/>
      <c r="J13" s="37" t="n"/>
      <c r="K13" s="37" t="n"/>
      <c r="L13" s="37" t="n"/>
      <c r="M13" s="37" t="n"/>
      <c r="N13" s="37" t="n"/>
      <c r="O13" s="6" t="n"/>
    </row>
    <row r="14" ht="28" customHeight="1">
      <c r="A14" s="38" t="inlineStr">
        <is>
          <t>Ünite</t>
        </is>
      </c>
      <c r="B14" s="25" t="inlineStr">
        <is>
          <t>Kum tutucu çalışıyor</t>
        </is>
      </c>
      <c r="C14" s="37" t="n"/>
      <c r="D14" s="37" t="n"/>
      <c r="E14" s="37" t="n"/>
      <c r="F14" s="37" t="n"/>
      <c r="G14" s="37" t="n"/>
      <c r="H14" s="37" t="n"/>
      <c r="I14" s="37" t="n"/>
      <c r="J14" s="37" t="n"/>
      <c r="K14" s="37" t="n"/>
      <c r="L14" s="37" t="n"/>
      <c r="M14" s="37" t="n"/>
      <c r="N14" s="37" t="n"/>
      <c r="O14" s="6" t="n"/>
    </row>
    <row r="15" ht="28" customHeight="1">
      <c r="A15" s="38" t="inlineStr">
        <is>
          <t>Ünite</t>
        </is>
      </c>
      <c r="B15" s="25" t="inlineStr">
        <is>
          <t>Dengeleme havuzu seviye ve karıştırması normal, taşma yok</t>
        </is>
      </c>
      <c r="C15" s="37" t="n"/>
      <c r="D15" s="37" t="n"/>
      <c r="E15" s="37" t="n"/>
      <c r="F15" s="37" t="n"/>
      <c r="G15" s="37" t="n"/>
      <c r="H15" s="37" t="n"/>
      <c r="I15" s="37" t="n"/>
      <c r="J15" s="37" t="n"/>
      <c r="K15" s="37" t="n"/>
      <c r="L15" s="37" t="n"/>
      <c r="M15" s="37" t="n"/>
      <c r="N15" s="37" t="n"/>
      <c r="O15" s="6" t="n"/>
    </row>
    <row r="16" ht="28" customHeight="1">
      <c r="A16" s="38" t="inlineStr">
        <is>
          <t>Ünite</t>
        </is>
      </c>
      <c r="B16" s="25" t="inlineStr">
        <is>
          <t>Havalandırmada çözünmüş oksijen, renk ve koku normal</t>
        </is>
      </c>
      <c r="C16" s="37" t="n"/>
      <c r="D16" s="37" t="n"/>
      <c r="E16" s="37" t="n"/>
      <c r="F16" s="37" t="n"/>
      <c r="G16" s="37" t="n"/>
      <c r="H16" s="37" t="n"/>
      <c r="I16" s="37" t="n"/>
      <c r="J16" s="37" t="n"/>
      <c r="K16" s="37" t="n"/>
      <c r="L16" s="37" t="n"/>
      <c r="M16" s="37" t="n"/>
      <c r="N16" s="37" t="n"/>
      <c r="O16" s="6" t="n"/>
    </row>
    <row r="17" ht="28" customHeight="1">
      <c r="A17" s="38" t="inlineStr">
        <is>
          <t>Ünite</t>
        </is>
      </c>
      <c r="B17" s="25" t="inlineStr">
        <is>
          <t>Çöktürme savağı temiz, çamur kaçışı yok</t>
        </is>
      </c>
      <c r="C17" s="37" t="n"/>
      <c r="D17" s="37" t="n"/>
      <c r="E17" s="37" t="n"/>
      <c r="F17" s="37" t="n"/>
      <c r="G17" s="37" t="n"/>
      <c r="H17" s="37" t="n"/>
      <c r="I17" s="37" t="n"/>
      <c r="J17" s="37" t="n"/>
      <c r="K17" s="37" t="n"/>
      <c r="L17" s="37" t="n"/>
      <c r="M17" s="37" t="n"/>
      <c r="N17" s="37" t="n"/>
      <c r="O17" s="6" t="n"/>
    </row>
    <row r="18" ht="28" customHeight="1">
      <c r="A18" s="38" t="inlineStr">
        <is>
          <t>Ünite</t>
        </is>
      </c>
      <c r="B18" s="25" t="inlineStr">
        <is>
          <t>Klor temas tankı devrede, doz kaydı var</t>
        </is>
      </c>
      <c r="C18" s="37" t="n"/>
      <c r="D18" s="37" t="n"/>
      <c r="E18" s="37" t="n"/>
      <c r="F18" s="37" t="n"/>
      <c r="G18" s="37" t="n"/>
      <c r="H18" s="37" t="n"/>
      <c r="I18" s="37" t="n"/>
      <c r="J18" s="37" t="n"/>
      <c r="K18" s="37" t="n"/>
      <c r="L18" s="37" t="n"/>
      <c r="M18" s="37" t="n"/>
      <c r="N18" s="37" t="n"/>
      <c r="O18" s="6" t="n"/>
    </row>
    <row r="19" ht="28" customHeight="1">
      <c r="A19" s="38" t="inlineStr">
        <is>
          <t>Ünite</t>
        </is>
      </c>
      <c r="B19" s="25" t="inlineStr">
        <is>
          <t>Yedek pompa veya blower arızası işletmeyi durdurmuyor</t>
        </is>
      </c>
      <c r="C19" s="37" t="n"/>
      <c r="D19" s="37" t="n"/>
      <c r="E19" s="37" t="n"/>
      <c r="F19" s="37" t="n"/>
      <c r="G19" s="37" t="n"/>
      <c r="H19" s="37" t="n"/>
      <c r="I19" s="37" t="n"/>
      <c r="J19" s="37" t="n"/>
      <c r="K19" s="37" t="n"/>
      <c r="L19" s="37" t="n"/>
      <c r="M19" s="37" t="n"/>
      <c r="N19" s="37" t="n"/>
      <c r="O19" s="6" t="n"/>
    </row>
    <row r="20" ht="28" customHeight="1">
      <c r="A20" s="39" t="inlineStr">
        <is>
          <t>Deşarj</t>
        </is>
      </c>
      <c r="B20" s="40" t="inlineStr">
        <is>
          <t>Numune alma noktası çıkışı temsil ediyor ve erişilebilir</t>
        </is>
      </c>
      <c r="C20" s="37" t="n"/>
      <c r="D20" s="37" t="n"/>
      <c r="E20" s="37" t="n"/>
      <c r="F20" s="37" t="n"/>
      <c r="G20" s="37" t="n"/>
      <c r="H20" s="37" t="n"/>
      <c r="I20" s="37" t="n"/>
      <c r="J20" s="37" t="n"/>
      <c r="K20" s="37" t="n"/>
      <c r="L20" s="37" t="n"/>
      <c r="M20" s="37" t="n"/>
      <c r="N20" s="37" t="n"/>
      <c r="O20" s="6" t="n"/>
    </row>
    <row r="21" ht="28" customHeight="1">
      <c r="A21" s="39" t="inlineStr">
        <is>
          <t>Deşarj</t>
        </is>
      </c>
      <c r="B21" s="40" t="inlineStr">
        <is>
          <t>Deşarj ucu kimlikteki koordinatta</t>
        </is>
      </c>
      <c r="C21" s="37" t="n"/>
      <c r="D21" s="37" t="n"/>
      <c r="E21" s="37" t="n"/>
      <c r="F21" s="37" t="n"/>
      <c r="G21" s="37" t="n"/>
      <c r="H21" s="37" t="n"/>
      <c r="I21" s="37" t="n"/>
      <c r="J21" s="37" t="n"/>
      <c r="K21" s="37" t="n"/>
      <c r="L21" s="37" t="n"/>
      <c r="M21" s="37" t="n"/>
      <c r="N21" s="37" t="n"/>
      <c r="O21" s="6" t="n"/>
    </row>
    <row r="22" ht="28" customHeight="1">
      <c r="A22" s="39" t="inlineStr">
        <is>
          <t>Deşarj</t>
        </is>
      </c>
      <c r="B22" s="40" t="inlineStr">
        <is>
          <t>Nacarlı Deresi mansabında renk, koku, köpük veya balık ölümü yok</t>
        </is>
      </c>
      <c r="C22" s="37" t="n"/>
      <c r="D22" s="37" t="n"/>
      <c r="E22" s="37" t="n"/>
      <c r="F22" s="37" t="n"/>
      <c r="G22" s="37" t="n"/>
      <c r="H22" s="37" t="n"/>
      <c r="I22" s="37" t="n"/>
      <c r="J22" s="37" t="n"/>
      <c r="K22" s="37" t="n"/>
      <c r="L22" s="37" t="n"/>
      <c r="M22" s="37" t="n"/>
      <c r="N22" s="37" t="n"/>
      <c r="O22" s="6" t="n"/>
    </row>
    <row r="23" ht="28" customHeight="1">
      <c r="A23" s="39" t="inlineStr">
        <is>
          <t>Deşarj</t>
        </is>
      </c>
      <c r="B23" s="40" t="inlineStr">
        <is>
          <t>Günlük debi 90 m³’ü aşmıyor</t>
        </is>
      </c>
      <c r="C23" s="37" t="n"/>
      <c r="D23" s="37" t="n"/>
      <c r="E23" s="37" t="n"/>
      <c r="F23" s="37" t="n"/>
      <c r="G23" s="37" t="n"/>
      <c r="H23" s="37" t="n"/>
      <c r="I23" s="37" t="n"/>
      <c r="J23" s="37" t="n"/>
      <c r="K23" s="37" t="n"/>
      <c r="L23" s="37" t="n"/>
      <c r="M23" s="37" t="n"/>
      <c r="N23" s="37" t="n"/>
      <c r="O23" s="6" t="n"/>
    </row>
    <row r="24" ht="28" customHeight="1">
      <c r="A24" s="41" t="inlineStr">
        <is>
          <t>Kayıt</t>
        </is>
      </c>
      <c r="B24" s="19" t="inlineStr">
        <is>
          <t>Günlük işletme defteri eksiksiz</t>
        </is>
      </c>
      <c r="C24" s="37" t="n"/>
      <c r="D24" s="37" t="n"/>
      <c r="E24" s="37" t="n"/>
      <c r="F24" s="37" t="n"/>
      <c r="G24" s="37" t="n"/>
      <c r="H24" s="37" t="n"/>
      <c r="I24" s="37" t="n"/>
      <c r="J24" s="37" t="n"/>
      <c r="K24" s="37" t="n"/>
      <c r="L24" s="37" t="n"/>
      <c r="M24" s="37" t="n"/>
      <c r="N24" s="37" t="n"/>
      <c r="O24" s="6" t="n"/>
    </row>
    <row r="25" ht="28" customHeight="1">
      <c r="A25" s="41" t="inlineStr">
        <is>
          <t>Kayıt</t>
        </is>
      </c>
      <c r="B25" s="19" t="inlineStr">
        <is>
          <t>İç izleme kampanyası takvimde ve sonuç dosyada</t>
        </is>
      </c>
      <c r="C25" s="37" t="n"/>
      <c r="D25" s="37" t="n"/>
      <c r="E25" s="37" t="n"/>
      <c r="F25" s="37" t="n"/>
      <c r="G25" s="37" t="n"/>
      <c r="H25" s="37" t="n"/>
      <c r="I25" s="37" t="n"/>
      <c r="J25" s="37" t="n"/>
      <c r="K25" s="37" t="n"/>
      <c r="L25" s="37" t="n"/>
      <c r="M25" s="37" t="n"/>
      <c r="N25" s="37" t="n"/>
      <c r="O25" s="6" t="n"/>
    </row>
    <row r="26" ht="28" customHeight="1">
      <c r="A26" s="41" t="inlineStr">
        <is>
          <t>Kayıt</t>
        </is>
      </c>
      <c r="B26" s="19" t="inlineStr">
        <is>
          <t>Son analiz KOİ, AKM ve pH limite uygun</t>
        </is>
      </c>
      <c r="C26" s="37" t="n"/>
      <c r="D26" s="37" t="n"/>
      <c r="E26" s="37" t="n"/>
      <c r="F26" s="37" t="n"/>
      <c r="G26" s="37" t="n"/>
      <c r="H26" s="37" t="n"/>
      <c r="I26" s="37" t="n"/>
      <c r="J26" s="37" t="n"/>
      <c r="K26" s="37" t="n"/>
      <c r="L26" s="37" t="n"/>
      <c r="M26" s="37" t="n"/>
      <c r="N26" s="37" t="n"/>
      <c r="O26" s="6" t="n"/>
    </row>
    <row r="27" ht="28" customHeight="1">
      <c r="A27" s="41" t="inlineStr">
        <is>
          <t>Kayıt</t>
        </is>
      </c>
      <c r="B27" s="19" t="inlineStr">
        <is>
          <t>Aşım varsa bildirim ve on iş günü ek numuneleri dosyada</t>
        </is>
      </c>
      <c r="C27" s="37" t="n"/>
      <c r="D27" s="37" t="n"/>
      <c r="E27" s="37" t="n"/>
      <c r="F27" s="37" t="n"/>
      <c r="G27" s="37" t="n"/>
      <c r="H27" s="37" t="n"/>
      <c r="I27" s="37" t="n"/>
      <c r="J27" s="37" t="n"/>
      <c r="K27" s="37" t="n"/>
      <c r="L27" s="37" t="n"/>
      <c r="M27" s="37" t="n"/>
      <c r="N27" s="37" t="n"/>
      <c r="O27" s="6" t="n"/>
    </row>
    <row r="28" ht="28" customHeight="1">
      <c r="A28" s="42" t="inlineStr">
        <is>
          <t>Atık</t>
        </is>
      </c>
      <c r="B28" s="43" t="inlineStr">
        <is>
          <t>Tehlikeli ve tehlikesiz atık ayrı toplanıyor</t>
        </is>
      </c>
      <c r="C28" s="37" t="n"/>
      <c r="D28" s="37" t="n"/>
      <c r="E28" s="37" t="n"/>
      <c r="F28" s="37" t="n"/>
      <c r="G28" s="37" t="n"/>
      <c r="H28" s="37" t="n"/>
      <c r="I28" s="37" t="n"/>
      <c r="J28" s="37" t="n"/>
      <c r="K28" s="37" t="n"/>
      <c r="L28" s="37" t="n"/>
      <c r="M28" s="37" t="n"/>
      <c r="N28" s="37" t="n"/>
      <c r="O28" s="6" t="n"/>
    </row>
    <row r="29" ht="28" customHeight="1">
      <c r="A29" s="42" t="inlineStr">
        <is>
          <t>Atık</t>
        </is>
      </c>
      <c r="B29" s="43" t="inlineStr">
        <is>
          <t>Geçici depolama sızdırmaz, etiketli, yağmur alıyor mu kontrol edildi</t>
        </is>
      </c>
      <c r="C29" s="37" t="n"/>
      <c r="D29" s="37" t="n"/>
      <c r="E29" s="37" t="n"/>
      <c r="F29" s="37" t="n"/>
      <c r="G29" s="37" t="n"/>
      <c r="H29" s="37" t="n"/>
      <c r="I29" s="37" t="n"/>
      <c r="J29" s="37" t="n"/>
      <c r="K29" s="37" t="n"/>
      <c r="L29" s="37" t="n"/>
      <c r="M29" s="37" t="n"/>
      <c r="N29" s="37" t="n"/>
      <c r="O29" s="6" t="n"/>
    </row>
    <row r="30" ht="28" customHeight="1">
      <c r="A30" s="42" t="inlineStr">
        <is>
          <t>Atık</t>
        </is>
      </c>
      <c r="B30" s="43" t="inlineStr">
        <is>
          <t>Çamur sahada yığılmıyor, sevkiyat lisanslı firmaya</t>
        </is>
      </c>
      <c r="C30" s="37" t="n"/>
      <c r="D30" s="37" t="n"/>
      <c r="E30" s="37" t="n"/>
      <c r="F30" s="37" t="n"/>
      <c r="G30" s="37" t="n"/>
      <c r="H30" s="37" t="n"/>
      <c r="I30" s="37" t="n"/>
      <c r="J30" s="37" t="n"/>
      <c r="K30" s="37" t="n"/>
      <c r="L30" s="37" t="n"/>
      <c r="M30" s="37" t="n"/>
      <c r="N30" s="37" t="n"/>
      <c r="O30" s="6" t="n"/>
    </row>
    <row r="31" ht="28" customHeight="1">
      <c r="A31" s="42" t="inlineStr">
        <is>
          <t>Atık</t>
        </is>
      </c>
      <c r="B31" s="43" t="inlineStr">
        <is>
          <t>Bu ayki tartım veya MOTAT kaydı AtikTakip’e işlendi</t>
        </is>
      </c>
      <c r="C31" s="37" t="n"/>
      <c r="D31" s="37" t="n"/>
      <c r="E31" s="37" t="n"/>
      <c r="F31" s="37" t="n"/>
      <c r="G31" s="37" t="n"/>
      <c r="H31" s="37" t="n"/>
      <c r="I31" s="37" t="n"/>
      <c r="J31" s="37" t="n"/>
      <c r="K31" s="37" t="n"/>
      <c r="L31" s="37" t="n"/>
      <c r="M31" s="37" t="n"/>
      <c r="N31" s="37" t="n"/>
      <c r="O31" s="6" t="n"/>
    </row>
    <row r="32" ht="28" customHeight="1">
      <c r="A32" s="42" t="inlineStr">
        <is>
          <t>Atık</t>
        </is>
      </c>
      <c r="B32" s="43" t="inlineStr">
        <is>
          <t>Lisanslı firma sözleşmesi yürürlükte</t>
        </is>
      </c>
      <c r="C32" s="37" t="n"/>
      <c r="D32" s="37" t="n"/>
      <c r="E32" s="37" t="n"/>
      <c r="F32" s="37" t="n"/>
      <c r="G32" s="37" t="n"/>
      <c r="H32" s="37" t="n"/>
      <c r="I32" s="37" t="n"/>
      <c r="J32" s="37" t="n"/>
      <c r="K32" s="37" t="n"/>
      <c r="L32" s="37" t="n"/>
      <c r="M32" s="37" t="n"/>
      <c r="N32" s="37" t="n"/>
      <c r="O32" s="6" t="n"/>
    </row>
    <row r="33" ht="28" customHeight="1">
      <c r="A33" s="44" t="inlineStr">
        <is>
          <t>Kimyasal</t>
        </is>
      </c>
      <c r="B33" s="22" t="inlineStr">
        <is>
          <t>Hipoklorit, mum ve diğer SDS’ler klasörde</t>
        </is>
      </c>
      <c r="C33" s="37" t="n"/>
      <c r="D33" s="37" t="n"/>
      <c r="E33" s="37" t="n"/>
      <c r="F33" s="37" t="n"/>
      <c r="G33" s="37" t="n"/>
      <c r="H33" s="37" t="n"/>
      <c r="I33" s="37" t="n"/>
      <c r="J33" s="37" t="n"/>
      <c r="K33" s="37" t="n"/>
      <c r="L33" s="37" t="n"/>
      <c r="M33" s="37" t="n"/>
      <c r="N33" s="37" t="n"/>
      <c r="O33" s="6" t="n"/>
    </row>
    <row r="34" ht="28" customHeight="1">
      <c r="A34" s="44" t="inlineStr">
        <is>
          <t>Kimyasal</t>
        </is>
      </c>
      <c r="B34" s="22" t="inlineStr">
        <is>
          <t>Dökülme kiti yerinde, zemin sızıntısı yok</t>
        </is>
      </c>
      <c r="C34" s="37" t="n"/>
      <c r="D34" s="37" t="n"/>
      <c r="E34" s="37" t="n"/>
      <c r="F34" s="37" t="n"/>
      <c r="G34" s="37" t="n"/>
      <c r="H34" s="37" t="n"/>
      <c r="I34" s="37" t="n"/>
      <c r="J34" s="37" t="n"/>
      <c r="K34" s="37" t="n"/>
      <c r="L34" s="37" t="n"/>
      <c r="M34" s="37" t="n"/>
      <c r="N34" s="37" t="n"/>
      <c r="O34" s="6" t="n"/>
    </row>
    <row r="35" ht="28" customHeight="1">
      <c r="A35" s="45" t="inlineStr">
        <is>
          <t>Su</t>
        </is>
      </c>
      <c r="B35" s="46" t="inlineStr">
        <is>
          <t>Şebeke ve kuyu sayaçları okundu</t>
        </is>
      </c>
      <c r="C35" s="37" t="n"/>
      <c r="D35" s="37" t="n"/>
      <c r="E35" s="37" t="n"/>
      <c r="F35" s="37" t="n"/>
      <c r="G35" s="37" t="n"/>
      <c r="H35" s="37" t="n"/>
      <c r="I35" s="37" t="n"/>
      <c r="J35" s="37" t="n"/>
      <c r="K35" s="37" t="n"/>
      <c r="L35" s="37" t="n"/>
      <c r="M35" s="37" t="n"/>
      <c r="N35" s="37" t="n"/>
      <c r="O35" s="6" t="n"/>
    </row>
    <row r="36" ht="28" customHeight="1">
      <c r="A36" s="45" t="inlineStr">
        <is>
          <t>Su</t>
        </is>
      </c>
      <c r="B36" s="46" t="inlineStr">
        <is>
          <t>DSİ yeraltı suyu belgesi dosyada</t>
        </is>
      </c>
      <c r="C36" s="37" t="n"/>
      <c r="D36" s="37" t="n"/>
      <c r="E36" s="37" t="n"/>
      <c r="F36" s="37" t="n"/>
      <c r="G36" s="37" t="n"/>
      <c r="H36" s="37" t="n"/>
      <c r="I36" s="37" t="n"/>
      <c r="J36" s="37" t="n"/>
      <c r="K36" s="37" t="n"/>
      <c r="L36" s="37" t="n"/>
      <c r="M36" s="37" t="n"/>
      <c r="N36" s="37" t="n"/>
      <c r="O36" s="6" t="n"/>
    </row>
    <row r="37" ht="28" customHeight="1">
      <c r="A37" s="47" t="inlineStr">
        <is>
          <t>Diğer</t>
        </is>
      </c>
      <c r="B37" s="18" t="inlineStr">
        <is>
          <t>Sıfır atık kumbaraları yerinde ve karışmamış</t>
        </is>
      </c>
      <c r="C37" s="37" t="n"/>
      <c r="D37" s="37" t="n"/>
      <c r="E37" s="37" t="n"/>
      <c r="F37" s="37" t="n"/>
      <c r="G37" s="37" t="n"/>
      <c r="H37" s="37" t="n"/>
      <c r="I37" s="37" t="n"/>
      <c r="J37" s="37" t="n"/>
      <c r="K37" s="37" t="n"/>
      <c r="L37" s="37" t="n"/>
      <c r="M37" s="37" t="n"/>
      <c r="N37" s="37" t="n"/>
      <c r="O37" s="6" t="n"/>
    </row>
    <row r="38" ht="28" customHeight="1">
      <c r="A38" s="47" t="inlineStr">
        <is>
          <t>Diğer</t>
        </is>
      </c>
      <c r="B38" s="18" t="inlineStr">
        <is>
          <t>Personele iletilecek şikayet veya koku bildirimi yok</t>
        </is>
      </c>
      <c r="C38" s="37" t="n"/>
      <c r="D38" s="37" t="n"/>
      <c r="E38" s="37" t="n"/>
      <c r="F38" s="37" t="n"/>
      <c r="G38" s="37" t="n"/>
      <c r="H38" s="37" t="n"/>
      <c r="I38" s="37" t="n"/>
      <c r="J38" s="37" t="n"/>
      <c r="K38" s="37" t="n"/>
      <c r="L38" s="37" t="n"/>
      <c r="M38" s="37" t="n"/>
      <c r="N38" s="37" t="n"/>
      <c r="O38" s="6" t="n"/>
    </row>
    <row r="39" ht="28" customHeight="1">
      <c r="A39" s="47" t="inlineStr">
        <is>
          <t>Diğer</t>
        </is>
      </c>
      <c r="B39" s="18" t="inlineStr">
        <is>
          <t>Eğitim veya bilgilendirme kaydı bu çeyrekte var</t>
        </is>
      </c>
      <c r="C39" s="37" t="n"/>
      <c r="D39" s="37" t="n"/>
      <c r="E39" s="37" t="n"/>
      <c r="F39" s="37" t="n"/>
      <c r="G39" s="37" t="n"/>
      <c r="H39" s="37" t="n"/>
      <c r="I39" s="37" t="n"/>
      <c r="J39" s="37" t="n"/>
      <c r="K39" s="37" t="n"/>
      <c r="L39" s="37" t="n"/>
      <c r="M39" s="37" t="n"/>
      <c r="N39" s="37" t="n"/>
      <c r="O39" s="6" t="n"/>
    </row>
    <row r="40" ht="28" customHeight="1">
      <c r="A40" s="47" t="inlineStr">
        <is>
          <t>Diğer</t>
        </is>
      </c>
      <c r="B40" s="18" t="inlineStr">
        <is>
          <t>GFB, sigorta ve kapasite raporu süreleri kontrol edildi</t>
        </is>
      </c>
      <c r="C40" s="37" t="n"/>
      <c r="D40" s="37" t="n"/>
      <c r="E40" s="37" t="n"/>
      <c r="F40" s="37" t="n"/>
      <c r="G40" s="37" t="n"/>
      <c r="H40" s="37" t="n"/>
      <c r="I40" s="37" t="n"/>
      <c r="J40" s="37" t="n"/>
      <c r="K40" s="37" t="n"/>
      <c r="L40" s="37" t="n"/>
      <c r="M40" s="37" t="n"/>
      <c r="N40" s="37" t="n"/>
      <c r="O40" s="6" t="n"/>
    </row>
    <row r="41" ht="28" customHeight="1">
      <c r="A41" s="47" t="inlineStr">
        <is>
          <t>Diğer</t>
        </is>
      </c>
      <c r="B41" s="18" t="inlineStr">
        <is>
          <t>Tesis sorumlusu belgesi ve kimlik güncel</t>
        </is>
      </c>
      <c r="C41" s="37" t="n"/>
      <c r="D41" s="37" t="n"/>
      <c r="E41" s="37" t="n"/>
      <c r="F41" s="37" t="n"/>
      <c r="G41" s="37" t="n"/>
      <c r="H41" s="37" t="n"/>
      <c r="I41" s="37" t="n"/>
      <c r="J41" s="37" t="n"/>
      <c r="K41" s="37" t="n"/>
      <c r="L41" s="37" t="n"/>
      <c r="M41" s="37" t="n"/>
      <c r="N41" s="37" t="n"/>
      <c r="O41" s="6" t="n"/>
    </row>
    <row r="43">
      <c r="A43" s="2" t="inlineStr">
        <is>
          <t>Uygun = şart sağlandı. Uygun değil = uygunsuzluk kaydı açın. Gözlenmedi = bu ziyarette bakılamadı, sonraki ziyarette kapanır. Kapsam dışı = tesiste yok, notuna gerekçe yazın.</t>
        </is>
      </c>
    </row>
  </sheetData>
  <autoFilter ref="A4:O41"/>
  <mergeCells count="3">
    <mergeCell ref="A43:F43"/>
    <mergeCell ref="A1:P1"/>
    <mergeCell ref="A2:P2"/>
  </mergeCells>
  <conditionalFormatting sqref="C5:N41">
    <cfRule type="expression" priority="1" dxfId="3">
      <formula>C5="Uygun değil"</formula>
    </cfRule>
    <cfRule type="expression" priority="2" dxfId="4">
      <formula>C5="Uygun"</formula>
    </cfRule>
    <cfRule type="expression" priority="3" dxfId="5">
      <formula>C5="Gözlenmedi"</formula>
    </cfRule>
  </conditionalFormatting>
  <dataValidations count="1">
    <dataValidation sqref="C5:N41" showDropDown="0" showInputMessage="1" showErrorMessage="1" allowBlank="1" errorTitle="Geçersiz değer" error="Listeden seçin" promptTitle="Seçim" prompt="Listeden seçin" type="list">
      <formula1>=_Listeler!$C$1:$C$4</formula1>
    </dataValidation>
  </dataValidations>
  <printOptions horizontalCentered="1"/>
  <pageMargins left="0.4" right="0.4" top="0.6" bottom="0.5" header="0.25" footer="0.25"/>
  <pageSetup orientation="landscape" paperSize="9" fitToHeight="0" fitToWidth="1"/>
  <headerFooter>
    <oddHeader>&amp;LAylık kontrol&amp;RÇevre takip dosyası  |  30.09.2026</oddHeader>
    <oddFooter>&amp;LSaha ölçümü ve analiz raporu içermez. İzin eki gelince ek esastır.&amp;RSayfa &amp;P / &amp;N</oddFooter>
    <evenHeader/>
    <evenFooter/>
    <firstHeader/>
    <firstFooter/>
  </headerFooter>
</worksheet>
</file>

<file path=xl/worksheets/sheet6.xml><?xml version="1.0" encoding="utf-8"?>
<worksheet xmlns="http://schemas.openxmlformats.org/spreadsheetml/2006/main">
  <sheetPr>
    <tabColor rgb="00117A65"/>
    <outlinePr summaryBelow="1" summaryRight="1"/>
    <pageSetUpPr fitToPage="1"/>
  </sheetPr>
  <dimension ref="A1:W19"/>
  <sheetViews>
    <sheetView showGridLines="0" zoomScale="110" workbookViewId="0">
      <pane ySplit="4" topLeftCell="A5" activePane="bottomLeft" state="frozen"/>
      <selection pane="bottomLeft" activeCell="A1" sqref="A1"/>
    </sheetView>
  </sheetViews>
  <sheetFormatPr baseColWidth="8" defaultRowHeight="15"/>
  <cols>
    <col width="6" customWidth="1" min="1" max="1"/>
    <col width="14" customWidth="1" min="2" max="2"/>
    <col width="16" customWidth="1" min="3" max="3"/>
    <col width="24" customWidth="1" min="4" max="4"/>
    <col width="22" customWidth="1" min="5" max="5"/>
    <col width="16" customWidth="1" min="6" max="6"/>
    <col width="14" customWidth="1" min="7" max="7"/>
    <col width="10" customWidth="1" min="8" max="8"/>
    <col width="12" customWidth="1" min="9" max="9"/>
    <col width="12" customWidth="1" min="10" max="10"/>
    <col width="10" customWidth="1" min="11" max="11"/>
    <col width="12" customWidth="1" min="12" max="12"/>
    <col width="12" customWidth="1" min="13" max="13"/>
    <col width="8" customWidth="1" min="14" max="14"/>
    <col width="10" customWidth="1" min="15" max="15"/>
    <col width="10" customWidth="1" min="16" max="16"/>
    <col width="12" customWidth="1" min="17" max="17"/>
    <col width="14" customWidth="1" min="18" max="18"/>
    <col width="16" customWidth="1" min="19" max="19"/>
    <col width="18" customWidth="1" min="20" max="20"/>
    <col width="18" customWidth="1" min="21" max="21"/>
    <col width="22" customWidth="1" min="22" max="22"/>
    <col width="36" customWidth="1" min="23" max="23"/>
  </cols>
  <sheetData>
    <row r="1">
      <c r="A1" s="1" t="inlineStr">
        <is>
          <t>İÇ İZLEME  —  SKKY TABLO 5.9</t>
        </is>
      </c>
    </row>
    <row r="2" ht="32" customHeight="1">
      <c r="A2" s="15" t="inlineStr">
        <is>
          <t>Yasal kıyas 2 saatlik kompozittir. Limitler: KOİ 150 mg/L, AKM 200 mg/L, pH 6-9. pH’de yüzde 20 payı yoktur. KOİ ve AKM anlık numunede limitin yüzde 20 fazlası yaptırıma esas değerlendirilir; iç izlemeyi anlık numuneyle kapatmayın. Aşımda il müdürlüğüne bildirim ve on iş günü içinde iki ek numune. Üç sonucun ortalaması yazılır.</t>
        </is>
      </c>
    </row>
    <row r="4" ht="30" customHeight="1">
      <c r="A4" s="48" t="inlineStr">
        <is>
          <t>No</t>
        </is>
      </c>
      <c r="B4" s="48" t="inlineStr">
        <is>
          <t>Plan</t>
        </is>
      </c>
      <c r="C4" s="48" t="inlineStr">
        <is>
          <t>Numune tarihi</t>
        </is>
      </c>
      <c r="D4" s="48" t="inlineStr">
        <is>
          <t>Numune türü</t>
        </is>
      </c>
      <c r="E4" s="48" t="inlineStr">
        <is>
          <t>Laboratuvar</t>
        </is>
      </c>
      <c r="F4" s="48" t="inlineStr">
        <is>
          <t>Rapor no</t>
        </is>
      </c>
      <c r="G4" s="48" t="inlineStr">
        <is>
          <t>Debi m³/gün</t>
        </is>
      </c>
      <c r="H4" s="48" t="inlineStr">
        <is>
          <t>KOİ</t>
        </is>
      </c>
      <c r="I4" s="48" t="inlineStr">
        <is>
          <t>KOİ limit</t>
        </is>
      </c>
      <c r="J4" s="48" t="inlineStr">
        <is>
          <t>KOİ sonuç</t>
        </is>
      </c>
      <c r="K4" s="48" t="inlineStr">
        <is>
          <t>AKM</t>
        </is>
      </c>
      <c r="L4" s="48" t="inlineStr">
        <is>
          <t>AKM limit</t>
        </is>
      </c>
      <c r="M4" s="48" t="inlineStr">
        <is>
          <t>AKM sonuç</t>
        </is>
      </c>
      <c r="N4" s="48" t="inlineStr">
        <is>
          <t>pH</t>
        </is>
      </c>
      <c r="O4" s="48" t="inlineStr">
        <is>
          <t>pH alt</t>
        </is>
      </c>
      <c r="P4" s="48" t="inlineStr">
        <is>
          <t>pH üst</t>
        </is>
      </c>
      <c r="Q4" s="48" t="inlineStr">
        <is>
          <t>pH sonuç</t>
        </is>
      </c>
      <c r="R4" s="48" t="inlineStr">
        <is>
          <t>Genel sonuç</t>
        </is>
      </c>
      <c r="S4" s="48" t="inlineStr">
        <is>
          <t>Bildirim gerekli</t>
        </is>
      </c>
      <c r="T4" s="48" t="inlineStr">
        <is>
          <t>Ek numune tarihi</t>
        </is>
      </c>
      <c r="U4" s="48" t="inlineStr">
        <is>
          <t>Üçlü ortalama uygun mu</t>
        </is>
      </c>
      <c r="V4" s="48" t="inlineStr">
        <is>
          <t>Dosya</t>
        </is>
      </c>
      <c r="W4" s="48" t="inlineStr">
        <is>
          <t>Not</t>
        </is>
      </c>
    </row>
    <row r="5" ht="32" customHeight="1">
      <c r="A5" s="19" t="n">
        <v>1</v>
      </c>
      <c r="B5" s="19" t="inlineStr">
        <is>
          <t>Eylül 2026</t>
        </is>
      </c>
      <c r="C5" s="24" t="n"/>
      <c r="D5" s="19" t="inlineStr">
        <is>
          <t>2 saatlik kompozit</t>
        </is>
      </c>
      <c r="E5" s="19" t="n"/>
      <c r="F5" s="19" t="n"/>
      <c r="G5" s="19" t="n"/>
      <c r="H5" s="19" t="n"/>
      <c r="I5" s="49" t="n">
        <v>150</v>
      </c>
      <c r="J5" s="19">
        <f>IF(H5="","",IF(H5&lt;=I5,"UYGUN","AŞIM"))</f>
        <v/>
      </c>
      <c r="K5" s="19" t="n"/>
      <c r="L5" s="49" t="n">
        <v>200</v>
      </c>
      <c r="M5" s="19">
        <f>IF(K5="","",IF(K5&lt;=L5,"UYGUN","AŞIM"))</f>
        <v/>
      </c>
      <c r="N5" s="19" t="n"/>
      <c r="O5" s="49" t="n">
        <v>6</v>
      </c>
      <c r="P5" s="49" t="n">
        <v>9</v>
      </c>
      <c r="Q5" s="19">
        <f>IF(N5="","",IF(AND(N5&gt;=O5,N5&lt;=P5),"UYGUN","AŞIM"))</f>
        <v/>
      </c>
      <c r="R5" s="19">
        <f>IF(COUNT(H5,K5,N5)&lt;3,"EKSİK",IF(OR(J5="AŞIM",M5="AŞIM",Q5="AŞIM"),"AŞIM","UYGUN"))</f>
        <v/>
      </c>
      <c r="S5" s="19">
        <f>IF(R5="AŞIM","Evet",IF(R5="UYGUN","Hayır",""))</f>
        <v/>
      </c>
      <c r="T5" s="24" t="n"/>
      <c r="U5" s="19" t="n"/>
      <c r="V5" s="19" t="n"/>
      <c r="W5" s="19" t="inlineStr">
        <is>
          <t>Alındığı beyan edildi, rapor dosyada yok. Sonucu bu satıra işleyin.</t>
        </is>
      </c>
    </row>
    <row r="6" ht="32" customHeight="1">
      <c r="A6" s="6" t="n">
        <v>2</v>
      </c>
      <c r="B6" s="6" t="inlineStr">
        <is>
          <t>Kasım 2026</t>
        </is>
      </c>
      <c r="C6" s="50" t="n"/>
      <c r="D6" s="6" t="inlineStr">
        <is>
          <t>2 saatlik kompozit</t>
        </is>
      </c>
      <c r="E6" s="6" t="n"/>
      <c r="F6" s="6" t="n"/>
      <c r="G6" s="6" t="n"/>
      <c r="H6" s="6" t="n"/>
      <c r="I6" s="49" t="n">
        <v>150</v>
      </c>
      <c r="J6" s="6">
        <f>IF(H6="","",IF(H6&lt;=I6,"UYGUN","AŞIM"))</f>
        <v/>
      </c>
      <c r="K6" s="6" t="n"/>
      <c r="L6" s="49" t="n">
        <v>200</v>
      </c>
      <c r="M6" s="6">
        <f>IF(K6="","",IF(K6&lt;=L6,"UYGUN","AŞIM"))</f>
        <v/>
      </c>
      <c r="N6" s="6" t="n"/>
      <c r="O6" s="49" t="n">
        <v>6</v>
      </c>
      <c r="P6" s="49" t="n">
        <v>9</v>
      </c>
      <c r="Q6" s="6">
        <f>IF(N6="","",IF(AND(N6&gt;=O6,N6&lt;=P6),"UYGUN","AŞIM"))</f>
        <v/>
      </c>
      <c r="R6" s="6">
        <f>IF(COUNT(H6,K6,N6)&lt;3,"EKSİK",IF(OR(J6="AŞIM",M6="AŞIM",Q6="AŞIM"),"AŞIM","UYGUN"))</f>
        <v/>
      </c>
      <c r="S6" s="6">
        <f>IF(R6="AŞIM","Evet",IF(R6="UYGUN","Hayır",""))</f>
        <v/>
      </c>
      <c r="T6" s="50" t="n"/>
      <c r="U6" s="6" t="n"/>
      <c r="V6" s="6" t="n"/>
      <c r="W6" s="6" t="inlineStr">
        <is>
          <t>Eylül numunesinden iki ay sonra. Tarih netleşince yazın.</t>
        </is>
      </c>
    </row>
    <row r="7" ht="32" customHeight="1">
      <c r="A7" s="6" t="n">
        <v>3</v>
      </c>
      <c r="B7" s="6" t="inlineStr">
        <is>
          <t>Ocak 2027</t>
        </is>
      </c>
      <c r="C7" s="50" t="n"/>
      <c r="D7" s="6" t="inlineStr">
        <is>
          <t>2 saatlik kompozit</t>
        </is>
      </c>
      <c r="E7" s="6" t="n"/>
      <c r="F7" s="6" t="n"/>
      <c r="G7" s="6" t="n"/>
      <c r="H7" s="6" t="n"/>
      <c r="I7" s="49" t="n">
        <v>150</v>
      </c>
      <c r="J7" s="6">
        <f>IF(H7="","",IF(H7&lt;=I7,"UYGUN","AŞIM"))</f>
        <v/>
      </c>
      <c r="K7" s="6" t="n"/>
      <c r="L7" s="49" t="n">
        <v>200</v>
      </c>
      <c r="M7" s="6">
        <f>IF(K7="","",IF(K7&lt;=L7,"UYGUN","AŞIM"))</f>
        <v/>
      </c>
      <c r="N7" s="6" t="n"/>
      <c r="O7" s="49" t="n">
        <v>6</v>
      </c>
      <c r="P7" s="49" t="n">
        <v>9</v>
      </c>
      <c r="Q7" s="6">
        <f>IF(N7="","",IF(AND(N7&gt;=O7,N7&lt;=P7),"UYGUN","AŞIM"))</f>
        <v/>
      </c>
      <c r="R7" s="6">
        <f>IF(COUNT(H7,K7,N7)&lt;3,"EKSİK",IF(OR(J7="AŞIM",M7="AŞIM",Q7="AŞIM"),"AŞIM","UYGUN"))</f>
        <v/>
      </c>
      <c r="S7" s="6">
        <f>IF(R7="AŞIM","Evet",IF(R7="UYGUN","Hayır",""))</f>
        <v/>
      </c>
      <c r="T7" s="50" t="n"/>
      <c r="U7" s="6" t="n"/>
      <c r="V7" s="6" t="n"/>
      <c r="W7" s="6" t="inlineStr"/>
    </row>
    <row r="8" ht="32" customHeight="1">
      <c r="A8" s="6" t="n">
        <v>4</v>
      </c>
      <c r="B8" s="6" t="inlineStr">
        <is>
          <t>Mart 2027</t>
        </is>
      </c>
      <c r="C8" s="50" t="n"/>
      <c r="D8" s="6" t="inlineStr">
        <is>
          <t>2 saatlik kompozit</t>
        </is>
      </c>
      <c r="E8" s="6" t="n"/>
      <c r="F8" s="6" t="n"/>
      <c r="G8" s="6" t="n"/>
      <c r="H8" s="6" t="n"/>
      <c r="I8" s="49" t="n">
        <v>150</v>
      </c>
      <c r="J8" s="6">
        <f>IF(H8="","",IF(H8&lt;=I8,"UYGUN","AŞIM"))</f>
        <v/>
      </c>
      <c r="K8" s="6" t="n"/>
      <c r="L8" s="49" t="n">
        <v>200</v>
      </c>
      <c r="M8" s="6">
        <f>IF(K8="","",IF(K8&lt;=L8,"UYGUN","AŞIM"))</f>
        <v/>
      </c>
      <c r="N8" s="6" t="n"/>
      <c r="O8" s="49" t="n">
        <v>6</v>
      </c>
      <c r="P8" s="49" t="n">
        <v>9</v>
      </c>
      <c r="Q8" s="6">
        <f>IF(N8="","",IF(AND(N8&gt;=O8,N8&lt;=P8),"UYGUN","AŞIM"))</f>
        <v/>
      </c>
      <c r="R8" s="6">
        <f>IF(COUNT(H8,K8,N8)&lt;3,"EKSİK",IF(OR(J8="AŞIM",M8="AŞIM",Q8="AŞIM"),"AŞIM","UYGUN"))</f>
        <v/>
      </c>
      <c r="S8" s="6">
        <f>IF(R8="AŞIM","Evet",IF(R8="UYGUN","Hayır",""))</f>
        <v/>
      </c>
      <c r="T8" s="50" t="n"/>
      <c r="U8" s="6" t="n"/>
      <c r="V8" s="6" t="n"/>
      <c r="W8" s="6" t="inlineStr"/>
    </row>
    <row r="9" ht="32" customHeight="1">
      <c r="A9" s="6" t="n">
        <v>5</v>
      </c>
      <c r="B9" s="6" t="inlineStr">
        <is>
          <t>Mayıs 2027</t>
        </is>
      </c>
      <c r="C9" s="50" t="n"/>
      <c r="D9" s="6" t="inlineStr">
        <is>
          <t>2 saatlik kompozit</t>
        </is>
      </c>
      <c r="E9" s="6" t="n"/>
      <c r="F9" s="6" t="n"/>
      <c r="G9" s="6" t="n"/>
      <c r="H9" s="6" t="n"/>
      <c r="I9" s="49" t="n">
        <v>150</v>
      </c>
      <c r="J9" s="6">
        <f>IF(H9="","",IF(H9&lt;=I9,"UYGUN","AŞIM"))</f>
        <v/>
      </c>
      <c r="K9" s="6" t="n"/>
      <c r="L9" s="49" t="n">
        <v>200</v>
      </c>
      <c r="M9" s="6">
        <f>IF(K9="","",IF(K9&lt;=L9,"UYGUN","AŞIM"))</f>
        <v/>
      </c>
      <c r="N9" s="6" t="n"/>
      <c r="O9" s="49" t="n">
        <v>6</v>
      </c>
      <c r="P9" s="49" t="n">
        <v>9</v>
      </c>
      <c r="Q9" s="6">
        <f>IF(N9="","",IF(AND(N9&gt;=O9,N9&lt;=P9),"UYGUN","AŞIM"))</f>
        <v/>
      </c>
      <c r="R9" s="6">
        <f>IF(COUNT(H9,K9,N9)&lt;3,"EKSİK",IF(OR(J9="AŞIM",M9="AŞIM",Q9="AŞIM"),"AŞIM","UYGUN"))</f>
        <v/>
      </c>
      <c r="S9" s="6">
        <f>IF(R9="AŞIM","Evet",IF(R9="UYGUN","Hayır",""))</f>
        <v/>
      </c>
      <c r="T9" s="50" t="n"/>
      <c r="U9" s="6" t="n"/>
      <c r="V9" s="6" t="n"/>
      <c r="W9" s="6" t="inlineStr"/>
    </row>
    <row r="10" ht="32" customHeight="1">
      <c r="A10" s="6" t="n">
        <v>6</v>
      </c>
      <c r="B10" s="6" t="inlineStr">
        <is>
          <t>Temmuz 2027</t>
        </is>
      </c>
      <c r="C10" s="50" t="n"/>
      <c r="D10" s="6" t="inlineStr">
        <is>
          <t>2 saatlik kompozit</t>
        </is>
      </c>
      <c r="E10" s="6" t="n"/>
      <c r="F10" s="6" t="n"/>
      <c r="G10" s="6" t="n"/>
      <c r="H10" s="6" t="n"/>
      <c r="I10" s="49" t="n">
        <v>150</v>
      </c>
      <c r="J10" s="6">
        <f>IF(H10="","",IF(H10&lt;=I10,"UYGUN","AŞIM"))</f>
        <v/>
      </c>
      <c r="K10" s="6" t="n"/>
      <c r="L10" s="49" t="n">
        <v>200</v>
      </c>
      <c r="M10" s="6">
        <f>IF(K10="","",IF(K10&lt;=L10,"UYGUN","AŞIM"))</f>
        <v/>
      </c>
      <c r="N10" s="6" t="n"/>
      <c r="O10" s="49" t="n">
        <v>6</v>
      </c>
      <c r="P10" s="49" t="n">
        <v>9</v>
      </c>
      <c r="Q10" s="6">
        <f>IF(N10="","",IF(AND(N10&gt;=O10,N10&lt;=P10),"UYGUN","AŞIM"))</f>
        <v/>
      </c>
      <c r="R10" s="6">
        <f>IF(COUNT(H10,K10,N10)&lt;3,"EKSİK",IF(OR(J10="AŞIM",M10="AŞIM",Q10="AŞIM"),"AŞIM","UYGUN"))</f>
        <v/>
      </c>
      <c r="S10" s="6">
        <f>IF(R10="AŞIM","Evet",IF(R10="UYGUN","Hayır",""))</f>
        <v/>
      </c>
      <c r="T10" s="50" t="n"/>
      <c r="U10" s="6" t="n"/>
      <c r="V10" s="6" t="n"/>
      <c r="W10" s="6" t="inlineStr"/>
    </row>
    <row r="11" ht="32" customHeight="1">
      <c r="A11" s="6" t="n">
        <v>7</v>
      </c>
      <c r="B11" s="6" t="inlineStr">
        <is>
          <t>Eylül 2027</t>
        </is>
      </c>
      <c r="C11" s="50" t="n"/>
      <c r="D11" s="6" t="inlineStr">
        <is>
          <t>2 saatlik kompozit</t>
        </is>
      </c>
      <c r="E11" s="6" t="n"/>
      <c r="F11" s="6" t="n"/>
      <c r="G11" s="6" t="n"/>
      <c r="H11" s="6" t="n"/>
      <c r="I11" s="49" t="n">
        <v>150</v>
      </c>
      <c r="J11" s="6">
        <f>IF(H11="","",IF(H11&lt;=I11,"UYGUN","AŞIM"))</f>
        <v/>
      </c>
      <c r="K11" s="6" t="n"/>
      <c r="L11" s="49" t="n">
        <v>200</v>
      </c>
      <c r="M11" s="6">
        <f>IF(K11="","",IF(K11&lt;=L11,"UYGUN","AŞIM"))</f>
        <v/>
      </c>
      <c r="N11" s="6" t="n"/>
      <c r="O11" s="49" t="n">
        <v>6</v>
      </c>
      <c r="P11" s="49" t="n">
        <v>9</v>
      </c>
      <c r="Q11" s="6">
        <f>IF(N11="","",IF(AND(N11&gt;=O11,N11&lt;=P11),"UYGUN","AŞIM"))</f>
        <v/>
      </c>
      <c r="R11" s="6">
        <f>IF(COUNT(H11,K11,N11)&lt;3,"EKSİK",IF(OR(J11="AŞIM",M11="AŞIM",Q11="AŞIM"),"AŞIM","UYGUN"))</f>
        <v/>
      </c>
      <c r="S11" s="6">
        <f>IF(R11="AŞIM","Evet",IF(R11="UYGUN","Hayır",""))</f>
        <v/>
      </c>
      <c r="T11" s="50" t="n"/>
      <c r="U11" s="6" t="n"/>
      <c r="V11" s="6" t="n"/>
      <c r="W11" s="6" t="inlineStr">
        <is>
          <t>GFB 26.08.2027’de biter. İzin eki farklı sıklık verirse takvimi eke göre değiştirin.</t>
        </is>
      </c>
    </row>
    <row r="12" ht="24" customHeight="1">
      <c r="A12" s="6" t="inlineStr">
        <is>
          <t>E-1</t>
        </is>
      </c>
      <c r="B12" s="6" t="inlineStr">
        <is>
          <t>Ek numune</t>
        </is>
      </c>
      <c r="C12" s="50" t="n"/>
      <c r="D12" s="6" t="inlineStr">
        <is>
          <t>2 saatlik kompozit</t>
        </is>
      </c>
      <c r="E12" s="6" t="n"/>
      <c r="F12" s="6" t="n"/>
      <c r="G12" s="6" t="n"/>
      <c r="H12" s="6" t="n"/>
      <c r="I12" s="25" t="n">
        <v>150</v>
      </c>
      <c r="J12" s="6">
        <f>IF(H12="","",IF(H12&lt;=I12,"UYGUN","AŞIM"))</f>
        <v/>
      </c>
      <c r="K12" s="6" t="n"/>
      <c r="L12" s="25" t="n">
        <v>200</v>
      </c>
      <c r="M12" s="6">
        <f>IF(K12="","",IF(K12&lt;=L12,"UYGUN","AŞIM"))</f>
        <v/>
      </c>
      <c r="N12" s="6" t="n"/>
      <c r="O12" s="25" t="n">
        <v>6</v>
      </c>
      <c r="P12" s="25" t="n">
        <v>9</v>
      </c>
      <c r="Q12" s="6">
        <f>IF(N12="","",IF(AND(N12&gt;=O12,N12&lt;=P12),"UYGUN","AŞIM"))</f>
        <v/>
      </c>
      <c r="R12" s="6">
        <f>IF(COUNT(H12,K12,N12)&lt;3,"",IF(OR(J12="AŞIM",M12="AŞIM",Q12="AŞIM"),"AŞIM","UYGUN"))</f>
        <v/>
      </c>
      <c r="S12" s="6">
        <f>IF(R12="AŞIM","Evet",IF(R12="UYGUN","Hayır",""))</f>
        <v/>
      </c>
      <c r="T12" s="50" t="n"/>
      <c r="U12" s="6" t="n"/>
      <c r="V12" s="6" t="n"/>
      <c r="W12" s="6" t="inlineStr">
        <is>
          <t>Limit aşımından sonraki on iş günü içinde alınan ek numune.</t>
        </is>
      </c>
    </row>
    <row r="13" ht="24" customHeight="1">
      <c r="A13" s="6" t="inlineStr">
        <is>
          <t>E-2</t>
        </is>
      </c>
      <c r="B13" s="6" t="inlineStr">
        <is>
          <t>Ek numune</t>
        </is>
      </c>
      <c r="C13" s="50" t="n"/>
      <c r="D13" s="6" t="inlineStr">
        <is>
          <t>2 saatlik kompozit</t>
        </is>
      </c>
      <c r="E13" s="6" t="n"/>
      <c r="F13" s="6" t="n"/>
      <c r="G13" s="6" t="n"/>
      <c r="H13" s="6" t="n"/>
      <c r="I13" s="25" t="n">
        <v>150</v>
      </c>
      <c r="J13" s="6">
        <f>IF(H13="","",IF(H13&lt;=I13,"UYGUN","AŞIM"))</f>
        <v/>
      </c>
      <c r="K13" s="6" t="n"/>
      <c r="L13" s="25" t="n">
        <v>200</v>
      </c>
      <c r="M13" s="6">
        <f>IF(K13="","",IF(K13&lt;=L13,"UYGUN","AŞIM"))</f>
        <v/>
      </c>
      <c r="N13" s="6" t="n"/>
      <c r="O13" s="25" t="n">
        <v>6</v>
      </c>
      <c r="P13" s="25" t="n">
        <v>9</v>
      </c>
      <c r="Q13" s="6">
        <f>IF(N13="","",IF(AND(N13&gt;=O13,N13&lt;=P13),"UYGUN","AŞIM"))</f>
        <v/>
      </c>
      <c r="R13" s="6">
        <f>IF(COUNT(H13,K13,N13)&lt;3,"",IF(OR(J13="AŞIM",M13="AŞIM",Q13="AŞIM"),"AŞIM","UYGUN"))</f>
        <v/>
      </c>
      <c r="S13" s="6">
        <f>IF(R13="AŞIM","Evet",IF(R13="UYGUN","Hayır",""))</f>
        <v/>
      </c>
      <c r="T13" s="50" t="n"/>
      <c r="U13" s="6" t="n"/>
      <c r="V13" s="6" t="n"/>
      <c r="W13" s="6" t="inlineStr">
        <is>
          <t>Limit aşımından sonraki on iş günü içinde alınan ek numune.</t>
        </is>
      </c>
    </row>
    <row r="14" ht="24" customHeight="1">
      <c r="A14" s="6" t="inlineStr">
        <is>
          <t>E-3</t>
        </is>
      </c>
      <c r="B14" s="6" t="inlineStr">
        <is>
          <t>Ek numune</t>
        </is>
      </c>
      <c r="C14" s="50" t="n"/>
      <c r="D14" s="6" t="inlineStr">
        <is>
          <t>2 saatlik kompozit</t>
        </is>
      </c>
      <c r="E14" s="6" t="n"/>
      <c r="F14" s="6" t="n"/>
      <c r="G14" s="6" t="n"/>
      <c r="H14" s="6" t="n"/>
      <c r="I14" s="25" t="n">
        <v>150</v>
      </c>
      <c r="J14" s="6">
        <f>IF(H14="","",IF(H14&lt;=I14,"UYGUN","AŞIM"))</f>
        <v/>
      </c>
      <c r="K14" s="6" t="n"/>
      <c r="L14" s="25" t="n">
        <v>200</v>
      </c>
      <c r="M14" s="6">
        <f>IF(K14="","",IF(K14&lt;=L14,"UYGUN","AŞIM"))</f>
        <v/>
      </c>
      <c r="N14" s="6" t="n"/>
      <c r="O14" s="25" t="n">
        <v>6</v>
      </c>
      <c r="P14" s="25" t="n">
        <v>9</v>
      </c>
      <c r="Q14" s="6">
        <f>IF(N14="","",IF(AND(N14&gt;=O14,N14&lt;=P14),"UYGUN","AŞIM"))</f>
        <v/>
      </c>
      <c r="R14" s="6">
        <f>IF(COUNT(H14,K14,N14)&lt;3,"",IF(OR(J14="AŞIM",M14="AŞIM",Q14="AŞIM"),"AŞIM","UYGUN"))</f>
        <v/>
      </c>
      <c r="S14" s="6">
        <f>IF(R14="AŞIM","Evet",IF(R14="UYGUN","Hayır",""))</f>
        <v/>
      </c>
      <c r="T14" s="50" t="n"/>
      <c r="U14" s="6" t="n"/>
      <c r="V14" s="6" t="n"/>
      <c r="W14" s="6" t="inlineStr">
        <is>
          <t>Limit aşımından sonraki on iş günü içinde alınan ek numune.</t>
        </is>
      </c>
    </row>
    <row r="15" ht="24" customHeight="1">
      <c r="A15" s="6" t="inlineStr">
        <is>
          <t>E-4</t>
        </is>
      </c>
      <c r="B15" s="6" t="inlineStr">
        <is>
          <t>Ek numune</t>
        </is>
      </c>
      <c r="C15" s="50" t="n"/>
      <c r="D15" s="6" t="inlineStr">
        <is>
          <t>2 saatlik kompozit</t>
        </is>
      </c>
      <c r="E15" s="6" t="n"/>
      <c r="F15" s="6" t="n"/>
      <c r="G15" s="6" t="n"/>
      <c r="H15" s="6" t="n"/>
      <c r="I15" s="25" t="n">
        <v>150</v>
      </c>
      <c r="J15" s="6">
        <f>IF(H15="","",IF(H15&lt;=I15,"UYGUN","AŞIM"))</f>
        <v/>
      </c>
      <c r="K15" s="6" t="n"/>
      <c r="L15" s="25" t="n">
        <v>200</v>
      </c>
      <c r="M15" s="6">
        <f>IF(K15="","",IF(K15&lt;=L15,"UYGUN","AŞIM"))</f>
        <v/>
      </c>
      <c r="N15" s="6" t="n"/>
      <c r="O15" s="25" t="n">
        <v>6</v>
      </c>
      <c r="P15" s="25" t="n">
        <v>9</v>
      </c>
      <c r="Q15" s="6">
        <f>IF(N15="","",IF(AND(N15&gt;=O15,N15&lt;=P15),"UYGUN","AŞIM"))</f>
        <v/>
      </c>
      <c r="R15" s="6">
        <f>IF(COUNT(H15,K15,N15)&lt;3,"",IF(OR(J15="AŞIM",M15="AŞIM",Q15="AŞIM"),"AŞIM","UYGUN"))</f>
        <v/>
      </c>
      <c r="S15" s="6">
        <f>IF(R15="AŞIM","Evet",IF(R15="UYGUN","Hayır",""))</f>
        <v/>
      </c>
      <c r="T15" s="50" t="n"/>
      <c r="U15" s="6" t="n"/>
      <c r="V15" s="6" t="n"/>
      <c r="W15" s="6" t="inlineStr">
        <is>
          <t>Limit aşımından sonraki on iş günü içinde alınan ek numune.</t>
        </is>
      </c>
    </row>
    <row r="16" ht="24" customHeight="1">
      <c r="A16" s="6" t="inlineStr">
        <is>
          <t>E-5</t>
        </is>
      </c>
      <c r="B16" s="6" t="inlineStr">
        <is>
          <t>Ek numune</t>
        </is>
      </c>
      <c r="C16" s="50" t="n"/>
      <c r="D16" s="6" t="inlineStr">
        <is>
          <t>2 saatlik kompozit</t>
        </is>
      </c>
      <c r="E16" s="6" t="n"/>
      <c r="F16" s="6" t="n"/>
      <c r="G16" s="6" t="n"/>
      <c r="H16" s="6" t="n"/>
      <c r="I16" s="25" t="n">
        <v>150</v>
      </c>
      <c r="J16" s="6">
        <f>IF(H16="","",IF(H16&lt;=I16,"UYGUN","AŞIM"))</f>
        <v/>
      </c>
      <c r="K16" s="6" t="n"/>
      <c r="L16" s="25" t="n">
        <v>200</v>
      </c>
      <c r="M16" s="6">
        <f>IF(K16="","",IF(K16&lt;=L16,"UYGUN","AŞIM"))</f>
        <v/>
      </c>
      <c r="N16" s="6" t="n"/>
      <c r="O16" s="25" t="n">
        <v>6</v>
      </c>
      <c r="P16" s="25" t="n">
        <v>9</v>
      </c>
      <c r="Q16" s="6">
        <f>IF(N16="","",IF(AND(N16&gt;=O16,N16&lt;=P16),"UYGUN","AŞIM"))</f>
        <v/>
      </c>
      <c r="R16" s="6">
        <f>IF(COUNT(H16,K16,N16)&lt;3,"",IF(OR(J16="AŞIM",M16="AŞIM",Q16="AŞIM"),"AŞIM","UYGUN"))</f>
        <v/>
      </c>
      <c r="S16" s="6">
        <f>IF(R16="AŞIM","Evet",IF(R16="UYGUN","Hayır",""))</f>
        <v/>
      </c>
      <c r="T16" s="50" t="n"/>
      <c r="U16" s="6" t="n"/>
      <c r="V16" s="6" t="n"/>
      <c r="W16" s="6" t="inlineStr">
        <is>
          <t>Limit aşımından sonraki on iş günü içinde alınan ek numune.</t>
        </is>
      </c>
    </row>
    <row r="17" ht="24" customHeight="1">
      <c r="A17" s="6" t="inlineStr">
        <is>
          <t>E-6</t>
        </is>
      </c>
      <c r="B17" s="6" t="inlineStr">
        <is>
          <t>Ek numune</t>
        </is>
      </c>
      <c r="C17" s="50" t="n"/>
      <c r="D17" s="6" t="inlineStr">
        <is>
          <t>2 saatlik kompozit</t>
        </is>
      </c>
      <c r="E17" s="6" t="n"/>
      <c r="F17" s="6" t="n"/>
      <c r="G17" s="6" t="n"/>
      <c r="H17" s="6" t="n"/>
      <c r="I17" s="25" t="n">
        <v>150</v>
      </c>
      <c r="J17" s="6">
        <f>IF(H17="","",IF(H17&lt;=I17,"UYGUN","AŞIM"))</f>
        <v/>
      </c>
      <c r="K17" s="6" t="n"/>
      <c r="L17" s="25" t="n">
        <v>200</v>
      </c>
      <c r="M17" s="6">
        <f>IF(K17="","",IF(K17&lt;=L17,"UYGUN","AŞIM"))</f>
        <v/>
      </c>
      <c r="N17" s="6" t="n"/>
      <c r="O17" s="25" t="n">
        <v>6</v>
      </c>
      <c r="P17" s="25" t="n">
        <v>9</v>
      </c>
      <c r="Q17" s="6">
        <f>IF(N17="","",IF(AND(N17&gt;=O17,N17&lt;=P17),"UYGUN","AŞIM"))</f>
        <v/>
      </c>
      <c r="R17" s="6">
        <f>IF(COUNT(H17,K17,N17)&lt;3,"",IF(OR(J17="AŞIM",M17="AŞIM",Q17="AŞIM"),"AŞIM","UYGUN"))</f>
        <v/>
      </c>
      <c r="S17" s="6">
        <f>IF(R17="AŞIM","Evet",IF(R17="UYGUN","Hayır",""))</f>
        <v/>
      </c>
      <c r="T17" s="50" t="n"/>
      <c r="U17" s="6" t="n"/>
      <c r="V17" s="6" t="n"/>
      <c r="W17" s="6" t="inlineStr">
        <is>
          <t>Limit aşımından sonraki on iş günü içinde alınan ek numune.</t>
        </is>
      </c>
    </row>
    <row r="19" ht="28" customHeight="1">
      <c r="A19" s="2" t="inlineStr">
        <is>
          <t>Laboratuvarın çevre ölçüm ve analiz yeterliği ile numune alma yetkisi olsun. İzin ve denetime esas numune il müdürlüğü gözetiminde alınır. İç izleme numunesi de yetkili laboratuvar tarafından alınır. Kayıt beş yıl saklanır.</t>
        </is>
      </c>
    </row>
  </sheetData>
  <autoFilter ref="A4:W17"/>
  <mergeCells count="3">
    <mergeCell ref="A2:R2"/>
    <mergeCell ref="A1:R1"/>
    <mergeCell ref="A19:J19"/>
  </mergeCells>
  <conditionalFormatting sqref="J5:J17">
    <cfRule type="expression" priority="1" dxfId="6">
      <formula>J5="AŞIM"</formula>
    </cfRule>
    <cfRule type="expression" priority="5" dxfId="7">
      <formula>J5="UYGUN"</formula>
    </cfRule>
  </conditionalFormatting>
  <conditionalFormatting sqref="M5:M17">
    <cfRule type="expression" priority="2" dxfId="6">
      <formula>M5="AŞIM"</formula>
    </cfRule>
    <cfRule type="expression" priority="6" dxfId="7">
      <formula>M5="UYGUN"</formula>
    </cfRule>
  </conditionalFormatting>
  <conditionalFormatting sqref="Q5:R17">
    <cfRule type="expression" priority="3" dxfId="6">
      <formula>Q5="AŞIM"</formula>
    </cfRule>
  </conditionalFormatting>
  <conditionalFormatting sqref="R5:R17">
    <cfRule type="expression" priority="4" dxfId="8">
      <formula>R5="UYGUN"</formula>
    </cfRule>
  </conditionalFormatting>
  <conditionalFormatting sqref="Q5:Q17">
    <cfRule type="expression" priority="7" dxfId="7">
      <formula>Q5="UYGUN"</formula>
    </cfRule>
  </conditionalFormatting>
  <dataValidations count="2">
    <dataValidation sqref="D5:D17" showDropDown="0" showInputMessage="1" showErrorMessage="1" allowBlank="1" errorTitle="Geçersiz değer" error="Listeden seçin" promptTitle="Seçim" prompt="Listeden seçin" type="list">
      <formula1>=_Listeler!$E$1:$E$3</formula1>
    </dataValidation>
    <dataValidation sqref="U5:U17" showDropDown="0" showInputMessage="1" showErrorMessage="1" allowBlank="1" errorTitle="Geçersiz değer" error="Listeden seçin" promptTitle="Seçim" prompt="Listeden seçin" type="list">
      <formula1>=_Listeler!$D$1:$D$2</formula1>
    </dataValidation>
  </dataValidations>
  <printOptions horizontalCentered="1"/>
  <pageMargins left="0.4" right="0.4" top="0.6" bottom="0.5" header="0.25" footer="0.25"/>
  <pageSetup orientation="landscape" paperSize="9" fitToHeight="0" fitToWidth="1"/>
  <headerFooter>
    <oddHeader>&amp;Lİç izleme Tablo 5.9&amp;RÇevre takip dosyası  |  30.09.2026</oddHeader>
    <oddFooter>&amp;LSaha ölçümü ve analiz raporu içermez. İzin eki gelince ek esastır.&amp;RSayfa &amp;P / &amp;N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tabColor rgb="001A5276"/>
    <outlinePr summaryBelow="1" summaryRight="1"/>
    <pageSetUpPr fitToPage="1"/>
  </sheetPr>
  <dimension ref="A1:P124"/>
  <sheetViews>
    <sheetView showGridLines="0" zoomScale="11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4" customWidth="1" min="3" max="3"/>
    <col width="14" customWidth="1" min="4" max="4"/>
    <col width="16" customWidth="1" min="5" max="5"/>
    <col width="12" customWidth="1" min="6" max="6"/>
    <col width="18" customWidth="1" min="7" max="7"/>
    <col width="12" customWidth="1" min="8" max="8"/>
    <col width="16" customWidth="1" min="9" max="9"/>
    <col width="16" customWidth="1" min="10" max="10"/>
    <col width="14" customWidth="1" min="11" max="11"/>
    <col width="16" customWidth="1" min="12" max="12"/>
    <col width="12" customWidth="1" min="13" max="13"/>
    <col width="28" customWidth="1" min="14" max="14"/>
    <col width="36" customWidth="1" min="15" max="15"/>
    <col width="18" customWidth="1" min="16" max="16"/>
  </cols>
  <sheetData>
    <row r="1">
      <c r="A1" s="1" t="inlineStr">
        <is>
          <t>GÜNLÜK İŞLETME DEFTERİ</t>
        </is>
      </c>
    </row>
    <row r="2">
      <c r="A2" s="2" t="inlineStr">
        <is>
          <t>Tesis sorumlusu veya işletmeci her gün doldurur. Beş yıl saklanır. Bypass Evet ise aynı satıra gerekçe yazın ve Uygunsuzluk kaydı açın.</t>
        </is>
      </c>
    </row>
    <row r="4">
      <c r="A4" s="16" t="inlineStr">
        <is>
          <t>Tarih</t>
        </is>
      </c>
      <c r="B4" s="16" t="inlineStr">
        <is>
          <t>Giriş m³</t>
        </is>
      </c>
      <c r="C4" s="16" t="inlineStr">
        <is>
          <t>Şebeke sayaç</t>
        </is>
      </c>
      <c r="D4" s="16" t="inlineStr">
        <is>
          <t>Kuyu sayaç</t>
        </is>
      </c>
      <c r="E4" s="16" t="inlineStr">
        <is>
          <t>Çıkış / deşarj m³</t>
        </is>
      </c>
      <c r="F4" s="16" t="inlineStr">
        <is>
          <t>Giriş pH</t>
        </is>
      </c>
      <c r="G4" s="16" t="inlineStr">
        <is>
          <t>Havalandırma ÇO mg/L</t>
        </is>
      </c>
      <c r="H4" s="16" t="inlineStr">
        <is>
          <t>Çıkış pH</t>
        </is>
      </c>
      <c r="I4" s="16" t="inlineStr">
        <is>
          <t>Çıkış sıcaklık °C</t>
        </is>
      </c>
      <c r="J4" s="16" t="inlineStr">
        <is>
          <t>Serbest klor mg/L</t>
        </is>
      </c>
      <c r="K4" s="16" t="inlineStr">
        <is>
          <t>Klor tüketimi</t>
        </is>
      </c>
      <c r="L4" s="16" t="inlineStr">
        <is>
          <t>Çamur çekimi m³</t>
        </is>
      </c>
      <c r="M4" s="16" t="inlineStr">
        <is>
          <t>Bypass</t>
        </is>
      </c>
      <c r="N4" s="16" t="inlineStr">
        <is>
          <t>Dere gözlemi</t>
        </is>
      </c>
      <c r="O4" s="16" t="inlineStr">
        <is>
          <t>Arıza ve müdahale</t>
        </is>
      </c>
      <c r="P4" s="16" t="inlineStr">
        <is>
          <t>Kaydeden</t>
        </is>
      </c>
    </row>
    <row r="5" ht="18" customHeight="1">
      <c r="A5" s="50" t="n"/>
      <c r="B5" s="6" t="n"/>
      <c r="C5" s="6" t="n"/>
      <c r="D5" s="6" t="n"/>
      <c r="E5" s="6" t="n"/>
      <c r="F5" s="6" t="n"/>
      <c r="G5" s="6" t="n"/>
      <c r="H5" s="6" t="n"/>
      <c r="I5" s="6" t="n"/>
      <c r="J5" s="6" t="n"/>
      <c r="K5" s="6" t="n"/>
      <c r="L5" s="6" t="n"/>
      <c r="M5" s="6" t="n"/>
      <c r="N5" s="6" t="n"/>
      <c r="O5" s="6" t="n"/>
      <c r="P5" s="6" t="n"/>
    </row>
    <row r="6" ht="18" customHeight="1">
      <c r="A6" s="28" t="n"/>
      <c r="B6" s="18" t="n"/>
      <c r="C6" s="18" t="n"/>
      <c r="D6" s="18" t="n"/>
      <c r="E6" s="18" t="n"/>
      <c r="F6" s="18" t="n"/>
      <c r="G6" s="18" t="n"/>
      <c r="H6" s="18" t="n"/>
      <c r="I6" s="18" t="n"/>
      <c r="J6" s="18" t="n"/>
      <c r="K6" s="18" t="n"/>
      <c r="L6" s="18" t="n"/>
      <c r="M6" s="18" t="n"/>
      <c r="N6" s="18" t="n"/>
      <c r="O6" s="18" t="n"/>
      <c r="P6" s="18" t="n"/>
    </row>
    <row r="7" ht="18" customHeight="1">
      <c r="A7" s="50" t="n"/>
      <c r="B7" s="6" t="n"/>
      <c r="C7" s="6" t="n"/>
      <c r="D7" s="6" t="n"/>
      <c r="E7" s="6" t="n"/>
      <c r="F7" s="6" t="n"/>
      <c r="G7" s="6" t="n"/>
      <c r="H7" s="6" t="n"/>
      <c r="I7" s="6" t="n"/>
      <c r="J7" s="6" t="n"/>
      <c r="K7" s="6" t="n"/>
      <c r="L7" s="6" t="n"/>
      <c r="M7" s="6" t="n"/>
      <c r="N7" s="6" t="n"/>
      <c r="O7" s="6" t="n"/>
      <c r="P7" s="6" t="n"/>
    </row>
    <row r="8" ht="18" customHeight="1">
      <c r="A8" s="28" t="n"/>
      <c r="B8" s="18" t="n"/>
      <c r="C8" s="18" t="n"/>
      <c r="D8" s="18" t="n"/>
      <c r="E8" s="18" t="n"/>
      <c r="F8" s="18" t="n"/>
      <c r="G8" s="18" t="n"/>
      <c r="H8" s="18" t="n"/>
      <c r="I8" s="18" t="n"/>
      <c r="J8" s="18" t="n"/>
      <c r="K8" s="18" t="n"/>
      <c r="L8" s="18" t="n"/>
      <c r="M8" s="18" t="n"/>
      <c r="N8" s="18" t="n"/>
      <c r="O8" s="18" t="n"/>
      <c r="P8" s="18" t="n"/>
    </row>
    <row r="9" ht="18" customHeight="1">
      <c r="A9" s="50" t="n"/>
      <c r="B9" s="6" t="n"/>
      <c r="C9" s="6" t="n"/>
      <c r="D9" s="6" t="n"/>
      <c r="E9" s="6" t="n"/>
      <c r="F9" s="6" t="n"/>
      <c r="G9" s="6" t="n"/>
      <c r="H9" s="6" t="n"/>
      <c r="I9" s="6" t="n"/>
      <c r="J9" s="6" t="n"/>
      <c r="K9" s="6" t="n"/>
      <c r="L9" s="6" t="n"/>
      <c r="M9" s="6" t="n"/>
      <c r="N9" s="6" t="n"/>
      <c r="O9" s="6" t="n"/>
      <c r="P9" s="6" t="n"/>
    </row>
    <row r="10" ht="18" customHeight="1">
      <c r="A10" s="28" t="n"/>
      <c r="B10" s="18" t="n"/>
      <c r="C10" s="18" t="n"/>
      <c r="D10" s="18" t="n"/>
      <c r="E10" s="18" t="n"/>
      <c r="F10" s="18" t="n"/>
      <c r="G10" s="18" t="n"/>
      <c r="H10" s="18" t="n"/>
      <c r="I10" s="18" t="n"/>
      <c r="J10" s="18" t="n"/>
      <c r="K10" s="18" t="n"/>
      <c r="L10" s="18" t="n"/>
      <c r="M10" s="18" t="n"/>
      <c r="N10" s="18" t="n"/>
      <c r="O10" s="18" t="n"/>
      <c r="P10" s="18" t="n"/>
    </row>
    <row r="11" ht="18" customHeight="1">
      <c r="A11" s="50" t="n"/>
      <c r="B11" s="6" t="n"/>
      <c r="C11" s="6" t="n"/>
      <c r="D11" s="6" t="n"/>
      <c r="E11" s="6" t="n"/>
      <c r="F11" s="6" t="n"/>
      <c r="G11" s="6" t="n"/>
      <c r="H11" s="6" t="n"/>
      <c r="I11" s="6" t="n"/>
      <c r="J11" s="6" t="n"/>
      <c r="K11" s="6" t="n"/>
      <c r="L11" s="6" t="n"/>
      <c r="M11" s="6" t="n"/>
      <c r="N11" s="6" t="n"/>
      <c r="O11" s="6" t="n"/>
      <c r="P11" s="6" t="n"/>
    </row>
    <row r="12" ht="18" customHeight="1">
      <c r="A12" s="28" t="n"/>
      <c r="B12" s="18" t="n"/>
      <c r="C12" s="18" t="n"/>
      <c r="D12" s="18" t="n"/>
      <c r="E12" s="18" t="n"/>
      <c r="F12" s="18" t="n"/>
      <c r="G12" s="18" t="n"/>
      <c r="H12" s="18" t="n"/>
      <c r="I12" s="18" t="n"/>
      <c r="J12" s="18" t="n"/>
      <c r="K12" s="18" t="n"/>
      <c r="L12" s="18" t="n"/>
      <c r="M12" s="18" t="n"/>
      <c r="N12" s="18" t="n"/>
      <c r="O12" s="18" t="n"/>
      <c r="P12" s="18" t="n"/>
    </row>
    <row r="13" ht="18" customHeight="1">
      <c r="A13" s="50" t="n"/>
      <c r="B13" s="6" t="n"/>
      <c r="C13" s="6" t="n"/>
      <c r="D13" s="6" t="n"/>
      <c r="E13" s="6" t="n"/>
      <c r="F13" s="6" t="n"/>
      <c r="G13" s="6" t="n"/>
      <c r="H13" s="6" t="n"/>
      <c r="I13" s="6" t="n"/>
      <c r="J13" s="6" t="n"/>
      <c r="K13" s="6" t="n"/>
      <c r="L13" s="6" t="n"/>
      <c r="M13" s="6" t="n"/>
      <c r="N13" s="6" t="n"/>
      <c r="O13" s="6" t="n"/>
      <c r="P13" s="6" t="n"/>
    </row>
    <row r="14" ht="18" customHeight="1">
      <c r="A14" s="28" t="n"/>
      <c r="B14" s="18" t="n"/>
      <c r="C14" s="18" t="n"/>
      <c r="D14" s="18" t="n"/>
      <c r="E14" s="18" t="n"/>
      <c r="F14" s="18" t="n"/>
      <c r="G14" s="18" t="n"/>
      <c r="H14" s="18" t="n"/>
      <c r="I14" s="18" t="n"/>
      <c r="J14" s="18" t="n"/>
      <c r="K14" s="18" t="n"/>
      <c r="L14" s="18" t="n"/>
      <c r="M14" s="18" t="n"/>
      <c r="N14" s="18" t="n"/>
      <c r="O14" s="18" t="n"/>
      <c r="P14" s="18" t="n"/>
    </row>
    <row r="15" ht="18" customHeight="1">
      <c r="A15" s="50" t="n"/>
      <c r="B15" s="6" t="n"/>
      <c r="C15" s="6" t="n"/>
      <c r="D15" s="6" t="n"/>
      <c r="E15" s="6" t="n"/>
      <c r="F15" s="6" t="n"/>
      <c r="G15" s="6" t="n"/>
      <c r="H15" s="6" t="n"/>
      <c r="I15" s="6" t="n"/>
      <c r="J15" s="6" t="n"/>
      <c r="K15" s="6" t="n"/>
      <c r="L15" s="6" t="n"/>
      <c r="M15" s="6" t="n"/>
      <c r="N15" s="6" t="n"/>
      <c r="O15" s="6" t="n"/>
      <c r="P15" s="6" t="n"/>
    </row>
    <row r="16" ht="18" customHeight="1">
      <c r="A16" s="28" t="n"/>
      <c r="B16" s="18" t="n"/>
      <c r="C16" s="18" t="n"/>
      <c r="D16" s="18" t="n"/>
      <c r="E16" s="18" t="n"/>
      <c r="F16" s="18" t="n"/>
      <c r="G16" s="18" t="n"/>
      <c r="H16" s="18" t="n"/>
      <c r="I16" s="18" t="n"/>
      <c r="J16" s="18" t="n"/>
      <c r="K16" s="18" t="n"/>
      <c r="L16" s="18" t="n"/>
      <c r="M16" s="18" t="n"/>
      <c r="N16" s="18" t="n"/>
      <c r="O16" s="18" t="n"/>
      <c r="P16" s="18" t="n"/>
    </row>
    <row r="17" ht="18" customHeight="1">
      <c r="A17" s="50" t="n"/>
      <c r="B17" s="6" t="n"/>
      <c r="C17" s="6" t="n"/>
      <c r="D17" s="6" t="n"/>
      <c r="E17" s="6" t="n"/>
      <c r="F17" s="6" t="n"/>
      <c r="G17" s="6" t="n"/>
      <c r="H17" s="6" t="n"/>
      <c r="I17" s="6" t="n"/>
      <c r="J17" s="6" t="n"/>
      <c r="K17" s="6" t="n"/>
      <c r="L17" s="6" t="n"/>
      <c r="M17" s="6" t="n"/>
      <c r="N17" s="6" t="n"/>
      <c r="O17" s="6" t="n"/>
      <c r="P17" s="6" t="n"/>
    </row>
    <row r="18" ht="18" customHeight="1">
      <c r="A18" s="28" t="n"/>
      <c r="B18" s="18" t="n"/>
      <c r="C18" s="18" t="n"/>
      <c r="D18" s="18" t="n"/>
      <c r="E18" s="18" t="n"/>
      <c r="F18" s="18" t="n"/>
      <c r="G18" s="18" t="n"/>
      <c r="H18" s="18" t="n"/>
      <c r="I18" s="18" t="n"/>
      <c r="J18" s="18" t="n"/>
      <c r="K18" s="18" t="n"/>
      <c r="L18" s="18" t="n"/>
      <c r="M18" s="18" t="n"/>
      <c r="N18" s="18" t="n"/>
      <c r="O18" s="18" t="n"/>
      <c r="P18" s="18" t="n"/>
    </row>
    <row r="19" ht="18" customHeight="1">
      <c r="A19" s="50" t="n"/>
      <c r="B19" s="6" t="n"/>
      <c r="C19" s="6" t="n"/>
      <c r="D19" s="6" t="n"/>
      <c r="E19" s="6" t="n"/>
      <c r="F19" s="6" t="n"/>
      <c r="G19" s="6" t="n"/>
      <c r="H19" s="6" t="n"/>
      <c r="I19" s="6" t="n"/>
      <c r="J19" s="6" t="n"/>
      <c r="K19" s="6" t="n"/>
      <c r="L19" s="6" t="n"/>
      <c r="M19" s="6" t="n"/>
      <c r="N19" s="6" t="n"/>
      <c r="O19" s="6" t="n"/>
      <c r="P19" s="6" t="n"/>
    </row>
    <row r="20" ht="18" customHeight="1">
      <c r="A20" s="28" t="n"/>
      <c r="B20" s="18" t="n"/>
      <c r="C20" s="18" t="n"/>
      <c r="D20" s="18" t="n"/>
      <c r="E20" s="18" t="n"/>
      <c r="F20" s="18" t="n"/>
      <c r="G20" s="18" t="n"/>
      <c r="H20" s="18" t="n"/>
      <c r="I20" s="18" t="n"/>
      <c r="J20" s="18" t="n"/>
      <c r="K20" s="18" t="n"/>
      <c r="L20" s="18" t="n"/>
      <c r="M20" s="18" t="n"/>
      <c r="N20" s="18" t="n"/>
      <c r="O20" s="18" t="n"/>
      <c r="P20" s="18" t="n"/>
    </row>
    <row r="21" ht="18" customHeight="1">
      <c r="A21" s="50" t="n"/>
      <c r="B21" s="6" t="n"/>
      <c r="C21" s="6" t="n"/>
      <c r="D21" s="6" t="n"/>
      <c r="E21" s="6" t="n"/>
      <c r="F21" s="6" t="n"/>
      <c r="G21" s="6" t="n"/>
      <c r="H21" s="6" t="n"/>
      <c r="I21" s="6" t="n"/>
      <c r="J21" s="6" t="n"/>
      <c r="K21" s="6" t="n"/>
      <c r="L21" s="6" t="n"/>
      <c r="M21" s="6" t="n"/>
      <c r="N21" s="6" t="n"/>
      <c r="O21" s="6" t="n"/>
      <c r="P21" s="6" t="n"/>
    </row>
    <row r="22" ht="18" customHeight="1">
      <c r="A22" s="28" t="n"/>
      <c r="B22" s="18" t="n"/>
      <c r="C22" s="18" t="n"/>
      <c r="D22" s="18" t="n"/>
      <c r="E22" s="18" t="n"/>
      <c r="F22" s="18" t="n"/>
      <c r="G22" s="18" t="n"/>
      <c r="H22" s="18" t="n"/>
      <c r="I22" s="18" t="n"/>
      <c r="J22" s="18" t="n"/>
      <c r="K22" s="18" t="n"/>
      <c r="L22" s="18" t="n"/>
      <c r="M22" s="18" t="n"/>
      <c r="N22" s="18" t="n"/>
      <c r="O22" s="18" t="n"/>
      <c r="P22" s="18" t="n"/>
    </row>
    <row r="23" ht="18" customHeight="1">
      <c r="A23" s="50" t="n"/>
      <c r="B23" s="6" t="n"/>
      <c r="C23" s="6" t="n"/>
      <c r="D23" s="6" t="n"/>
      <c r="E23" s="6" t="n"/>
      <c r="F23" s="6" t="n"/>
      <c r="G23" s="6" t="n"/>
      <c r="H23" s="6" t="n"/>
      <c r="I23" s="6" t="n"/>
      <c r="J23" s="6" t="n"/>
      <c r="K23" s="6" t="n"/>
      <c r="L23" s="6" t="n"/>
      <c r="M23" s="6" t="n"/>
      <c r="N23" s="6" t="n"/>
      <c r="O23" s="6" t="n"/>
      <c r="P23" s="6" t="n"/>
    </row>
    <row r="24" ht="18" customHeight="1">
      <c r="A24" s="28" t="n"/>
      <c r="B24" s="18" t="n"/>
      <c r="C24" s="18" t="n"/>
      <c r="D24" s="18" t="n"/>
      <c r="E24" s="18" t="n"/>
      <c r="F24" s="18" t="n"/>
      <c r="G24" s="18" t="n"/>
      <c r="H24" s="18" t="n"/>
      <c r="I24" s="18" t="n"/>
      <c r="J24" s="18" t="n"/>
      <c r="K24" s="18" t="n"/>
      <c r="L24" s="18" t="n"/>
      <c r="M24" s="18" t="n"/>
      <c r="N24" s="18" t="n"/>
      <c r="O24" s="18" t="n"/>
      <c r="P24" s="18" t="n"/>
    </row>
    <row r="25" ht="18" customHeight="1">
      <c r="A25" s="50" t="n"/>
      <c r="B25" s="6" t="n"/>
      <c r="C25" s="6" t="n"/>
      <c r="D25" s="6" t="n"/>
      <c r="E25" s="6" t="n"/>
      <c r="F25" s="6" t="n"/>
      <c r="G25" s="6" t="n"/>
      <c r="H25" s="6" t="n"/>
      <c r="I25" s="6" t="n"/>
      <c r="J25" s="6" t="n"/>
      <c r="K25" s="6" t="n"/>
      <c r="L25" s="6" t="n"/>
      <c r="M25" s="6" t="n"/>
      <c r="N25" s="6" t="n"/>
      <c r="O25" s="6" t="n"/>
      <c r="P25" s="6" t="n"/>
    </row>
    <row r="26" ht="18" customHeight="1">
      <c r="A26" s="28" t="n"/>
      <c r="B26" s="18" t="n"/>
      <c r="C26" s="18" t="n"/>
      <c r="D26" s="18" t="n"/>
      <c r="E26" s="18" t="n"/>
      <c r="F26" s="18" t="n"/>
      <c r="G26" s="18" t="n"/>
      <c r="H26" s="18" t="n"/>
      <c r="I26" s="18" t="n"/>
      <c r="J26" s="18" t="n"/>
      <c r="K26" s="18" t="n"/>
      <c r="L26" s="18" t="n"/>
      <c r="M26" s="18" t="n"/>
      <c r="N26" s="18" t="n"/>
      <c r="O26" s="18" t="n"/>
      <c r="P26" s="18" t="n"/>
    </row>
    <row r="27" ht="18" customHeight="1">
      <c r="A27" s="50" t="n"/>
      <c r="B27" s="6" t="n"/>
      <c r="C27" s="6" t="n"/>
      <c r="D27" s="6" t="n"/>
      <c r="E27" s="6" t="n"/>
      <c r="F27" s="6" t="n"/>
      <c r="G27" s="6" t="n"/>
      <c r="H27" s="6" t="n"/>
      <c r="I27" s="6" t="n"/>
      <c r="J27" s="6" t="n"/>
      <c r="K27" s="6" t="n"/>
      <c r="L27" s="6" t="n"/>
      <c r="M27" s="6" t="n"/>
      <c r="N27" s="6" t="n"/>
      <c r="O27" s="6" t="n"/>
      <c r="P27" s="6" t="n"/>
    </row>
    <row r="28" ht="18" customHeight="1">
      <c r="A28" s="28" t="n"/>
      <c r="B28" s="18" t="n"/>
      <c r="C28" s="18" t="n"/>
      <c r="D28" s="18" t="n"/>
      <c r="E28" s="18" t="n"/>
      <c r="F28" s="18" t="n"/>
      <c r="G28" s="18" t="n"/>
      <c r="H28" s="18" t="n"/>
      <c r="I28" s="18" t="n"/>
      <c r="J28" s="18" t="n"/>
      <c r="K28" s="18" t="n"/>
      <c r="L28" s="18" t="n"/>
      <c r="M28" s="18" t="n"/>
      <c r="N28" s="18" t="n"/>
      <c r="O28" s="18" t="n"/>
      <c r="P28" s="18" t="n"/>
    </row>
    <row r="29" ht="18" customHeight="1">
      <c r="A29" s="50" t="n"/>
      <c r="B29" s="6" t="n"/>
      <c r="C29" s="6" t="n"/>
      <c r="D29" s="6" t="n"/>
      <c r="E29" s="6" t="n"/>
      <c r="F29" s="6" t="n"/>
      <c r="G29" s="6" t="n"/>
      <c r="H29" s="6" t="n"/>
      <c r="I29" s="6" t="n"/>
      <c r="J29" s="6" t="n"/>
      <c r="K29" s="6" t="n"/>
      <c r="L29" s="6" t="n"/>
      <c r="M29" s="6" t="n"/>
      <c r="N29" s="6" t="n"/>
      <c r="O29" s="6" t="n"/>
      <c r="P29" s="6" t="n"/>
    </row>
    <row r="30" ht="18" customHeight="1">
      <c r="A30" s="28" t="n"/>
      <c r="B30" s="18" t="n"/>
      <c r="C30" s="18" t="n"/>
      <c r="D30" s="18" t="n"/>
      <c r="E30" s="18" t="n"/>
      <c r="F30" s="18" t="n"/>
      <c r="G30" s="18" t="n"/>
      <c r="H30" s="18" t="n"/>
      <c r="I30" s="18" t="n"/>
      <c r="J30" s="18" t="n"/>
      <c r="K30" s="18" t="n"/>
      <c r="L30" s="18" t="n"/>
      <c r="M30" s="18" t="n"/>
      <c r="N30" s="18" t="n"/>
      <c r="O30" s="18" t="n"/>
      <c r="P30" s="18" t="n"/>
    </row>
    <row r="31" ht="18" customHeight="1">
      <c r="A31" s="50" t="n"/>
      <c r="B31" s="6" t="n"/>
      <c r="C31" s="6" t="n"/>
      <c r="D31" s="6" t="n"/>
      <c r="E31" s="6" t="n"/>
      <c r="F31" s="6" t="n"/>
      <c r="G31" s="6" t="n"/>
      <c r="H31" s="6" t="n"/>
      <c r="I31" s="6" t="n"/>
      <c r="J31" s="6" t="n"/>
      <c r="K31" s="6" t="n"/>
      <c r="L31" s="6" t="n"/>
      <c r="M31" s="6" t="n"/>
      <c r="N31" s="6" t="n"/>
      <c r="O31" s="6" t="n"/>
      <c r="P31" s="6" t="n"/>
    </row>
    <row r="32" ht="18" customHeight="1">
      <c r="A32" s="28" t="n"/>
      <c r="B32" s="18" t="n"/>
      <c r="C32" s="18" t="n"/>
      <c r="D32" s="18" t="n"/>
      <c r="E32" s="18" t="n"/>
      <c r="F32" s="18" t="n"/>
      <c r="G32" s="18" t="n"/>
      <c r="H32" s="18" t="n"/>
      <c r="I32" s="18" t="n"/>
      <c r="J32" s="18" t="n"/>
      <c r="K32" s="18" t="n"/>
      <c r="L32" s="18" t="n"/>
      <c r="M32" s="18" t="n"/>
      <c r="N32" s="18" t="n"/>
      <c r="O32" s="18" t="n"/>
      <c r="P32" s="18" t="n"/>
    </row>
    <row r="33" ht="18" customHeight="1">
      <c r="A33" s="50" t="n"/>
      <c r="B33" s="6" t="n"/>
      <c r="C33" s="6" t="n"/>
      <c r="D33" s="6" t="n"/>
      <c r="E33" s="6" t="n"/>
      <c r="F33" s="6" t="n"/>
      <c r="G33" s="6" t="n"/>
      <c r="H33" s="6" t="n"/>
      <c r="I33" s="6" t="n"/>
      <c r="J33" s="6" t="n"/>
      <c r="K33" s="6" t="n"/>
      <c r="L33" s="6" t="n"/>
      <c r="M33" s="6" t="n"/>
      <c r="N33" s="6" t="n"/>
      <c r="O33" s="6" t="n"/>
      <c r="P33" s="6" t="n"/>
    </row>
    <row r="34" ht="18" customHeight="1">
      <c r="A34" s="28" t="n"/>
      <c r="B34" s="18" t="n"/>
      <c r="C34" s="18" t="n"/>
      <c r="D34" s="18" t="n"/>
      <c r="E34" s="18" t="n"/>
      <c r="F34" s="18" t="n"/>
      <c r="G34" s="18" t="n"/>
      <c r="H34" s="18" t="n"/>
      <c r="I34" s="18" t="n"/>
      <c r="J34" s="18" t="n"/>
      <c r="K34" s="18" t="n"/>
      <c r="L34" s="18" t="n"/>
      <c r="M34" s="18" t="n"/>
      <c r="N34" s="18" t="n"/>
      <c r="O34" s="18" t="n"/>
      <c r="P34" s="18" t="n"/>
    </row>
    <row r="35" ht="18" customHeight="1">
      <c r="A35" s="50" t="n"/>
      <c r="B35" s="6" t="n"/>
      <c r="C35" s="6" t="n"/>
      <c r="D35" s="6" t="n"/>
      <c r="E35" s="6" t="n"/>
      <c r="F35" s="6" t="n"/>
      <c r="G35" s="6" t="n"/>
      <c r="H35" s="6" t="n"/>
      <c r="I35" s="6" t="n"/>
      <c r="J35" s="6" t="n"/>
      <c r="K35" s="6" t="n"/>
      <c r="L35" s="6" t="n"/>
      <c r="M35" s="6" t="n"/>
      <c r="N35" s="6" t="n"/>
      <c r="O35" s="6" t="n"/>
      <c r="P35" s="6" t="n"/>
    </row>
    <row r="36" ht="18" customHeight="1">
      <c r="A36" s="28" t="n"/>
      <c r="B36" s="18" t="n"/>
      <c r="C36" s="18" t="n"/>
      <c r="D36" s="18" t="n"/>
      <c r="E36" s="18" t="n"/>
      <c r="F36" s="18" t="n"/>
      <c r="G36" s="18" t="n"/>
      <c r="H36" s="18" t="n"/>
      <c r="I36" s="18" t="n"/>
      <c r="J36" s="18" t="n"/>
      <c r="K36" s="18" t="n"/>
      <c r="L36" s="18" t="n"/>
      <c r="M36" s="18" t="n"/>
      <c r="N36" s="18" t="n"/>
      <c r="O36" s="18" t="n"/>
      <c r="P36" s="18" t="n"/>
    </row>
    <row r="37" ht="18" customHeight="1">
      <c r="A37" s="50" t="n"/>
      <c r="B37" s="6" t="n"/>
      <c r="C37" s="6" t="n"/>
      <c r="D37" s="6" t="n"/>
      <c r="E37" s="6" t="n"/>
      <c r="F37" s="6" t="n"/>
      <c r="G37" s="6" t="n"/>
      <c r="H37" s="6" t="n"/>
      <c r="I37" s="6" t="n"/>
      <c r="J37" s="6" t="n"/>
      <c r="K37" s="6" t="n"/>
      <c r="L37" s="6" t="n"/>
      <c r="M37" s="6" t="n"/>
      <c r="N37" s="6" t="n"/>
      <c r="O37" s="6" t="n"/>
      <c r="P37" s="6" t="n"/>
    </row>
    <row r="38" ht="18" customHeight="1">
      <c r="A38" s="28" t="n"/>
      <c r="B38" s="18" t="n"/>
      <c r="C38" s="18" t="n"/>
      <c r="D38" s="18" t="n"/>
      <c r="E38" s="18" t="n"/>
      <c r="F38" s="18" t="n"/>
      <c r="G38" s="18" t="n"/>
      <c r="H38" s="18" t="n"/>
      <c r="I38" s="18" t="n"/>
      <c r="J38" s="18" t="n"/>
      <c r="K38" s="18" t="n"/>
      <c r="L38" s="18" t="n"/>
      <c r="M38" s="18" t="n"/>
      <c r="N38" s="18" t="n"/>
      <c r="O38" s="18" t="n"/>
      <c r="P38" s="18" t="n"/>
    </row>
    <row r="39" ht="18" customHeight="1">
      <c r="A39" s="50" t="n"/>
      <c r="B39" s="6" t="n"/>
      <c r="C39" s="6" t="n"/>
      <c r="D39" s="6" t="n"/>
      <c r="E39" s="6" t="n"/>
      <c r="F39" s="6" t="n"/>
      <c r="G39" s="6" t="n"/>
      <c r="H39" s="6" t="n"/>
      <c r="I39" s="6" t="n"/>
      <c r="J39" s="6" t="n"/>
      <c r="K39" s="6" t="n"/>
      <c r="L39" s="6" t="n"/>
      <c r="M39" s="6" t="n"/>
      <c r="N39" s="6" t="n"/>
      <c r="O39" s="6" t="n"/>
      <c r="P39" s="6" t="n"/>
    </row>
    <row r="40" ht="18" customHeight="1">
      <c r="A40" s="28" t="n"/>
      <c r="B40" s="18" t="n"/>
      <c r="C40" s="18" t="n"/>
      <c r="D40" s="18" t="n"/>
      <c r="E40" s="18" t="n"/>
      <c r="F40" s="18" t="n"/>
      <c r="G40" s="18" t="n"/>
      <c r="H40" s="18" t="n"/>
      <c r="I40" s="18" t="n"/>
      <c r="J40" s="18" t="n"/>
      <c r="K40" s="18" t="n"/>
      <c r="L40" s="18" t="n"/>
      <c r="M40" s="18" t="n"/>
      <c r="N40" s="18" t="n"/>
      <c r="O40" s="18" t="n"/>
      <c r="P40" s="18" t="n"/>
    </row>
    <row r="41" ht="18" customHeight="1">
      <c r="A41" s="50" t="n"/>
      <c r="B41" s="6" t="n"/>
      <c r="C41" s="6" t="n"/>
      <c r="D41" s="6" t="n"/>
      <c r="E41" s="6" t="n"/>
      <c r="F41" s="6" t="n"/>
      <c r="G41" s="6" t="n"/>
      <c r="H41" s="6" t="n"/>
      <c r="I41" s="6" t="n"/>
      <c r="J41" s="6" t="n"/>
      <c r="K41" s="6" t="n"/>
      <c r="L41" s="6" t="n"/>
      <c r="M41" s="6" t="n"/>
      <c r="N41" s="6" t="n"/>
      <c r="O41" s="6" t="n"/>
      <c r="P41" s="6" t="n"/>
    </row>
    <row r="42" ht="18" customHeight="1">
      <c r="A42" s="28" t="n"/>
      <c r="B42" s="18" t="n"/>
      <c r="C42" s="18" t="n"/>
      <c r="D42" s="18" t="n"/>
      <c r="E42" s="18" t="n"/>
      <c r="F42" s="18" t="n"/>
      <c r="G42" s="18" t="n"/>
      <c r="H42" s="18" t="n"/>
      <c r="I42" s="18" t="n"/>
      <c r="J42" s="18" t="n"/>
      <c r="K42" s="18" t="n"/>
      <c r="L42" s="18" t="n"/>
      <c r="M42" s="18" t="n"/>
      <c r="N42" s="18" t="n"/>
      <c r="O42" s="18" t="n"/>
      <c r="P42" s="18" t="n"/>
    </row>
    <row r="43" ht="18" customHeight="1">
      <c r="A43" s="50" t="n"/>
      <c r="B43" s="6" t="n"/>
      <c r="C43" s="6" t="n"/>
      <c r="D43" s="6" t="n"/>
      <c r="E43" s="6" t="n"/>
      <c r="F43" s="6" t="n"/>
      <c r="G43" s="6" t="n"/>
      <c r="H43" s="6" t="n"/>
      <c r="I43" s="6" t="n"/>
      <c r="J43" s="6" t="n"/>
      <c r="K43" s="6" t="n"/>
      <c r="L43" s="6" t="n"/>
      <c r="M43" s="6" t="n"/>
      <c r="N43" s="6" t="n"/>
      <c r="O43" s="6" t="n"/>
      <c r="P43" s="6" t="n"/>
    </row>
    <row r="44" ht="18" customHeight="1">
      <c r="A44" s="28" t="n"/>
      <c r="B44" s="18" t="n"/>
      <c r="C44" s="18" t="n"/>
      <c r="D44" s="18" t="n"/>
      <c r="E44" s="18" t="n"/>
      <c r="F44" s="18" t="n"/>
      <c r="G44" s="18" t="n"/>
      <c r="H44" s="18" t="n"/>
      <c r="I44" s="18" t="n"/>
      <c r="J44" s="18" t="n"/>
      <c r="K44" s="18" t="n"/>
      <c r="L44" s="18" t="n"/>
      <c r="M44" s="18" t="n"/>
      <c r="N44" s="18" t="n"/>
      <c r="O44" s="18" t="n"/>
      <c r="P44" s="18" t="n"/>
    </row>
    <row r="45" ht="18" customHeight="1">
      <c r="A45" s="50" t="n"/>
      <c r="B45" s="6" t="n"/>
      <c r="C45" s="6" t="n"/>
      <c r="D45" s="6" t="n"/>
      <c r="E45" s="6" t="n"/>
      <c r="F45" s="6" t="n"/>
      <c r="G45" s="6" t="n"/>
      <c r="H45" s="6" t="n"/>
      <c r="I45" s="6" t="n"/>
      <c r="J45" s="6" t="n"/>
      <c r="K45" s="6" t="n"/>
      <c r="L45" s="6" t="n"/>
      <c r="M45" s="6" t="n"/>
      <c r="N45" s="6" t="n"/>
      <c r="O45" s="6" t="n"/>
      <c r="P45" s="6" t="n"/>
    </row>
    <row r="46" ht="18" customHeight="1">
      <c r="A46" s="28" t="n"/>
      <c r="B46" s="18" t="n"/>
      <c r="C46" s="18" t="n"/>
      <c r="D46" s="18" t="n"/>
      <c r="E46" s="18" t="n"/>
      <c r="F46" s="18" t="n"/>
      <c r="G46" s="18" t="n"/>
      <c r="H46" s="18" t="n"/>
      <c r="I46" s="18" t="n"/>
      <c r="J46" s="18" t="n"/>
      <c r="K46" s="18" t="n"/>
      <c r="L46" s="18" t="n"/>
      <c r="M46" s="18" t="n"/>
      <c r="N46" s="18" t="n"/>
      <c r="O46" s="18" t="n"/>
      <c r="P46" s="18" t="n"/>
    </row>
    <row r="47" ht="18" customHeight="1">
      <c r="A47" s="50" t="n"/>
      <c r="B47" s="6" t="n"/>
      <c r="C47" s="6" t="n"/>
      <c r="D47" s="6" t="n"/>
      <c r="E47" s="6" t="n"/>
      <c r="F47" s="6" t="n"/>
      <c r="G47" s="6" t="n"/>
      <c r="H47" s="6" t="n"/>
      <c r="I47" s="6" t="n"/>
      <c r="J47" s="6" t="n"/>
      <c r="K47" s="6" t="n"/>
      <c r="L47" s="6" t="n"/>
      <c r="M47" s="6" t="n"/>
      <c r="N47" s="6" t="n"/>
      <c r="O47" s="6" t="n"/>
      <c r="P47" s="6" t="n"/>
    </row>
    <row r="48" ht="18" customHeight="1">
      <c r="A48" s="28" t="n"/>
      <c r="B48" s="18" t="n"/>
      <c r="C48" s="18" t="n"/>
      <c r="D48" s="18" t="n"/>
      <c r="E48" s="18" t="n"/>
      <c r="F48" s="18" t="n"/>
      <c r="G48" s="18" t="n"/>
      <c r="H48" s="18" t="n"/>
      <c r="I48" s="18" t="n"/>
      <c r="J48" s="18" t="n"/>
      <c r="K48" s="18" t="n"/>
      <c r="L48" s="18" t="n"/>
      <c r="M48" s="18" t="n"/>
      <c r="N48" s="18" t="n"/>
      <c r="O48" s="18" t="n"/>
      <c r="P48" s="18" t="n"/>
    </row>
    <row r="49" ht="18" customHeight="1">
      <c r="A49" s="50" t="n"/>
      <c r="B49" s="6" t="n"/>
      <c r="C49" s="6" t="n"/>
      <c r="D49" s="6" t="n"/>
      <c r="E49" s="6" t="n"/>
      <c r="F49" s="6" t="n"/>
      <c r="G49" s="6" t="n"/>
      <c r="H49" s="6" t="n"/>
      <c r="I49" s="6" t="n"/>
      <c r="J49" s="6" t="n"/>
      <c r="K49" s="6" t="n"/>
      <c r="L49" s="6" t="n"/>
      <c r="M49" s="6" t="n"/>
      <c r="N49" s="6" t="n"/>
      <c r="O49" s="6" t="n"/>
      <c r="P49" s="6" t="n"/>
    </row>
    <row r="50" ht="18" customHeight="1">
      <c r="A50" s="28" t="n"/>
      <c r="B50" s="18" t="n"/>
      <c r="C50" s="18" t="n"/>
      <c r="D50" s="18" t="n"/>
      <c r="E50" s="18" t="n"/>
      <c r="F50" s="18" t="n"/>
      <c r="G50" s="18" t="n"/>
      <c r="H50" s="18" t="n"/>
      <c r="I50" s="18" t="n"/>
      <c r="J50" s="18" t="n"/>
      <c r="K50" s="18" t="n"/>
      <c r="L50" s="18" t="n"/>
      <c r="M50" s="18" t="n"/>
      <c r="N50" s="18" t="n"/>
      <c r="O50" s="18" t="n"/>
      <c r="P50" s="18" t="n"/>
    </row>
    <row r="51" ht="18" customHeight="1">
      <c r="A51" s="50" t="n"/>
      <c r="B51" s="6" t="n"/>
      <c r="C51" s="6" t="n"/>
      <c r="D51" s="6" t="n"/>
      <c r="E51" s="6" t="n"/>
      <c r="F51" s="6" t="n"/>
      <c r="G51" s="6" t="n"/>
      <c r="H51" s="6" t="n"/>
      <c r="I51" s="6" t="n"/>
      <c r="J51" s="6" t="n"/>
      <c r="K51" s="6" t="n"/>
      <c r="L51" s="6" t="n"/>
      <c r="M51" s="6" t="n"/>
      <c r="N51" s="6" t="n"/>
      <c r="O51" s="6" t="n"/>
      <c r="P51" s="6" t="n"/>
    </row>
    <row r="52" ht="18" customHeight="1">
      <c r="A52" s="28" t="n"/>
      <c r="B52" s="18" t="n"/>
      <c r="C52" s="18" t="n"/>
      <c r="D52" s="18" t="n"/>
      <c r="E52" s="18" t="n"/>
      <c r="F52" s="18" t="n"/>
      <c r="G52" s="18" t="n"/>
      <c r="H52" s="18" t="n"/>
      <c r="I52" s="18" t="n"/>
      <c r="J52" s="18" t="n"/>
      <c r="K52" s="18" t="n"/>
      <c r="L52" s="18" t="n"/>
      <c r="M52" s="18" t="n"/>
      <c r="N52" s="18" t="n"/>
      <c r="O52" s="18" t="n"/>
      <c r="P52" s="18" t="n"/>
    </row>
    <row r="53" ht="18" customHeight="1">
      <c r="A53" s="50" t="n"/>
      <c r="B53" s="6" t="n"/>
      <c r="C53" s="6" t="n"/>
      <c r="D53" s="6" t="n"/>
      <c r="E53" s="6" t="n"/>
      <c r="F53" s="6" t="n"/>
      <c r="G53" s="6" t="n"/>
      <c r="H53" s="6" t="n"/>
      <c r="I53" s="6" t="n"/>
      <c r="J53" s="6" t="n"/>
      <c r="K53" s="6" t="n"/>
      <c r="L53" s="6" t="n"/>
      <c r="M53" s="6" t="n"/>
      <c r="N53" s="6" t="n"/>
      <c r="O53" s="6" t="n"/>
      <c r="P53" s="6" t="n"/>
    </row>
    <row r="54" ht="18" customHeight="1">
      <c r="A54" s="28" t="n"/>
      <c r="B54" s="18" t="n"/>
      <c r="C54" s="18" t="n"/>
      <c r="D54" s="18" t="n"/>
      <c r="E54" s="18" t="n"/>
      <c r="F54" s="18" t="n"/>
      <c r="G54" s="18" t="n"/>
      <c r="H54" s="18" t="n"/>
      <c r="I54" s="18" t="n"/>
      <c r="J54" s="18" t="n"/>
      <c r="K54" s="18" t="n"/>
      <c r="L54" s="18" t="n"/>
      <c r="M54" s="18" t="n"/>
      <c r="N54" s="18" t="n"/>
      <c r="O54" s="18" t="n"/>
      <c r="P54" s="18" t="n"/>
    </row>
    <row r="55" ht="18" customHeight="1">
      <c r="A55" s="50" t="n"/>
      <c r="B55" s="6" t="n"/>
      <c r="C55" s="6" t="n"/>
      <c r="D55" s="6" t="n"/>
      <c r="E55" s="6" t="n"/>
      <c r="F55" s="6" t="n"/>
      <c r="G55" s="6" t="n"/>
      <c r="H55" s="6" t="n"/>
      <c r="I55" s="6" t="n"/>
      <c r="J55" s="6" t="n"/>
      <c r="K55" s="6" t="n"/>
      <c r="L55" s="6" t="n"/>
      <c r="M55" s="6" t="n"/>
      <c r="N55" s="6" t="n"/>
      <c r="O55" s="6" t="n"/>
      <c r="P55" s="6" t="n"/>
    </row>
    <row r="56" ht="18" customHeight="1">
      <c r="A56" s="28" t="n"/>
      <c r="B56" s="18" t="n"/>
      <c r="C56" s="18" t="n"/>
      <c r="D56" s="18" t="n"/>
      <c r="E56" s="18" t="n"/>
      <c r="F56" s="18" t="n"/>
      <c r="G56" s="18" t="n"/>
      <c r="H56" s="18" t="n"/>
      <c r="I56" s="18" t="n"/>
      <c r="J56" s="18" t="n"/>
      <c r="K56" s="18" t="n"/>
      <c r="L56" s="18" t="n"/>
      <c r="M56" s="18" t="n"/>
      <c r="N56" s="18" t="n"/>
      <c r="O56" s="18" t="n"/>
      <c r="P56" s="18" t="n"/>
    </row>
    <row r="57" ht="18" customHeight="1">
      <c r="A57" s="50" t="n"/>
      <c r="B57" s="6" t="n"/>
      <c r="C57" s="6" t="n"/>
      <c r="D57" s="6" t="n"/>
      <c r="E57" s="6" t="n"/>
      <c r="F57" s="6" t="n"/>
      <c r="G57" s="6" t="n"/>
      <c r="H57" s="6" t="n"/>
      <c r="I57" s="6" t="n"/>
      <c r="J57" s="6" t="n"/>
      <c r="K57" s="6" t="n"/>
      <c r="L57" s="6" t="n"/>
      <c r="M57" s="6" t="n"/>
      <c r="N57" s="6" t="n"/>
      <c r="O57" s="6" t="n"/>
      <c r="P57" s="6" t="n"/>
    </row>
    <row r="58" ht="18" customHeight="1">
      <c r="A58" s="28" t="n"/>
      <c r="B58" s="18" t="n"/>
      <c r="C58" s="18" t="n"/>
      <c r="D58" s="18" t="n"/>
      <c r="E58" s="18" t="n"/>
      <c r="F58" s="18" t="n"/>
      <c r="G58" s="18" t="n"/>
      <c r="H58" s="18" t="n"/>
      <c r="I58" s="18" t="n"/>
      <c r="J58" s="18" t="n"/>
      <c r="K58" s="18" t="n"/>
      <c r="L58" s="18" t="n"/>
      <c r="M58" s="18" t="n"/>
      <c r="N58" s="18" t="n"/>
      <c r="O58" s="18" t="n"/>
      <c r="P58" s="18" t="n"/>
    </row>
    <row r="59" ht="18" customHeight="1">
      <c r="A59" s="50" t="n"/>
      <c r="B59" s="6" t="n"/>
      <c r="C59" s="6" t="n"/>
      <c r="D59" s="6" t="n"/>
      <c r="E59" s="6" t="n"/>
      <c r="F59" s="6" t="n"/>
      <c r="G59" s="6" t="n"/>
      <c r="H59" s="6" t="n"/>
      <c r="I59" s="6" t="n"/>
      <c r="J59" s="6" t="n"/>
      <c r="K59" s="6" t="n"/>
      <c r="L59" s="6" t="n"/>
      <c r="M59" s="6" t="n"/>
      <c r="N59" s="6" t="n"/>
      <c r="O59" s="6" t="n"/>
      <c r="P59" s="6" t="n"/>
    </row>
    <row r="60" ht="18" customHeight="1">
      <c r="A60" s="28" t="n"/>
      <c r="B60" s="18" t="n"/>
      <c r="C60" s="18" t="n"/>
      <c r="D60" s="18" t="n"/>
      <c r="E60" s="18" t="n"/>
      <c r="F60" s="18" t="n"/>
      <c r="G60" s="18" t="n"/>
      <c r="H60" s="18" t="n"/>
      <c r="I60" s="18" t="n"/>
      <c r="J60" s="18" t="n"/>
      <c r="K60" s="18" t="n"/>
      <c r="L60" s="18" t="n"/>
      <c r="M60" s="18" t="n"/>
      <c r="N60" s="18" t="n"/>
      <c r="O60" s="18" t="n"/>
      <c r="P60" s="18" t="n"/>
    </row>
    <row r="61" ht="18" customHeight="1">
      <c r="A61" s="50" t="n"/>
      <c r="B61" s="6" t="n"/>
      <c r="C61" s="6" t="n"/>
      <c r="D61" s="6" t="n"/>
      <c r="E61" s="6" t="n"/>
      <c r="F61" s="6" t="n"/>
      <c r="G61" s="6" t="n"/>
      <c r="H61" s="6" t="n"/>
      <c r="I61" s="6" t="n"/>
      <c r="J61" s="6" t="n"/>
      <c r="K61" s="6" t="n"/>
      <c r="L61" s="6" t="n"/>
      <c r="M61" s="6" t="n"/>
      <c r="N61" s="6" t="n"/>
      <c r="O61" s="6" t="n"/>
      <c r="P61" s="6" t="n"/>
    </row>
    <row r="62" ht="18" customHeight="1">
      <c r="A62" s="28" t="n"/>
      <c r="B62" s="18" t="n"/>
      <c r="C62" s="18" t="n"/>
      <c r="D62" s="18" t="n"/>
      <c r="E62" s="18" t="n"/>
      <c r="F62" s="18" t="n"/>
      <c r="G62" s="18" t="n"/>
      <c r="H62" s="18" t="n"/>
      <c r="I62" s="18" t="n"/>
      <c r="J62" s="18" t="n"/>
      <c r="K62" s="18" t="n"/>
      <c r="L62" s="18" t="n"/>
      <c r="M62" s="18" t="n"/>
      <c r="N62" s="18" t="n"/>
      <c r="O62" s="18" t="n"/>
      <c r="P62" s="18" t="n"/>
    </row>
    <row r="63" ht="18" customHeight="1">
      <c r="A63" s="50" t="n"/>
      <c r="B63" s="6" t="n"/>
      <c r="C63" s="6" t="n"/>
      <c r="D63" s="6" t="n"/>
      <c r="E63" s="6" t="n"/>
      <c r="F63" s="6" t="n"/>
      <c r="G63" s="6" t="n"/>
      <c r="H63" s="6" t="n"/>
      <c r="I63" s="6" t="n"/>
      <c r="J63" s="6" t="n"/>
      <c r="K63" s="6" t="n"/>
      <c r="L63" s="6" t="n"/>
      <c r="M63" s="6" t="n"/>
      <c r="N63" s="6" t="n"/>
      <c r="O63" s="6" t="n"/>
      <c r="P63" s="6" t="n"/>
    </row>
    <row r="64" ht="18" customHeight="1">
      <c r="A64" s="28" t="n"/>
      <c r="B64" s="18" t="n"/>
      <c r="C64" s="18" t="n"/>
      <c r="D64" s="18" t="n"/>
      <c r="E64" s="18" t="n"/>
      <c r="F64" s="18" t="n"/>
      <c r="G64" s="18" t="n"/>
      <c r="H64" s="18" t="n"/>
      <c r="I64" s="18" t="n"/>
      <c r="J64" s="18" t="n"/>
      <c r="K64" s="18" t="n"/>
      <c r="L64" s="18" t="n"/>
      <c r="M64" s="18" t="n"/>
      <c r="N64" s="18" t="n"/>
      <c r="O64" s="18" t="n"/>
      <c r="P64" s="18" t="n"/>
    </row>
    <row r="65" ht="18" customHeight="1">
      <c r="A65" s="50" t="n"/>
      <c r="B65" s="6" t="n"/>
      <c r="C65" s="6" t="n"/>
      <c r="D65" s="6" t="n"/>
      <c r="E65" s="6" t="n"/>
      <c r="F65" s="6" t="n"/>
      <c r="G65" s="6" t="n"/>
      <c r="H65" s="6" t="n"/>
      <c r="I65" s="6" t="n"/>
      <c r="J65" s="6" t="n"/>
      <c r="K65" s="6" t="n"/>
      <c r="L65" s="6" t="n"/>
      <c r="M65" s="6" t="n"/>
      <c r="N65" s="6" t="n"/>
      <c r="O65" s="6" t="n"/>
      <c r="P65" s="6" t="n"/>
    </row>
    <row r="66" ht="18" customHeight="1">
      <c r="A66" s="28" t="n"/>
      <c r="B66" s="18" t="n"/>
      <c r="C66" s="18" t="n"/>
      <c r="D66" s="18" t="n"/>
      <c r="E66" s="18" t="n"/>
      <c r="F66" s="18" t="n"/>
      <c r="G66" s="18" t="n"/>
      <c r="H66" s="18" t="n"/>
      <c r="I66" s="18" t="n"/>
      <c r="J66" s="18" t="n"/>
      <c r="K66" s="18" t="n"/>
      <c r="L66" s="18" t="n"/>
      <c r="M66" s="18" t="n"/>
      <c r="N66" s="18" t="n"/>
      <c r="O66" s="18" t="n"/>
      <c r="P66" s="18" t="n"/>
    </row>
    <row r="67" ht="18" customHeight="1">
      <c r="A67" s="50" t="n"/>
      <c r="B67" s="6" t="n"/>
      <c r="C67" s="6" t="n"/>
      <c r="D67" s="6" t="n"/>
      <c r="E67" s="6" t="n"/>
      <c r="F67" s="6" t="n"/>
      <c r="G67" s="6" t="n"/>
      <c r="H67" s="6" t="n"/>
      <c r="I67" s="6" t="n"/>
      <c r="J67" s="6" t="n"/>
      <c r="K67" s="6" t="n"/>
      <c r="L67" s="6" t="n"/>
      <c r="M67" s="6" t="n"/>
      <c r="N67" s="6" t="n"/>
      <c r="O67" s="6" t="n"/>
      <c r="P67" s="6" t="n"/>
    </row>
    <row r="68" ht="18" customHeight="1">
      <c r="A68" s="28" t="n"/>
      <c r="B68" s="18" t="n"/>
      <c r="C68" s="18" t="n"/>
      <c r="D68" s="18" t="n"/>
      <c r="E68" s="18" t="n"/>
      <c r="F68" s="18" t="n"/>
      <c r="G68" s="18" t="n"/>
      <c r="H68" s="18" t="n"/>
      <c r="I68" s="18" t="n"/>
      <c r="J68" s="18" t="n"/>
      <c r="K68" s="18" t="n"/>
      <c r="L68" s="18" t="n"/>
      <c r="M68" s="18" t="n"/>
      <c r="N68" s="18" t="n"/>
      <c r="O68" s="18" t="n"/>
      <c r="P68" s="18" t="n"/>
    </row>
    <row r="69" ht="18" customHeight="1">
      <c r="A69" s="50" t="n"/>
      <c r="B69" s="6" t="n"/>
      <c r="C69" s="6" t="n"/>
      <c r="D69" s="6" t="n"/>
      <c r="E69" s="6" t="n"/>
      <c r="F69" s="6" t="n"/>
      <c r="G69" s="6" t="n"/>
      <c r="H69" s="6" t="n"/>
      <c r="I69" s="6" t="n"/>
      <c r="J69" s="6" t="n"/>
      <c r="K69" s="6" t="n"/>
      <c r="L69" s="6" t="n"/>
      <c r="M69" s="6" t="n"/>
      <c r="N69" s="6" t="n"/>
      <c r="O69" s="6" t="n"/>
      <c r="P69" s="6" t="n"/>
    </row>
    <row r="70" ht="18" customHeight="1">
      <c r="A70" s="28" t="n"/>
      <c r="B70" s="18" t="n"/>
      <c r="C70" s="18" t="n"/>
      <c r="D70" s="18" t="n"/>
      <c r="E70" s="18" t="n"/>
      <c r="F70" s="18" t="n"/>
      <c r="G70" s="18" t="n"/>
      <c r="H70" s="18" t="n"/>
      <c r="I70" s="18" t="n"/>
      <c r="J70" s="18" t="n"/>
      <c r="K70" s="18" t="n"/>
      <c r="L70" s="18" t="n"/>
      <c r="M70" s="18" t="n"/>
      <c r="N70" s="18" t="n"/>
      <c r="O70" s="18" t="n"/>
      <c r="P70" s="18" t="n"/>
    </row>
    <row r="71" ht="18" customHeight="1">
      <c r="A71" s="50" t="n"/>
      <c r="B71" s="6" t="n"/>
      <c r="C71" s="6" t="n"/>
      <c r="D71" s="6" t="n"/>
      <c r="E71" s="6" t="n"/>
      <c r="F71" s="6" t="n"/>
      <c r="G71" s="6" t="n"/>
      <c r="H71" s="6" t="n"/>
      <c r="I71" s="6" t="n"/>
      <c r="J71" s="6" t="n"/>
      <c r="K71" s="6" t="n"/>
      <c r="L71" s="6" t="n"/>
      <c r="M71" s="6" t="n"/>
      <c r="N71" s="6" t="n"/>
      <c r="O71" s="6" t="n"/>
      <c r="P71" s="6" t="n"/>
    </row>
    <row r="72" ht="18" customHeight="1">
      <c r="A72" s="28" t="n"/>
      <c r="B72" s="18" t="n"/>
      <c r="C72" s="18" t="n"/>
      <c r="D72" s="18" t="n"/>
      <c r="E72" s="18" t="n"/>
      <c r="F72" s="18" t="n"/>
      <c r="G72" s="18" t="n"/>
      <c r="H72" s="18" t="n"/>
      <c r="I72" s="18" t="n"/>
      <c r="J72" s="18" t="n"/>
      <c r="K72" s="18" t="n"/>
      <c r="L72" s="18" t="n"/>
      <c r="M72" s="18" t="n"/>
      <c r="N72" s="18" t="n"/>
      <c r="O72" s="18" t="n"/>
      <c r="P72" s="18" t="n"/>
    </row>
    <row r="73" ht="18" customHeight="1">
      <c r="A73" s="50" t="n"/>
      <c r="B73" s="6" t="n"/>
      <c r="C73" s="6" t="n"/>
      <c r="D73" s="6" t="n"/>
      <c r="E73" s="6" t="n"/>
      <c r="F73" s="6" t="n"/>
      <c r="G73" s="6" t="n"/>
      <c r="H73" s="6" t="n"/>
      <c r="I73" s="6" t="n"/>
      <c r="J73" s="6" t="n"/>
      <c r="K73" s="6" t="n"/>
      <c r="L73" s="6" t="n"/>
      <c r="M73" s="6" t="n"/>
      <c r="N73" s="6" t="n"/>
      <c r="O73" s="6" t="n"/>
      <c r="P73" s="6" t="n"/>
    </row>
    <row r="74" ht="18" customHeight="1">
      <c r="A74" s="28" t="n"/>
      <c r="B74" s="18" t="n"/>
      <c r="C74" s="18" t="n"/>
      <c r="D74" s="18" t="n"/>
      <c r="E74" s="18" t="n"/>
      <c r="F74" s="18" t="n"/>
      <c r="G74" s="18" t="n"/>
      <c r="H74" s="18" t="n"/>
      <c r="I74" s="18" t="n"/>
      <c r="J74" s="18" t="n"/>
      <c r="K74" s="18" t="n"/>
      <c r="L74" s="18" t="n"/>
      <c r="M74" s="18" t="n"/>
      <c r="N74" s="18" t="n"/>
      <c r="O74" s="18" t="n"/>
      <c r="P74" s="18" t="n"/>
    </row>
    <row r="75" ht="18" customHeight="1">
      <c r="A75" s="50" t="n"/>
      <c r="B75" s="6" t="n"/>
      <c r="C75" s="6" t="n"/>
      <c r="D75" s="6" t="n"/>
      <c r="E75" s="6" t="n"/>
      <c r="F75" s="6" t="n"/>
      <c r="G75" s="6" t="n"/>
      <c r="H75" s="6" t="n"/>
      <c r="I75" s="6" t="n"/>
      <c r="J75" s="6" t="n"/>
      <c r="K75" s="6" t="n"/>
      <c r="L75" s="6" t="n"/>
      <c r="M75" s="6" t="n"/>
      <c r="N75" s="6" t="n"/>
      <c r="O75" s="6" t="n"/>
      <c r="P75" s="6" t="n"/>
    </row>
    <row r="76" ht="18" customHeight="1">
      <c r="A76" s="28" t="n"/>
      <c r="B76" s="18" t="n"/>
      <c r="C76" s="18" t="n"/>
      <c r="D76" s="18" t="n"/>
      <c r="E76" s="18" t="n"/>
      <c r="F76" s="18" t="n"/>
      <c r="G76" s="18" t="n"/>
      <c r="H76" s="18" t="n"/>
      <c r="I76" s="18" t="n"/>
      <c r="J76" s="18" t="n"/>
      <c r="K76" s="18" t="n"/>
      <c r="L76" s="18" t="n"/>
      <c r="M76" s="18" t="n"/>
      <c r="N76" s="18" t="n"/>
      <c r="O76" s="18" t="n"/>
      <c r="P76" s="18" t="n"/>
    </row>
    <row r="77" ht="18" customHeight="1">
      <c r="A77" s="50" t="n"/>
      <c r="B77" s="6" t="n"/>
      <c r="C77" s="6" t="n"/>
      <c r="D77" s="6" t="n"/>
      <c r="E77" s="6" t="n"/>
      <c r="F77" s="6" t="n"/>
      <c r="G77" s="6" t="n"/>
      <c r="H77" s="6" t="n"/>
      <c r="I77" s="6" t="n"/>
      <c r="J77" s="6" t="n"/>
      <c r="K77" s="6" t="n"/>
      <c r="L77" s="6" t="n"/>
      <c r="M77" s="6" t="n"/>
      <c r="N77" s="6" t="n"/>
      <c r="O77" s="6" t="n"/>
      <c r="P77" s="6" t="n"/>
    </row>
    <row r="78" ht="18" customHeight="1">
      <c r="A78" s="28" t="n"/>
      <c r="B78" s="18" t="n"/>
      <c r="C78" s="18" t="n"/>
      <c r="D78" s="18" t="n"/>
      <c r="E78" s="18" t="n"/>
      <c r="F78" s="18" t="n"/>
      <c r="G78" s="18" t="n"/>
      <c r="H78" s="18" t="n"/>
      <c r="I78" s="18" t="n"/>
      <c r="J78" s="18" t="n"/>
      <c r="K78" s="18" t="n"/>
      <c r="L78" s="18" t="n"/>
      <c r="M78" s="18" t="n"/>
      <c r="N78" s="18" t="n"/>
      <c r="O78" s="18" t="n"/>
      <c r="P78" s="18" t="n"/>
    </row>
    <row r="79" ht="18" customHeight="1">
      <c r="A79" s="50" t="n"/>
      <c r="B79" s="6" t="n"/>
      <c r="C79" s="6" t="n"/>
      <c r="D79" s="6" t="n"/>
      <c r="E79" s="6" t="n"/>
      <c r="F79" s="6" t="n"/>
      <c r="G79" s="6" t="n"/>
      <c r="H79" s="6" t="n"/>
      <c r="I79" s="6" t="n"/>
      <c r="J79" s="6" t="n"/>
      <c r="K79" s="6" t="n"/>
      <c r="L79" s="6" t="n"/>
      <c r="M79" s="6" t="n"/>
      <c r="N79" s="6" t="n"/>
      <c r="O79" s="6" t="n"/>
      <c r="P79" s="6" t="n"/>
    </row>
    <row r="80" ht="18" customHeight="1">
      <c r="A80" s="28" t="n"/>
      <c r="B80" s="18" t="n"/>
      <c r="C80" s="18" t="n"/>
      <c r="D80" s="18" t="n"/>
      <c r="E80" s="18" t="n"/>
      <c r="F80" s="18" t="n"/>
      <c r="G80" s="18" t="n"/>
      <c r="H80" s="18" t="n"/>
      <c r="I80" s="18" t="n"/>
      <c r="J80" s="18" t="n"/>
      <c r="K80" s="18" t="n"/>
      <c r="L80" s="18" t="n"/>
      <c r="M80" s="18" t="n"/>
      <c r="N80" s="18" t="n"/>
      <c r="O80" s="18" t="n"/>
      <c r="P80" s="18" t="n"/>
    </row>
    <row r="81" ht="18" customHeight="1">
      <c r="A81" s="50" t="n"/>
      <c r="B81" s="6" t="n"/>
      <c r="C81" s="6" t="n"/>
      <c r="D81" s="6" t="n"/>
      <c r="E81" s="6" t="n"/>
      <c r="F81" s="6" t="n"/>
      <c r="G81" s="6" t="n"/>
      <c r="H81" s="6" t="n"/>
      <c r="I81" s="6" t="n"/>
      <c r="J81" s="6" t="n"/>
      <c r="K81" s="6" t="n"/>
      <c r="L81" s="6" t="n"/>
      <c r="M81" s="6" t="n"/>
      <c r="N81" s="6" t="n"/>
      <c r="O81" s="6" t="n"/>
      <c r="P81" s="6" t="n"/>
    </row>
    <row r="82" ht="18" customHeight="1">
      <c r="A82" s="28" t="n"/>
      <c r="B82" s="18" t="n"/>
      <c r="C82" s="18" t="n"/>
      <c r="D82" s="18" t="n"/>
      <c r="E82" s="18" t="n"/>
      <c r="F82" s="18" t="n"/>
      <c r="G82" s="18" t="n"/>
      <c r="H82" s="18" t="n"/>
      <c r="I82" s="18" t="n"/>
      <c r="J82" s="18" t="n"/>
      <c r="K82" s="18" t="n"/>
      <c r="L82" s="18" t="n"/>
      <c r="M82" s="18" t="n"/>
      <c r="N82" s="18" t="n"/>
      <c r="O82" s="18" t="n"/>
      <c r="P82" s="18" t="n"/>
    </row>
    <row r="83" ht="18" customHeight="1">
      <c r="A83" s="50" t="n"/>
      <c r="B83" s="6" t="n"/>
      <c r="C83" s="6" t="n"/>
      <c r="D83" s="6" t="n"/>
      <c r="E83" s="6" t="n"/>
      <c r="F83" s="6" t="n"/>
      <c r="G83" s="6" t="n"/>
      <c r="H83" s="6" t="n"/>
      <c r="I83" s="6" t="n"/>
      <c r="J83" s="6" t="n"/>
      <c r="K83" s="6" t="n"/>
      <c r="L83" s="6" t="n"/>
      <c r="M83" s="6" t="n"/>
      <c r="N83" s="6" t="n"/>
      <c r="O83" s="6" t="n"/>
      <c r="P83" s="6" t="n"/>
    </row>
    <row r="84" ht="18" customHeight="1">
      <c r="A84" s="28" t="n"/>
      <c r="B84" s="18" t="n"/>
      <c r="C84" s="18" t="n"/>
      <c r="D84" s="18" t="n"/>
      <c r="E84" s="18" t="n"/>
      <c r="F84" s="18" t="n"/>
      <c r="G84" s="18" t="n"/>
      <c r="H84" s="18" t="n"/>
      <c r="I84" s="18" t="n"/>
      <c r="J84" s="18" t="n"/>
      <c r="K84" s="18" t="n"/>
      <c r="L84" s="18" t="n"/>
      <c r="M84" s="18" t="n"/>
      <c r="N84" s="18" t="n"/>
      <c r="O84" s="18" t="n"/>
      <c r="P84" s="18" t="n"/>
    </row>
    <row r="85" ht="18" customHeight="1">
      <c r="A85" s="50" t="n"/>
      <c r="B85" s="6" t="n"/>
      <c r="C85" s="6" t="n"/>
      <c r="D85" s="6" t="n"/>
      <c r="E85" s="6" t="n"/>
      <c r="F85" s="6" t="n"/>
      <c r="G85" s="6" t="n"/>
      <c r="H85" s="6" t="n"/>
      <c r="I85" s="6" t="n"/>
      <c r="J85" s="6" t="n"/>
      <c r="K85" s="6" t="n"/>
      <c r="L85" s="6" t="n"/>
      <c r="M85" s="6" t="n"/>
      <c r="N85" s="6" t="n"/>
      <c r="O85" s="6" t="n"/>
      <c r="P85" s="6" t="n"/>
    </row>
    <row r="86" ht="18" customHeight="1">
      <c r="A86" s="28" t="n"/>
      <c r="B86" s="18" t="n"/>
      <c r="C86" s="18" t="n"/>
      <c r="D86" s="18" t="n"/>
      <c r="E86" s="18" t="n"/>
      <c r="F86" s="18" t="n"/>
      <c r="G86" s="18" t="n"/>
      <c r="H86" s="18" t="n"/>
      <c r="I86" s="18" t="n"/>
      <c r="J86" s="18" t="n"/>
      <c r="K86" s="18" t="n"/>
      <c r="L86" s="18" t="n"/>
      <c r="M86" s="18" t="n"/>
      <c r="N86" s="18" t="n"/>
      <c r="O86" s="18" t="n"/>
      <c r="P86" s="18" t="n"/>
    </row>
    <row r="87" ht="18" customHeight="1">
      <c r="A87" s="50" t="n"/>
      <c r="B87" s="6" t="n"/>
      <c r="C87" s="6" t="n"/>
      <c r="D87" s="6" t="n"/>
      <c r="E87" s="6" t="n"/>
      <c r="F87" s="6" t="n"/>
      <c r="G87" s="6" t="n"/>
      <c r="H87" s="6" t="n"/>
      <c r="I87" s="6" t="n"/>
      <c r="J87" s="6" t="n"/>
      <c r="K87" s="6" t="n"/>
      <c r="L87" s="6" t="n"/>
      <c r="M87" s="6" t="n"/>
      <c r="N87" s="6" t="n"/>
      <c r="O87" s="6" t="n"/>
      <c r="P87" s="6" t="n"/>
    </row>
    <row r="88" ht="18" customHeight="1">
      <c r="A88" s="28" t="n"/>
      <c r="B88" s="18" t="n"/>
      <c r="C88" s="18" t="n"/>
      <c r="D88" s="18" t="n"/>
      <c r="E88" s="18" t="n"/>
      <c r="F88" s="18" t="n"/>
      <c r="G88" s="18" t="n"/>
      <c r="H88" s="18" t="n"/>
      <c r="I88" s="18" t="n"/>
      <c r="J88" s="18" t="n"/>
      <c r="K88" s="18" t="n"/>
      <c r="L88" s="18" t="n"/>
      <c r="M88" s="18" t="n"/>
      <c r="N88" s="18" t="n"/>
      <c r="O88" s="18" t="n"/>
      <c r="P88" s="18" t="n"/>
    </row>
    <row r="89" ht="18" customHeight="1">
      <c r="A89" s="50" t="n"/>
      <c r="B89" s="6" t="n"/>
      <c r="C89" s="6" t="n"/>
      <c r="D89" s="6" t="n"/>
      <c r="E89" s="6" t="n"/>
      <c r="F89" s="6" t="n"/>
      <c r="G89" s="6" t="n"/>
      <c r="H89" s="6" t="n"/>
      <c r="I89" s="6" t="n"/>
      <c r="J89" s="6" t="n"/>
      <c r="K89" s="6" t="n"/>
      <c r="L89" s="6" t="n"/>
      <c r="M89" s="6" t="n"/>
      <c r="N89" s="6" t="n"/>
      <c r="O89" s="6" t="n"/>
      <c r="P89" s="6" t="n"/>
    </row>
    <row r="90" ht="18" customHeight="1">
      <c r="A90" s="28" t="n"/>
      <c r="B90" s="18" t="n"/>
      <c r="C90" s="18" t="n"/>
      <c r="D90" s="18" t="n"/>
      <c r="E90" s="18" t="n"/>
      <c r="F90" s="18" t="n"/>
      <c r="G90" s="18" t="n"/>
      <c r="H90" s="18" t="n"/>
      <c r="I90" s="18" t="n"/>
      <c r="J90" s="18" t="n"/>
      <c r="K90" s="18" t="n"/>
      <c r="L90" s="18" t="n"/>
      <c r="M90" s="18" t="n"/>
      <c r="N90" s="18" t="n"/>
      <c r="O90" s="18" t="n"/>
      <c r="P90" s="18" t="n"/>
    </row>
    <row r="91" ht="18" customHeight="1">
      <c r="A91" s="50" t="n"/>
      <c r="B91" s="6" t="n"/>
      <c r="C91" s="6" t="n"/>
      <c r="D91" s="6" t="n"/>
      <c r="E91" s="6" t="n"/>
      <c r="F91" s="6" t="n"/>
      <c r="G91" s="6" t="n"/>
      <c r="H91" s="6" t="n"/>
      <c r="I91" s="6" t="n"/>
      <c r="J91" s="6" t="n"/>
      <c r="K91" s="6" t="n"/>
      <c r="L91" s="6" t="n"/>
      <c r="M91" s="6" t="n"/>
      <c r="N91" s="6" t="n"/>
      <c r="O91" s="6" t="n"/>
      <c r="P91" s="6" t="n"/>
    </row>
    <row r="92" ht="18" customHeight="1">
      <c r="A92" s="28" t="n"/>
      <c r="B92" s="18" t="n"/>
      <c r="C92" s="18" t="n"/>
      <c r="D92" s="18" t="n"/>
      <c r="E92" s="18" t="n"/>
      <c r="F92" s="18" t="n"/>
      <c r="G92" s="18" t="n"/>
      <c r="H92" s="18" t="n"/>
      <c r="I92" s="18" t="n"/>
      <c r="J92" s="18" t="n"/>
      <c r="K92" s="18" t="n"/>
      <c r="L92" s="18" t="n"/>
      <c r="M92" s="18" t="n"/>
      <c r="N92" s="18" t="n"/>
      <c r="O92" s="18" t="n"/>
      <c r="P92" s="18" t="n"/>
    </row>
    <row r="93" ht="18" customHeight="1">
      <c r="A93" s="50" t="n"/>
      <c r="B93" s="6" t="n"/>
      <c r="C93" s="6" t="n"/>
      <c r="D93" s="6" t="n"/>
      <c r="E93" s="6" t="n"/>
      <c r="F93" s="6" t="n"/>
      <c r="G93" s="6" t="n"/>
      <c r="H93" s="6" t="n"/>
      <c r="I93" s="6" t="n"/>
      <c r="J93" s="6" t="n"/>
      <c r="K93" s="6" t="n"/>
      <c r="L93" s="6" t="n"/>
      <c r="M93" s="6" t="n"/>
      <c r="N93" s="6" t="n"/>
      <c r="O93" s="6" t="n"/>
      <c r="P93" s="6" t="n"/>
    </row>
    <row r="94" ht="18" customHeight="1">
      <c r="A94" s="28" t="n"/>
      <c r="B94" s="18" t="n"/>
      <c r="C94" s="18" t="n"/>
      <c r="D94" s="18" t="n"/>
      <c r="E94" s="18" t="n"/>
      <c r="F94" s="18" t="n"/>
      <c r="G94" s="18" t="n"/>
      <c r="H94" s="18" t="n"/>
      <c r="I94" s="18" t="n"/>
      <c r="J94" s="18" t="n"/>
      <c r="K94" s="18" t="n"/>
      <c r="L94" s="18" t="n"/>
      <c r="M94" s="18" t="n"/>
      <c r="N94" s="18" t="n"/>
      <c r="O94" s="18" t="n"/>
      <c r="P94" s="18" t="n"/>
    </row>
    <row r="95" ht="18" customHeight="1">
      <c r="A95" s="50" t="n"/>
      <c r="B95" s="6" t="n"/>
      <c r="C95" s="6" t="n"/>
      <c r="D95" s="6" t="n"/>
      <c r="E95" s="6" t="n"/>
      <c r="F95" s="6" t="n"/>
      <c r="G95" s="6" t="n"/>
      <c r="H95" s="6" t="n"/>
      <c r="I95" s="6" t="n"/>
      <c r="J95" s="6" t="n"/>
      <c r="K95" s="6" t="n"/>
      <c r="L95" s="6" t="n"/>
      <c r="M95" s="6" t="n"/>
      <c r="N95" s="6" t="n"/>
      <c r="O95" s="6" t="n"/>
      <c r="P95" s="6" t="n"/>
    </row>
    <row r="96" ht="18" customHeight="1">
      <c r="A96" s="28" t="n"/>
      <c r="B96" s="18" t="n"/>
      <c r="C96" s="18" t="n"/>
      <c r="D96" s="18" t="n"/>
      <c r="E96" s="18" t="n"/>
      <c r="F96" s="18" t="n"/>
      <c r="G96" s="18" t="n"/>
      <c r="H96" s="18" t="n"/>
      <c r="I96" s="18" t="n"/>
      <c r="J96" s="18" t="n"/>
      <c r="K96" s="18" t="n"/>
      <c r="L96" s="18" t="n"/>
      <c r="M96" s="18" t="n"/>
      <c r="N96" s="18" t="n"/>
      <c r="O96" s="18" t="n"/>
      <c r="P96" s="18" t="n"/>
    </row>
    <row r="97" ht="18" customHeight="1">
      <c r="A97" s="50" t="n"/>
      <c r="B97" s="6" t="n"/>
      <c r="C97" s="6" t="n"/>
      <c r="D97" s="6" t="n"/>
      <c r="E97" s="6" t="n"/>
      <c r="F97" s="6" t="n"/>
      <c r="G97" s="6" t="n"/>
      <c r="H97" s="6" t="n"/>
      <c r="I97" s="6" t="n"/>
      <c r="J97" s="6" t="n"/>
      <c r="K97" s="6" t="n"/>
      <c r="L97" s="6" t="n"/>
      <c r="M97" s="6" t="n"/>
      <c r="N97" s="6" t="n"/>
      <c r="O97" s="6" t="n"/>
      <c r="P97" s="6" t="n"/>
    </row>
    <row r="98" ht="18" customHeight="1">
      <c r="A98" s="28" t="n"/>
      <c r="B98" s="18" t="n"/>
      <c r="C98" s="18" t="n"/>
      <c r="D98" s="18" t="n"/>
      <c r="E98" s="18" t="n"/>
      <c r="F98" s="18" t="n"/>
      <c r="G98" s="18" t="n"/>
      <c r="H98" s="18" t="n"/>
      <c r="I98" s="18" t="n"/>
      <c r="J98" s="18" t="n"/>
      <c r="K98" s="18" t="n"/>
      <c r="L98" s="18" t="n"/>
      <c r="M98" s="18" t="n"/>
      <c r="N98" s="18" t="n"/>
      <c r="O98" s="18" t="n"/>
      <c r="P98" s="18" t="n"/>
    </row>
    <row r="99" ht="18" customHeight="1">
      <c r="A99" s="50" t="n"/>
      <c r="B99" s="6" t="n"/>
      <c r="C99" s="6" t="n"/>
      <c r="D99" s="6" t="n"/>
      <c r="E99" s="6" t="n"/>
      <c r="F99" s="6" t="n"/>
      <c r="G99" s="6" t="n"/>
      <c r="H99" s="6" t="n"/>
      <c r="I99" s="6" t="n"/>
      <c r="J99" s="6" t="n"/>
      <c r="K99" s="6" t="n"/>
      <c r="L99" s="6" t="n"/>
      <c r="M99" s="6" t="n"/>
      <c r="N99" s="6" t="n"/>
      <c r="O99" s="6" t="n"/>
      <c r="P99" s="6" t="n"/>
    </row>
    <row r="100" ht="18" customHeight="1">
      <c r="A100" s="28" t="n"/>
      <c r="B100" s="18" t="n"/>
      <c r="C100" s="18" t="n"/>
      <c r="D100" s="18" t="n"/>
      <c r="E100" s="18" t="n"/>
      <c r="F100" s="18" t="n"/>
      <c r="G100" s="18" t="n"/>
      <c r="H100" s="18" t="n"/>
      <c r="I100" s="18" t="n"/>
      <c r="J100" s="18" t="n"/>
      <c r="K100" s="18" t="n"/>
      <c r="L100" s="18" t="n"/>
      <c r="M100" s="18" t="n"/>
      <c r="N100" s="18" t="n"/>
      <c r="O100" s="18" t="n"/>
      <c r="P100" s="18" t="n"/>
    </row>
    <row r="101" ht="18" customHeight="1">
      <c r="A101" s="50" t="n"/>
      <c r="B101" s="6" t="n"/>
      <c r="C101" s="6" t="n"/>
      <c r="D101" s="6" t="n"/>
      <c r="E101" s="6" t="n"/>
      <c r="F101" s="6" t="n"/>
      <c r="G101" s="6" t="n"/>
      <c r="H101" s="6" t="n"/>
      <c r="I101" s="6" t="n"/>
      <c r="J101" s="6" t="n"/>
      <c r="K101" s="6" t="n"/>
      <c r="L101" s="6" t="n"/>
      <c r="M101" s="6" t="n"/>
      <c r="N101" s="6" t="n"/>
      <c r="O101" s="6" t="n"/>
      <c r="P101" s="6" t="n"/>
    </row>
    <row r="102" ht="18" customHeight="1">
      <c r="A102" s="28" t="n"/>
      <c r="B102" s="18" t="n"/>
      <c r="C102" s="18" t="n"/>
      <c r="D102" s="18" t="n"/>
      <c r="E102" s="18" t="n"/>
      <c r="F102" s="18" t="n"/>
      <c r="G102" s="18" t="n"/>
      <c r="H102" s="18" t="n"/>
      <c r="I102" s="18" t="n"/>
      <c r="J102" s="18" t="n"/>
      <c r="K102" s="18" t="n"/>
      <c r="L102" s="18" t="n"/>
      <c r="M102" s="18" t="n"/>
      <c r="N102" s="18" t="n"/>
      <c r="O102" s="18" t="n"/>
      <c r="P102" s="18" t="n"/>
    </row>
    <row r="103" ht="18" customHeight="1">
      <c r="A103" s="50" t="n"/>
      <c r="B103" s="6" t="n"/>
      <c r="C103" s="6" t="n"/>
      <c r="D103" s="6" t="n"/>
      <c r="E103" s="6" t="n"/>
      <c r="F103" s="6" t="n"/>
      <c r="G103" s="6" t="n"/>
      <c r="H103" s="6" t="n"/>
      <c r="I103" s="6" t="n"/>
      <c r="J103" s="6" t="n"/>
      <c r="K103" s="6" t="n"/>
      <c r="L103" s="6" t="n"/>
      <c r="M103" s="6" t="n"/>
      <c r="N103" s="6" t="n"/>
      <c r="O103" s="6" t="n"/>
      <c r="P103" s="6" t="n"/>
    </row>
    <row r="104" ht="18" customHeight="1">
      <c r="A104" s="28" t="n"/>
      <c r="B104" s="18" t="n"/>
      <c r="C104" s="18" t="n"/>
      <c r="D104" s="18" t="n"/>
      <c r="E104" s="18" t="n"/>
      <c r="F104" s="18" t="n"/>
      <c r="G104" s="18" t="n"/>
      <c r="H104" s="18" t="n"/>
      <c r="I104" s="18" t="n"/>
      <c r="J104" s="18" t="n"/>
      <c r="K104" s="18" t="n"/>
      <c r="L104" s="18" t="n"/>
      <c r="M104" s="18" t="n"/>
      <c r="N104" s="18" t="n"/>
      <c r="O104" s="18" t="n"/>
      <c r="P104" s="18" t="n"/>
    </row>
    <row r="105" ht="18" customHeight="1">
      <c r="A105" s="50" t="n"/>
      <c r="B105" s="6" t="n"/>
      <c r="C105" s="6" t="n"/>
      <c r="D105" s="6" t="n"/>
      <c r="E105" s="6" t="n"/>
      <c r="F105" s="6" t="n"/>
      <c r="G105" s="6" t="n"/>
      <c r="H105" s="6" t="n"/>
      <c r="I105" s="6" t="n"/>
      <c r="J105" s="6" t="n"/>
      <c r="K105" s="6" t="n"/>
      <c r="L105" s="6" t="n"/>
      <c r="M105" s="6" t="n"/>
      <c r="N105" s="6" t="n"/>
      <c r="O105" s="6" t="n"/>
      <c r="P105" s="6" t="n"/>
    </row>
    <row r="106" ht="18" customHeight="1">
      <c r="A106" s="28" t="n"/>
      <c r="B106" s="18" t="n"/>
      <c r="C106" s="18" t="n"/>
      <c r="D106" s="18" t="n"/>
      <c r="E106" s="18" t="n"/>
      <c r="F106" s="18" t="n"/>
      <c r="G106" s="18" t="n"/>
      <c r="H106" s="18" t="n"/>
      <c r="I106" s="18" t="n"/>
      <c r="J106" s="18" t="n"/>
      <c r="K106" s="18" t="n"/>
      <c r="L106" s="18" t="n"/>
      <c r="M106" s="18" t="n"/>
      <c r="N106" s="18" t="n"/>
      <c r="O106" s="18" t="n"/>
      <c r="P106" s="18" t="n"/>
    </row>
    <row r="107" ht="18" customHeight="1">
      <c r="A107" s="50" t="n"/>
      <c r="B107" s="6" t="n"/>
      <c r="C107" s="6" t="n"/>
      <c r="D107" s="6" t="n"/>
      <c r="E107" s="6" t="n"/>
      <c r="F107" s="6" t="n"/>
      <c r="G107" s="6" t="n"/>
      <c r="H107" s="6" t="n"/>
      <c r="I107" s="6" t="n"/>
      <c r="J107" s="6" t="n"/>
      <c r="K107" s="6" t="n"/>
      <c r="L107" s="6" t="n"/>
      <c r="M107" s="6" t="n"/>
      <c r="N107" s="6" t="n"/>
      <c r="O107" s="6" t="n"/>
      <c r="P107" s="6" t="n"/>
    </row>
    <row r="108" ht="18" customHeight="1">
      <c r="A108" s="28" t="n"/>
      <c r="B108" s="18" t="n"/>
      <c r="C108" s="18" t="n"/>
      <c r="D108" s="18" t="n"/>
      <c r="E108" s="18" t="n"/>
      <c r="F108" s="18" t="n"/>
      <c r="G108" s="18" t="n"/>
      <c r="H108" s="18" t="n"/>
      <c r="I108" s="18" t="n"/>
      <c r="J108" s="18" t="n"/>
      <c r="K108" s="18" t="n"/>
      <c r="L108" s="18" t="n"/>
      <c r="M108" s="18" t="n"/>
      <c r="N108" s="18" t="n"/>
      <c r="O108" s="18" t="n"/>
      <c r="P108" s="18" t="n"/>
    </row>
    <row r="109" ht="18" customHeight="1">
      <c r="A109" s="50" t="n"/>
      <c r="B109" s="6" t="n"/>
      <c r="C109" s="6" t="n"/>
      <c r="D109" s="6" t="n"/>
      <c r="E109" s="6" t="n"/>
      <c r="F109" s="6" t="n"/>
      <c r="G109" s="6" t="n"/>
      <c r="H109" s="6" t="n"/>
      <c r="I109" s="6" t="n"/>
      <c r="J109" s="6" t="n"/>
      <c r="K109" s="6" t="n"/>
      <c r="L109" s="6" t="n"/>
      <c r="M109" s="6" t="n"/>
      <c r="N109" s="6" t="n"/>
      <c r="O109" s="6" t="n"/>
      <c r="P109" s="6" t="n"/>
    </row>
    <row r="110" ht="18" customHeight="1">
      <c r="A110" s="28" t="n"/>
      <c r="B110" s="18" t="n"/>
      <c r="C110" s="18" t="n"/>
      <c r="D110" s="18" t="n"/>
      <c r="E110" s="18" t="n"/>
      <c r="F110" s="18" t="n"/>
      <c r="G110" s="18" t="n"/>
      <c r="H110" s="18" t="n"/>
      <c r="I110" s="18" t="n"/>
      <c r="J110" s="18" t="n"/>
      <c r="K110" s="18" t="n"/>
      <c r="L110" s="18" t="n"/>
      <c r="M110" s="18" t="n"/>
      <c r="N110" s="18" t="n"/>
      <c r="O110" s="18" t="n"/>
      <c r="P110" s="18" t="n"/>
    </row>
    <row r="111" ht="18" customHeight="1">
      <c r="A111" s="50" t="n"/>
      <c r="B111" s="6" t="n"/>
      <c r="C111" s="6" t="n"/>
      <c r="D111" s="6" t="n"/>
      <c r="E111" s="6" t="n"/>
      <c r="F111" s="6" t="n"/>
      <c r="G111" s="6" t="n"/>
      <c r="H111" s="6" t="n"/>
      <c r="I111" s="6" t="n"/>
      <c r="J111" s="6" t="n"/>
      <c r="K111" s="6" t="n"/>
      <c r="L111" s="6" t="n"/>
      <c r="M111" s="6" t="n"/>
      <c r="N111" s="6" t="n"/>
      <c r="O111" s="6" t="n"/>
      <c r="P111" s="6" t="n"/>
    </row>
    <row r="112" ht="18" customHeight="1">
      <c r="A112" s="28" t="n"/>
      <c r="B112" s="18" t="n"/>
      <c r="C112" s="18" t="n"/>
      <c r="D112" s="18" t="n"/>
      <c r="E112" s="18" t="n"/>
      <c r="F112" s="18" t="n"/>
      <c r="G112" s="18" t="n"/>
      <c r="H112" s="18" t="n"/>
      <c r="I112" s="18" t="n"/>
      <c r="J112" s="18" t="n"/>
      <c r="K112" s="18" t="n"/>
      <c r="L112" s="18" t="n"/>
      <c r="M112" s="18" t="n"/>
      <c r="N112" s="18" t="n"/>
      <c r="O112" s="18" t="n"/>
      <c r="P112" s="18" t="n"/>
    </row>
    <row r="113" ht="18" customHeight="1">
      <c r="A113" s="50" t="n"/>
      <c r="B113" s="6" t="n"/>
      <c r="C113" s="6" t="n"/>
      <c r="D113" s="6" t="n"/>
      <c r="E113" s="6" t="n"/>
      <c r="F113" s="6" t="n"/>
      <c r="G113" s="6" t="n"/>
      <c r="H113" s="6" t="n"/>
      <c r="I113" s="6" t="n"/>
      <c r="J113" s="6" t="n"/>
      <c r="K113" s="6" t="n"/>
      <c r="L113" s="6" t="n"/>
      <c r="M113" s="6" t="n"/>
      <c r="N113" s="6" t="n"/>
      <c r="O113" s="6" t="n"/>
      <c r="P113" s="6" t="n"/>
    </row>
    <row r="114" ht="18" customHeight="1">
      <c r="A114" s="28" t="n"/>
      <c r="B114" s="18" t="n"/>
      <c r="C114" s="18" t="n"/>
      <c r="D114" s="18" t="n"/>
      <c r="E114" s="18" t="n"/>
      <c r="F114" s="18" t="n"/>
      <c r="G114" s="18" t="n"/>
      <c r="H114" s="18" t="n"/>
      <c r="I114" s="18" t="n"/>
      <c r="J114" s="18" t="n"/>
      <c r="K114" s="18" t="n"/>
      <c r="L114" s="18" t="n"/>
      <c r="M114" s="18" t="n"/>
      <c r="N114" s="18" t="n"/>
      <c r="O114" s="18" t="n"/>
      <c r="P114" s="18" t="n"/>
    </row>
    <row r="115" ht="18" customHeight="1">
      <c r="A115" s="50" t="n"/>
      <c r="B115" s="6" t="n"/>
      <c r="C115" s="6" t="n"/>
      <c r="D115" s="6" t="n"/>
      <c r="E115" s="6" t="n"/>
      <c r="F115" s="6" t="n"/>
      <c r="G115" s="6" t="n"/>
      <c r="H115" s="6" t="n"/>
      <c r="I115" s="6" t="n"/>
      <c r="J115" s="6" t="n"/>
      <c r="K115" s="6" t="n"/>
      <c r="L115" s="6" t="n"/>
      <c r="M115" s="6" t="n"/>
      <c r="N115" s="6" t="n"/>
      <c r="O115" s="6" t="n"/>
      <c r="P115" s="6" t="n"/>
    </row>
    <row r="116" ht="18" customHeight="1">
      <c r="A116" s="28" t="n"/>
      <c r="B116" s="18" t="n"/>
      <c r="C116" s="18" t="n"/>
      <c r="D116" s="18" t="n"/>
      <c r="E116" s="18" t="n"/>
      <c r="F116" s="18" t="n"/>
      <c r="G116" s="18" t="n"/>
      <c r="H116" s="18" t="n"/>
      <c r="I116" s="18" t="n"/>
      <c r="J116" s="18" t="n"/>
      <c r="K116" s="18" t="n"/>
      <c r="L116" s="18" t="n"/>
      <c r="M116" s="18" t="n"/>
      <c r="N116" s="18" t="n"/>
      <c r="O116" s="18" t="n"/>
      <c r="P116" s="18" t="n"/>
    </row>
    <row r="117" ht="18" customHeight="1">
      <c r="A117" s="50" t="n"/>
      <c r="B117" s="6" t="n"/>
      <c r="C117" s="6" t="n"/>
      <c r="D117" s="6" t="n"/>
      <c r="E117" s="6" t="n"/>
      <c r="F117" s="6" t="n"/>
      <c r="G117" s="6" t="n"/>
      <c r="H117" s="6" t="n"/>
      <c r="I117" s="6" t="n"/>
      <c r="J117" s="6" t="n"/>
      <c r="K117" s="6" t="n"/>
      <c r="L117" s="6" t="n"/>
      <c r="M117" s="6" t="n"/>
      <c r="N117" s="6" t="n"/>
      <c r="O117" s="6" t="n"/>
      <c r="P117" s="6" t="n"/>
    </row>
    <row r="118" ht="18" customHeight="1">
      <c r="A118" s="28" t="n"/>
      <c r="B118" s="18" t="n"/>
      <c r="C118" s="18" t="n"/>
      <c r="D118" s="18" t="n"/>
      <c r="E118" s="18" t="n"/>
      <c r="F118" s="18" t="n"/>
      <c r="G118" s="18" t="n"/>
      <c r="H118" s="18" t="n"/>
      <c r="I118" s="18" t="n"/>
      <c r="J118" s="18" t="n"/>
      <c r="K118" s="18" t="n"/>
      <c r="L118" s="18" t="n"/>
      <c r="M118" s="18" t="n"/>
      <c r="N118" s="18" t="n"/>
      <c r="O118" s="18" t="n"/>
      <c r="P118" s="18" t="n"/>
    </row>
    <row r="119" ht="18" customHeight="1">
      <c r="A119" s="50" t="n"/>
      <c r="B119" s="6" t="n"/>
      <c r="C119" s="6" t="n"/>
      <c r="D119" s="6" t="n"/>
      <c r="E119" s="6" t="n"/>
      <c r="F119" s="6" t="n"/>
      <c r="G119" s="6" t="n"/>
      <c r="H119" s="6" t="n"/>
      <c r="I119" s="6" t="n"/>
      <c r="J119" s="6" t="n"/>
      <c r="K119" s="6" t="n"/>
      <c r="L119" s="6" t="n"/>
      <c r="M119" s="6" t="n"/>
      <c r="N119" s="6" t="n"/>
      <c r="O119" s="6" t="n"/>
      <c r="P119" s="6" t="n"/>
    </row>
    <row r="120" ht="18" customHeight="1">
      <c r="A120" s="28" t="n"/>
      <c r="B120" s="18" t="n"/>
      <c r="C120" s="18" t="n"/>
      <c r="D120" s="18" t="n"/>
      <c r="E120" s="18" t="n"/>
      <c r="F120" s="18" t="n"/>
      <c r="G120" s="18" t="n"/>
      <c r="H120" s="18" t="n"/>
      <c r="I120" s="18" t="n"/>
      <c r="J120" s="18" t="n"/>
      <c r="K120" s="18" t="n"/>
      <c r="L120" s="18" t="n"/>
      <c r="M120" s="18" t="n"/>
      <c r="N120" s="18" t="n"/>
      <c r="O120" s="18" t="n"/>
      <c r="P120" s="18" t="n"/>
    </row>
    <row r="121" ht="18" customHeight="1">
      <c r="A121" s="50" t="n"/>
      <c r="B121" s="6" t="n"/>
      <c r="C121" s="6" t="n"/>
      <c r="D121" s="6" t="n"/>
      <c r="E121" s="6" t="n"/>
      <c r="F121" s="6" t="n"/>
      <c r="G121" s="6" t="n"/>
      <c r="H121" s="6" t="n"/>
      <c r="I121" s="6" t="n"/>
      <c r="J121" s="6" t="n"/>
      <c r="K121" s="6" t="n"/>
      <c r="L121" s="6" t="n"/>
      <c r="M121" s="6" t="n"/>
      <c r="N121" s="6" t="n"/>
      <c r="O121" s="6" t="n"/>
      <c r="P121" s="6" t="n"/>
    </row>
    <row r="122" ht="18" customHeight="1">
      <c r="A122" s="28" t="n"/>
      <c r="B122" s="18" t="n"/>
      <c r="C122" s="18" t="n"/>
      <c r="D122" s="18" t="n"/>
      <c r="E122" s="18" t="n"/>
      <c r="F122" s="18" t="n"/>
      <c r="G122" s="18" t="n"/>
      <c r="H122" s="18" t="n"/>
      <c r="I122" s="18" t="n"/>
      <c r="J122" s="18" t="n"/>
      <c r="K122" s="18" t="n"/>
      <c r="L122" s="18" t="n"/>
      <c r="M122" s="18" t="n"/>
      <c r="N122" s="18" t="n"/>
      <c r="O122" s="18" t="n"/>
      <c r="P122" s="18" t="n"/>
    </row>
    <row r="123" ht="18" customHeight="1">
      <c r="A123" s="50" t="n"/>
      <c r="B123" s="6" t="n"/>
      <c r="C123" s="6" t="n"/>
      <c r="D123" s="6" t="n"/>
      <c r="E123" s="6" t="n"/>
      <c r="F123" s="6" t="n"/>
      <c r="G123" s="6" t="n"/>
      <c r="H123" s="6" t="n"/>
      <c r="I123" s="6" t="n"/>
      <c r="J123" s="6" t="n"/>
      <c r="K123" s="6" t="n"/>
      <c r="L123" s="6" t="n"/>
      <c r="M123" s="6" t="n"/>
      <c r="N123" s="6" t="n"/>
      <c r="O123" s="6" t="n"/>
      <c r="P123" s="6" t="n"/>
    </row>
    <row r="124" ht="18" customHeight="1">
      <c r="A124" s="28" t="n"/>
      <c r="B124" s="18" t="n"/>
      <c r="C124" s="18" t="n"/>
      <c r="D124" s="18" t="n"/>
      <c r="E124" s="18" t="n"/>
      <c r="F124" s="18" t="n"/>
      <c r="G124" s="18" t="n"/>
      <c r="H124" s="18" t="n"/>
      <c r="I124" s="18" t="n"/>
      <c r="J124" s="18" t="n"/>
      <c r="K124" s="18" t="n"/>
      <c r="L124" s="18" t="n"/>
      <c r="M124" s="18" t="n"/>
      <c r="N124" s="18" t="n"/>
      <c r="O124" s="18" t="n"/>
      <c r="P124" s="18" t="n"/>
    </row>
  </sheetData>
  <autoFilter ref="A4:P124"/>
  <mergeCells count="2">
    <mergeCell ref="A1:P1"/>
    <mergeCell ref="A2:P2"/>
  </mergeCells>
  <conditionalFormatting sqref="M5:M124">
    <cfRule type="expression" priority="1" dxfId="6">
      <formula>M5="Evet"</formula>
    </cfRule>
  </conditionalFormatting>
  <conditionalFormatting sqref="E5:E124">
    <cfRule type="cellIs" priority="2" operator="greaterThan" dxfId="9">
      <formula>90</formula>
    </cfRule>
  </conditionalFormatting>
  <conditionalFormatting sqref="H5:H124">
    <cfRule type="expression" priority="3" dxfId="9">
      <formula>AND(H5&lt;&gt;"",OR(H5&lt;6,H5&gt;9))</formula>
    </cfRule>
  </conditionalFormatting>
  <dataValidations count="1">
    <dataValidation sqref="M5:M124" showDropDown="0" showInputMessage="0" showErrorMessage="0" allowBlank="1" type="list">
      <formula1>=_Listeler!$D$1:$D$2</formula1>
    </dataValidation>
  </dataValidations>
  <printOptions horizontalCentered="1"/>
  <pageMargins left="0.4" right="0.4" top="0.6" bottom="0.5" header="0.25" footer="0.25"/>
  <pageSetup orientation="landscape" paperSize="9" fitToHeight="0" fitToWidth="1"/>
  <headerFooter>
    <oddHeader>&amp;LGünlük işletme defteri&amp;RÇevre takip dosyası  |  30.09.2026</oddHeader>
    <oddFooter>&amp;LÇıkış debisi 90 m³’ü aşarsa kırmızı yanar. Çıkış pH 6-9 dışındaysa kırmızı yanar. Bu bir saha ölçer çıktısı değildir.&amp;RSayfa &amp;P / &amp;N</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tabColor rgb="001A5276"/>
    <outlinePr summaryBelow="1" summaryRight="1"/>
    <pageSetUpPr fitToPage="1"/>
  </sheetPr>
  <dimension ref="A1:L19"/>
  <sheetViews>
    <sheetView showGridLines="0" zoomScale="11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6" customWidth="1" min="4" max="4"/>
    <col width="16" customWidth="1" min="5" max="5"/>
    <col width="18" customWidth="1" min="6" max="6"/>
    <col width="16" customWidth="1" min="7" max="7"/>
    <col width="14" customWidth="1" min="8" max="8"/>
    <col width="18" customWidth="1" min="9" max="9"/>
    <col width="18" customWidth="1" min="10" max="10"/>
    <col width="18" customWidth="1" min="11" max="11"/>
    <col width="40" customWidth="1" min="12" max="12"/>
  </cols>
  <sheetData>
    <row r="1">
      <c r="A1" s="1" t="inlineStr">
        <is>
          <t>AYLIK SU DENGESİ</t>
        </is>
      </c>
    </row>
    <row r="2" ht="28" customHeight="1">
      <c r="A2" s="15" t="inlineStr">
        <is>
          <t>Şebeke ve kuyu sayaç farkları ile AAT giriş ve deşarj toplamını aynı aya yazın. Fark, ürün nemi, buharlaşma, sulama veya ölçülmeyen kaçak olabilir. Farkı gerekçesiz bırakmayın.</t>
        </is>
      </c>
    </row>
    <row r="4">
      <c r="A4" s="16" t="inlineStr">
        <is>
          <t>Ay</t>
        </is>
      </c>
      <c r="B4" s="16" t="inlineStr">
        <is>
          <t>Şebeke m³</t>
        </is>
      </c>
      <c r="C4" s="16" t="inlineStr">
        <is>
          <t>Kuyu m³</t>
        </is>
      </c>
      <c r="D4" s="16" t="inlineStr">
        <is>
          <t>Toplam temin</t>
        </is>
      </c>
      <c r="E4" s="16" t="inlineStr">
        <is>
          <t>Evsel tahmin m³</t>
        </is>
      </c>
      <c r="F4" s="16" t="inlineStr">
        <is>
          <t>Proses / yıkama m³</t>
        </is>
      </c>
      <c r="G4" s="16" t="inlineStr">
        <is>
          <t>AAT giriş m³</t>
        </is>
      </c>
      <c r="H4" s="16" t="inlineStr">
        <is>
          <t>Deşarj m³</t>
        </is>
      </c>
      <c r="I4" s="16" t="inlineStr">
        <is>
          <t>Temin - deşarj farkı</t>
        </is>
      </c>
      <c r="J4" s="16" t="inlineStr">
        <is>
          <t>90 m³ aşan gün sayısı</t>
        </is>
      </c>
      <c r="K4" s="16" t="inlineStr">
        <is>
          <t>Kuyu belgesi var mı</t>
        </is>
      </c>
      <c r="L4" s="16" t="inlineStr">
        <is>
          <t>Not</t>
        </is>
      </c>
    </row>
    <row r="5" ht="22" customHeight="1">
      <c r="A5" s="6" t="inlineStr">
        <is>
          <t>Ekim 2026</t>
        </is>
      </c>
      <c r="B5" s="6" t="n"/>
      <c r="C5" s="6" t="n"/>
      <c r="D5" s="25">
        <f>IF(COUNT(B5,C5)=0,"",N(B5)+N(C5))</f>
        <v/>
      </c>
      <c r="E5" s="6" t="n"/>
      <c r="F5" s="6" t="n"/>
      <c r="G5" s="6" t="n"/>
      <c r="H5" s="6" t="n"/>
      <c r="I5" s="25">
        <f>IF(OR(D5="",H5=""),"",D5-H5)</f>
        <v/>
      </c>
      <c r="J5" s="6" t="n"/>
      <c r="K5" s="6" t="n"/>
      <c r="L5" s="6" t="n"/>
    </row>
    <row r="6" ht="22" customHeight="1">
      <c r="A6" s="18" t="inlineStr">
        <is>
          <t>Kasım 2026</t>
        </is>
      </c>
      <c r="B6" s="18" t="n"/>
      <c r="C6" s="18" t="n"/>
      <c r="D6" s="25">
        <f>IF(COUNT(B6,C6)=0,"",N(B6)+N(C6))</f>
        <v/>
      </c>
      <c r="E6" s="18" t="n"/>
      <c r="F6" s="18" t="n"/>
      <c r="G6" s="18" t="n"/>
      <c r="H6" s="18" t="n"/>
      <c r="I6" s="25">
        <f>IF(OR(D6="",H6=""),"",D6-H6)</f>
        <v/>
      </c>
      <c r="J6" s="18" t="n"/>
      <c r="K6" s="18" t="n"/>
      <c r="L6" s="18" t="n"/>
    </row>
    <row r="7" ht="22" customHeight="1">
      <c r="A7" s="6" t="inlineStr">
        <is>
          <t>Aralık 2026</t>
        </is>
      </c>
      <c r="B7" s="6" t="n"/>
      <c r="C7" s="6" t="n"/>
      <c r="D7" s="25">
        <f>IF(COUNT(B7,C7)=0,"",N(B7)+N(C7))</f>
        <v/>
      </c>
      <c r="E7" s="6" t="n"/>
      <c r="F7" s="6" t="n"/>
      <c r="G7" s="6" t="n"/>
      <c r="H7" s="6" t="n"/>
      <c r="I7" s="25">
        <f>IF(OR(D7="",H7=""),"",D7-H7)</f>
        <v/>
      </c>
      <c r="J7" s="6" t="n"/>
      <c r="K7" s="6" t="n"/>
      <c r="L7" s="6" t="n"/>
    </row>
    <row r="8" ht="22" customHeight="1">
      <c r="A8" s="18" t="inlineStr">
        <is>
          <t>Ocak 2027</t>
        </is>
      </c>
      <c r="B8" s="18" t="n"/>
      <c r="C8" s="18" t="n"/>
      <c r="D8" s="25">
        <f>IF(COUNT(B8,C8)=0,"",N(B8)+N(C8))</f>
        <v/>
      </c>
      <c r="E8" s="18" t="n"/>
      <c r="F8" s="18" t="n"/>
      <c r="G8" s="18" t="n"/>
      <c r="H8" s="18" t="n"/>
      <c r="I8" s="25">
        <f>IF(OR(D8="",H8=""),"",D8-H8)</f>
        <v/>
      </c>
      <c r="J8" s="18" t="n"/>
      <c r="K8" s="18" t="n"/>
      <c r="L8" s="18" t="n"/>
    </row>
    <row r="9" ht="22" customHeight="1">
      <c r="A9" s="6" t="inlineStr">
        <is>
          <t>Şubat 2027</t>
        </is>
      </c>
      <c r="B9" s="6" t="n"/>
      <c r="C9" s="6" t="n"/>
      <c r="D9" s="25">
        <f>IF(COUNT(B9,C9)=0,"",N(B9)+N(C9))</f>
        <v/>
      </c>
      <c r="E9" s="6" t="n"/>
      <c r="F9" s="6" t="n"/>
      <c r="G9" s="6" t="n"/>
      <c r="H9" s="6" t="n"/>
      <c r="I9" s="25">
        <f>IF(OR(D9="",H9=""),"",D9-H9)</f>
        <v/>
      </c>
      <c r="J9" s="6" t="n"/>
      <c r="K9" s="6" t="n"/>
      <c r="L9" s="6" t="n"/>
    </row>
    <row r="10" ht="22" customHeight="1">
      <c r="A10" s="18" t="inlineStr">
        <is>
          <t>Mart 2027</t>
        </is>
      </c>
      <c r="B10" s="18" t="n"/>
      <c r="C10" s="18" t="n"/>
      <c r="D10" s="25">
        <f>IF(COUNT(B10,C10)=0,"",N(B10)+N(C10))</f>
        <v/>
      </c>
      <c r="E10" s="18" t="n"/>
      <c r="F10" s="18" t="n"/>
      <c r="G10" s="18" t="n"/>
      <c r="H10" s="18" t="n"/>
      <c r="I10" s="25">
        <f>IF(OR(D10="",H10=""),"",D10-H10)</f>
        <v/>
      </c>
      <c r="J10" s="18" t="n"/>
      <c r="K10" s="18" t="n"/>
      <c r="L10" s="18" t="n"/>
    </row>
    <row r="11" ht="22" customHeight="1">
      <c r="A11" s="6" t="inlineStr">
        <is>
          <t>Nisan 2027</t>
        </is>
      </c>
      <c r="B11" s="6" t="n"/>
      <c r="C11" s="6" t="n"/>
      <c r="D11" s="25">
        <f>IF(COUNT(B11,C11)=0,"",N(B11)+N(C11))</f>
        <v/>
      </c>
      <c r="E11" s="6" t="n"/>
      <c r="F11" s="6" t="n"/>
      <c r="G11" s="6" t="n"/>
      <c r="H11" s="6" t="n"/>
      <c r="I11" s="25">
        <f>IF(OR(D11="",H11=""),"",D11-H11)</f>
        <v/>
      </c>
      <c r="J11" s="6" t="n"/>
      <c r="K11" s="6" t="n"/>
      <c r="L11" s="6" t="n"/>
    </row>
    <row r="12" ht="22" customHeight="1">
      <c r="A12" s="18" t="inlineStr">
        <is>
          <t>Mayıs 2027</t>
        </is>
      </c>
      <c r="B12" s="18" t="n"/>
      <c r="C12" s="18" t="n"/>
      <c r="D12" s="25">
        <f>IF(COUNT(B12,C12)=0,"",N(B12)+N(C12))</f>
        <v/>
      </c>
      <c r="E12" s="18" t="n"/>
      <c r="F12" s="18" t="n"/>
      <c r="G12" s="18" t="n"/>
      <c r="H12" s="18" t="n"/>
      <c r="I12" s="25">
        <f>IF(OR(D12="",H12=""),"",D12-H12)</f>
        <v/>
      </c>
      <c r="J12" s="18" t="n"/>
      <c r="K12" s="18" t="n"/>
      <c r="L12" s="18" t="n"/>
    </row>
    <row r="13" ht="22" customHeight="1">
      <c r="A13" s="6" t="inlineStr">
        <is>
          <t>Haziran 2027</t>
        </is>
      </c>
      <c r="B13" s="6" t="n"/>
      <c r="C13" s="6" t="n"/>
      <c r="D13" s="25">
        <f>IF(COUNT(B13,C13)=0,"",N(B13)+N(C13))</f>
        <v/>
      </c>
      <c r="E13" s="6" t="n"/>
      <c r="F13" s="6" t="n"/>
      <c r="G13" s="6" t="n"/>
      <c r="H13" s="6" t="n"/>
      <c r="I13" s="25">
        <f>IF(OR(D13="",H13=""),"",D13-H13)</f>
        <v/>
      </c>
      <c r="J13" s="6" t="n"/>
      <c r="K13" s="6" t="n"/>
      <c r="L13" s="6" t="n"/>
    </row>
    <row r="14" ht="22" customHeight="1">
      <c r="A14" s="18" t="inlineStr">
        <is>
          <t>Temmuz 2027</t>
        </is>
      </c>
      <c r="B14" s="18" t="n"/>
      <c r="C14" s="18" t="n"/>
      <c r="D14" s="25">
        <f>IF(COUNT(B14,C14)=0,"",N(B14)+N(C14))</f>
        <v/>
      </c>
      <c r="E14" s="18" t="n"/>
      <c r="F14" s="18" t="n"/>
      <c r="G14" s="18" t="n"/>
      <c r="H14" s="18" t="n"/>
      <c r="I14" s="25">
        <f>IF(OR(D14="",H14=""),"",D14-H14)</f>
        <v/>
      </c>
      <c r="J14" s="18" t="n"/>
      <c r="K14" s="18" t="n"/>
      <c r="L14" s="18" t="n"/>
    </row>
    <row r="15" ht="22" customHeight="1">
      <c r="A15" s="6" t="inlineStr">
        <is>
          <t>Ağustos 2027</t>
        </is>
      </c>
      <c r="B15" s="6" t="n"/>
      <c r="C15" s="6" t="n"/>
      <c r="D15" s="25">
        <f>IF(COUNT(B15,C15)=0,"",N(B15)+N(C15))</f>
        <v/>
      </c>
      <c r="E15" s="6" t="n"/>
      <c r="F15" s="6" t="n"/>
      <c r="G15" s="6" t="n"/>
      <c r="H15" s="6" t="n"/>
      <c r="I15" s="25">
        <f>IF(OR(D15="",H15=""),"",D15-H15)</f>
        <v/>
      </c>
      <c r="J15" s="6" t="n"/>
      <c r="K15" s="6" t="n"/>
      <c r="L15" s="6" t="n"/>
    </row>
    <row r="16" ht="22" customHeight="1">
      <c r="A16" s="18" t="inlineStr">
        <is>
          <t>Eylül 2027</t>
        </is>
      </c>
      <c r="B16" s="18" t="n"/>
      <c r="C16" s="18" t="n"/>
      <c r="D16" s="25">
        <f>IF(COUNT(B16,C16)=0,"",N(B16)+N(C16))</f>
        <v/>
      </c>
      <c r="E16" s="18" t="n"/>
      <c r="F16" s="18" t="n"/>
      <c r="G16" s="18" t="n"/>
      <c r="H16" s="18" t="n"/>
      <c r="I16" s="25">
        <f>IF(OR(D16="",H16=""),"",D16-H16)</f>
        <v/>
      </c>
      <c r="J16" s="18" t="n"/>
      <c r="K16" s="18" t="n"/>
      <c r="L16" s="18" t="n"/>
    </row>
    <row r="17">
      <c r="A17" s="51" t="inlineStr">
        <is>
          <t>TOPLAM</t>
        </is>
      </c>
      <c r="B17" s="51">
        <f>SUM(B5:B16)</f>
        <v/>
      </c>
      <c r="C17" s="51">
        <f>SUM(C5:C16)</f>
        <v/>
      </c>
      <c r="D17" s="52" t="n"/>
      <c r="E17" s="51">
        <f>SUM(E5:E16)</f>
        <v/>
      </c>
      <c r="F17" s="51">
        <f>SUM(F5:F16)</f>
        <v/>
      </c>
      <c r="G17" s="51">
        <f>SUM(G5:G16)</f>
        <v/>
      </c>
      <c r="H17" s="51">
        <f>SUM(H5:H16)</f>
        <v/>
      </c>
      <c r="I17" s="52" t="n"/>
      <c r="J17" s="51">
        <f>SUM(J5:J16)</f>
        <v/>
      </c>
      <c r="K17" s="52" t="n"/>
      <c r="L17" s="52" t="n"/>
    </row>
    <row r="19">
      <c r="A19" s="2" t="inlineStr">
        <is>
          <t>Evsel tahmin, personel sayısı ve vardiya tüketiminden hesaplanır. Proses sütunu yıkama ve mumlama reçetesinden gelir. İkisi ölçülmüyorsa boş bırakın, uydurmayın.</t>
        </is>
      </c>
    </row>
  </sheetData>
  <mergeCells count="3">
    <mergeCell ref="A19:L19"/>
    <mergeCell ref="A2:L2"/>
    <mergeCell ref="A1:L1"/>
  </mergeCells>
  <printOptions horizontalCentered="1"/>
  <pageMargins left="0.4" right="0.4" top="0.6" bottom="0.5" header="0.25" footer="0.25"/>
  <pageSetup orientation="landscape" paperSize="9" fitToHeight="0" fitToWidth="1"/>
  <headerFooter>
    <oddHeader>&amp;LSu dengesi&amp;RÇevre takip dosyası  |  30.09.2026</oddHeader>
    <oddFooter>&amp;LSaha ölçümü ve analiz raporu içermez. İzin eki gelince ek esastır.&amp;RSayfa &amp;P / &amp;N</oddFooter>
    <evenHeader/>
    <evenFooter/>
    <firstHeader/>
    <firstFooter/>
  </headerFooter>
</worksheet>
</file>

<file path=xl/worksheets/sheet9.xml><?xml version="1.0" encoding="utf-8"?>
<worksheet xmlns="http://schemas.openxmlformats.org/spreadsheetml/2006/main">
  <sheetPr>
    <tabColor rgb="006C3483"/>
    <outlinePr summaryBelow="1" summaryRight="1"/>
    <pageSetUpPr fitToPage="1"/>
  </sheetPr>
  <dimension ref="A1:L62"/>
  <sheetViews>
    <sheetView showGridLines="0" zoomScale="110" workbookViewId="0">
      <pane ySplit="4" topLeftCell="A5" activePane="bottomLeft" state="frozen"/>
      <selection pane="bottomLeft" activeCell="A1" sqref="A1"/>
    </sheetView>
  </sheetViews>
  <sheetFormatPr baseColWidth="8" defaultRowHeight="15"/>
  <cols>
    <col width="14" customWidth="1" min="1" max="1"/>
    <col width="78" customWidth="1" min="2" max="2"/>
    <col width="14" customWidth="1" min="3" max="3"/>
    <col width="22" customWidth="1" min="4" max="4"/>
    <col width="28" customWidth="1" min="5" max="5"/>
    <col width="40" customWidth="1" min="6" max="6"/>
    <col width="16" customWidth="1" min="7" max="7"/>
    <col width="14" customWidth="1" min="8" max="8"/>
    <col width="28" customWidth="1" min="9" max="9"/>
    <col width="16" customWidth="1" min="10" max="10"/>
    <col width="18" customWidth="1" min="11" max="11"/>
    <col width="28" customWidth="1" min="12" max="12"/>
  </cols>
  <sheetData>
    <row r="1">
      <c r="A1" s="1" t="inlineStr">
        <is>
          <t>ATIK KODLARI VE SEVKİYAT</t>
        </is>
      </c>
    </row>
    <row r="2">
      <c r="A2" s="2" t="inlineStr">
        <is>
          <t>Üst tablo dosyada yazılı kodlardır. Alt tabloya her sevkiyatı işleyin. 2026 beyanı bu kayıttan çıkacak.</t>
        </is>
      </c>
    </row>
    <row r="4">
      <c r="A4" s="53" t="inlineStr">
        <is>
          <t>Kod</t>
        </is>
      </c>
      <c r="B4" s="53" t="inlineStr">
        <is>
          <t>Tanım</t>
        </is>
      </c>
      <c r="C4" s="53" t="inlineStr">
        <is>
          <t>Tehlikeli</t>
        </is>
      </c>
      <c r="D4" s="53" t="inlineStr">
        <is>
          <t>Sözleşme</t>
        </is>
      </c>
      <c r="E4" s="53" t="inlineStr">
        <is>
          <t>Analiz</t>
        </is>
      </c>
      <c r="F4" s="53" t="inlineStr">
        <is>
          <t>Geçici depolama notu</t>
        </is>
      </c>
    </row>
    <row r="5" ht="28" customHeight="1">
      <c r="A5" s="17" t="inlineStr">
        <is>
          <t>15 01 01</t>
        </is>
      </c>
      <c r="B5" s="17" t="inlineStr">
        <is>
          <t>Kâğıt ve karton ambalaj</t>
        </is>
      </c>
      <c r="C5" s="17" t="inlineStr">
        <is>
          <t>Hayır</t>
        </is>
      </c>
      <c r="D5" s="17" t="inlineStr">
        <is>
          <t>Yok / yapılacak</t>
        </is>
      </c>
      <c r="E5" s="17" t="inlineStr">
        <is>
          <t>Gerekmez</t>
        </is>
      </c>
      <c r="F5" s="17" t="inlineStr">
        <is>
          <t>Sıfır atık kumbarası ile karışmasın</t>
        </is>
      </c>
    </row>
    <row r="6" ht="28" customHeight="1">
      <c r="A6" s="17" t="inlineStr">
        <is>
          <t>15 01 02</t>
        </is>
      </c>
      <c r="B6" s="17" t="inlineStr">
        <is>
          <t>Plastik ambalaj</t>
        </is>
      </c>
      <c r="C6" s="17" t="inlineStr">
        <is>
          <t>Hayır</t>
        </is>
      </c>
      <c r="D6" s="17" t="inlineStr">
        <is>
          <t>Yok / yapılacak</t>
        </is>
      </c>
      <c r="E6" s="17" t="inlineStr">
        <is>
          <t>Gerekmez</t>
        </is>
      </c>
      <c r="F6" s="17" t="inlineStr"/>
    </row>
    <row r="7" ht="28" customHeight="1">
      <c r="A7" s="17" t="inlineStr">
        <is>
          <t>15 01 06</t>
        </is>
      </c>
      <c r="B7" s="17" t="inlineStr">
        <is>
          <t>Karışık ambalaj</t>
        </is>
      </c>
      <c r="C7" s="17" t="inlineStr">
        <is>
          <t>Hayır</t>
        </is>
      </c>
      <c r="D7" s="17" t="inlineStr">
        <is>
          <t>Yok / yapılacak</t>
        </is>
      </c>
      <c r="E7" s="17" t="inlineStr">
        <is>
          <t>Gerekmez</t>
        </is>
      </c>
      <c r="F7" s="17" t="inlineStr">
        <is>
          <t>Mümkünse kaynağında ayrılın</t>
        </is>
      </c>
    </row>
    <row r="8" ht="28" customHeight="1">
      <c r="A8" s="14" t="inlineStr">
        <is>
          <t>15 01 10*</t>
        </is>
      </c>
      <c r="B8" s="14" t="inlineStr">
        <is>
          <t>Tehlikeli madde kalıntılı ambalaj</t>
        </is>
      </c>
      <c r="C8" s="14" t="inlineStr">
        <is>
          <t>Evet</t>
        </is>
      </c>
      <c r="D8" s="14" t="inlineStr">
        <is>
          <t>Yok</t>
        </is>
      </c>
      <c r="E8" s="14" t="inlineStr">
        <is>
          <t>Gerekirse</t>
        </is>
      </c>
      <c r="F8" s="14" t="inlineStr">
        <is>
          <t>Ayrı, kapalı, etiketi kodu taşısın</t>
        </is>
      </c>
    </row>
    <row r="9" ht="28" customHeight="1">
      <c r="A9" s="14" t="inlineStr">
        <is>
          <t>15 02 02*</t>
        </is>
      </c>
      <c r="B9" s="14" t="inlineStr">
        <is>
          <t>Tehlikeli madde ile kirlenmiş emici, filtre, bez</t>
        </is>
      </c>
      <c r="C9" s="14" t="inlineStr">
        <is>
          <t>Evet</t>
        </is>
      </c>
      <c r="D9" s="14" t="inlineStr">
        <is>
          <t>Yok</t>
        </is>
      </c>
      <c r="E9" s="14" t="inlineStr">
        <is>
          <t>Gerekirse</t>
        </is>
      </c>
      <c r="F9" s="14" t="inlineStr">
        <is>
          <t>Açıkta bekletilmesin</t>
        </is>
      </c>
    </row>
    <row r="10" ht="28" customHeight="1">
      <c r="A10" s="14" t="inlineStr">
        <is>
          <t>19 08 13*</t>
        </is>
      </c>
      <c r="B10" s="14" t="inlineStr">
        <is>
          <t>Endüstriyel atıksu arıtma çamuru, tehlikeli</t>
        </is>
      </c>
      <c r="C10" s="14" t="inlineStr">
        <is>
          <t>Evet, beyan böyle</t>
        </is>
      </c>
      <c r="D10" s="14" t="inlineStr">
        <is>
          <t>Yok</t>
        </is>
      </c>
      <c r="E10" s="14" t="inlineStr">
        <is>
          <t>Yok, yaptırılacak</t>
        </is>
      </c>
      <c r="F10" s="14" t="inlineStr">
        <is>
          <t>Analiz 19 08 14 çıkarırsa kod ve sözleşme değişir</t>
        </is>
      </c>
    </row>
    <row r="11" ht="28" customHeight="1">
      <c r="A11" s="17" t="inlineStr">
        <is>
          <t>20 01 08</t>
        </is>
      </c>
      <c r="B11" s="17" t="inlineStr">
        <is>
          <t>Mutfak ve kantin, biyolojik olarak bozunabilir</t>
        </is>
      </c>
      <c r="C11" s="17" t="inlineStr">
        <is>
          <t>Hayır</t>
        </is>
      </c>
      <c r="D11" s="17" t="inlineStr">
        <is>
          <t>Yok / yapılacak</t>
        </is>
      </c>
      <c r="E11" s="17" t="inlineStr">
        <is>
          <t>Gerekmez</t>
        </is>
      </c>
      <c r="F11" s="17" t="inlineStr"/>
    </row>
    <row r="12" ht="28" customHeight="1">
      <c r="A12" s="14" t="inlineStr">
        <is>
          <t>20 01 26*</t>
        </is>
      </c>
      <c r="B12" s="14" t="inlineStr">
        <is>
          <t>20 01 25 dışındaki sıvı ve katı yağlar</t>
        </is>
      </c>
      <c r="C12" s="14" t="inlineStr">
        <is>
          <t>Evet</t>
        </is>
      </c>
      <c r="D12" s="14" t="inlineStr">
        <is>
          <t>Yok</t>
        </is>
      </c>
      <c r="E12" s="14" t="inlineStr">
        <is>
          <t>Gerekirse</t>
        </is>
      </c>
      <c r="F12" s="14" t="inlineStr">
        <is>
          <t>Mum kaynaklı yağ bu koda gidebilir</t>
        </is>
      </c>
    </row>
    <row r="13" ht="28" customHeight="1">
      <c r="A13" s="17" t="inlineStr">
        <is>
          <t>20 01 34</t>
        </is>
      </c>
      <c r="B13" s="17" t="inlineStr">
        <is>
          <t>20 01 33 dışındaki pil ve akümülatör</t>
        </is>
      </c>
      <c r="C13" s="17" t="inlineStr">
        <is>
          <t>Hayır</t>
        </is>
      </c>
      <c r="D13" s="17" t="inlineStr">
        <is>
          <t>Yok / yapılacak</t>
        </is>
      </c>
      <c r="E13" s="17" t="inlineStr">
        <is>
          <t>Gerekmez</t>
        </is>
      </c>
      <c r="F13" s="17" t="inlineStr"/>
    </row>
    <row r="14" ht="28" customHeight="1">
      <c r="A14" s="19" t="inlineStr">
        <is>
          <t>19 08 01</t>
        </is>
      </c>
      <c r="B14" s="19" t="inlineStr">
        <is>
          <t>Izgara atığı</t>
        </is>
      </c>
      <c r="C14" s="19" t="inlineStr">
        <is>
          <t>Listede yok</t>
        </is>
      </c>
      <c r="D14" s="19" t="inlineStr">
        <is>
          <t>Oluşuyorsa yapılacak</t>
        </is>
      </c>
      <c r="E14" s="19" t="inlineStr">
        <is>
          <t>Oluşuma göre</t>
        </is>
      </c>
      <c r="F14" s="19" t="inlineStr">
        <is>
          <t>Sahada oluşup oluşmadığı Y-19 ile kapanacak</t>
        </is>
      </c>
    </row>
    <row r="15" ht="28" customHeight="1">
      <c r="A15" s="19" t="inlineStr">
        <is>
          <t>19 08 02</t>
        </is>
      </c>
      <c r="B15" s="19" t="inlineStr">
        <is>
          <t>Kum tutucu atığı</t>
        </is>
      </c>
      <c r="C15" s="19" t="inlineStr">
        <is>
          <t>Listede yok</t>
        </is>
      </c>
      <c r="D15" s="19" t="inlineStr">
        <is>
          <t>Oluşuyorsa yapılacak</t>
        </is>
      </c>
      <c r="E15" s="19" t="inlineStr">
        <is>
          <t>Oluşuma göre</t>
        </is>
      </c>
      <c r="F15" s="19" t="inlineStr">
        <is>
          <t>Sahada oluşup oluşmadığı Y-19 ile kapanacak</t>
        </is>
      </c>
    </row>
    <row r="18">
      <c r="A18" s="54" t="inlineStr">
        <is>
          <t>SEVKİYAT KAYDI</t>
        </is>
      </c>
      <c r="B18" s="55" t="n"/>
      <c r="C18" s="55" t="n"/>
      <c r="D18" s="55" t="n"/>
      <c r="E18" s="55" t="n"/>
      <c r="F18" s="55" t="n"/>
      <c r="G18" s="55" t="n"/>
      <c r="H18" s="55" t="n"/>
      <c r="I18" s="55" t="n"/>
      <c r="J18" s="55" t="n"/>
      <c r="K18" s="55" t="n"/>
      <c r="L18" s="55" t="n"/>
    </row>
    <row r="19">
      <c r="A19" s="53" t="inlineStr">
        <is>
          <t>Tarih</t>
        </is>
      </c>
      <c r="B19" s="53" t="inlineStr">
        <is>
          <t>Kod</t>
        </is>
      </c>
      <c r="C19" s="53" t="inlineStr">
        <is>
          <t>Miktar kg</t>
        </is>
      </c>
      <c r="D19" s="53" t="inlineStr">
        <is>
          <t>Firma</t>
        </is>
      </c>
      <c r="E19" s="53" t="inlineStr">
        <is>
          <t>Lisans no</t>
        </is>
      </c>
      <c r="F19" s="53" t="inlineStr">
        <is>
          <t>Araç plaka</t>
        </is>
      </c>
      <c r="G19" s="53" t="inlineStr">
        <is>
          <t>MOTAT no</t>
        </is>
      </c>
      <c r="H19" s="53" t="inlineStr">
        <is>
          <t>Fiş no</t>
        </is>
      </c>
      <c r="I19" s="53" t="inlineStr">
        <is>
          <t>Tehlikeli mi</t>
        </is>
      </c>
      <c r="J19" s="53" t="inlineStr">
        <is>
          <t>Sözleşme tarihi</t>
        </is>
      </c>
      <c r="K19" s="53" t="inlineStr">
        <is>
          <t>Teslim alan</t>
        </is>
      </c>
      <c r="L19" s="53" t="inlineStr">
        <is>
          <t>Not</t>
        </is>
      </c>
    </row>
    <row r="20" ht="18" customHeight="1">
      <c r="A20" s="50" t="n"/>
      <c r="B20" s="6" t="n"/>
      <c r="C20" s="6" t="n"/>
      <c r="D20" s="6" t="n"/>
      <c r="E20" s="6" t="n"/>
      <c r="F20" s="6" t="n"/>
      <c r="G20" s="6" t="n"/>
      <c r="H20" s="6" t="n"/>
      <c r="I20" s="6" t="n"/>
      <c r="J20" s="50" t="n"/>
      <c r="K20" s="6" t="n"/>
      <c r="L20" s="6" t="n"/>
    </row>
    <row r="21" ht="18" customHeight="1">
      <c r="A21" s="50" t="n"/>
      <c r="B21" s="6" t="n"/>
      <c r="C21" s="6" t="n"/>
      <c r="D21" s="6" t="n"/>
      <c r="E21" s="6" t="n"/>
      <c r="F21" s="6" t="n"/>
      <c r="G21" s="6" t="n"/>
      <c r="H21" s="6" t="n"/>
      <c r="I21" s="6" t="n"/>
      <c r="J21" s="50" t="n"/>
      <c r="K21" s="6" t="n"/>
      <c r="L21" s="6" t="n"/>
    </row>
    <row r="22" ht="18" customHeight="1">
      <c r="A22" s="50" t="n"/>
      <c r="B22" s="6" t="n"/>
      <c r="C22" s="6" t="n"/>
      <c r="D22" s="6" t="n"/>
      <c r="E22" s="6" t="n"/>
      <c r="F22" s="6" t="n"/>
      <c r="G22" s="6" t="n"/>
      <c r="H22" s="6" t="n"/>
      <c r="I22" s="6" t="n"/>
      <c r="J22" s="50" t="n"/>
      <c r="K22" s="6" t="n"/>
      <c r="L22" s="6" t="n"/>
    </row>
    <row r="23" ht="18" customHeight="1">
      <c r="A23" s="50" t="n"/>
      <c r="B23" s="6" t="n"/>
      <c r="C23" s="6" t="n"/>
      <c r="D23" s="6" t="n"/>
      <c r="E23" s="6" t="n"/>
      <c r="F23" s="6" t="n"/>
      <c r="G23" s="6" t="n"/>
      <c r="H23" s="6" t="n"/>
      <c r="I23" s="6" t="n"/>
      <c r="J23" s="50" t="n"/>
      <c r="K23" s="6" t="n"/>
      <c r="L23" s="6" t="n"/>
    </row>
    <row r="24" ht="18" customHeight="1">
      <c r="A24" s="50" t="n"/>
      <c r="B24" s="6" t="n"/>
      <c r="C24" s="6" t="n"/>
      <c r="D24" s="6" t="n"/>
      <c r="E24" s="6" t="n"/>
      <c r="F24" s="6" t="n"/>
      <c r="G24" s="6" t="n"/>
      <c r="H24" s="6" t="n"/>
      <c r="I24" s="6" t="n"/>
      <c r="J24" s="50" t="n"/>
      <c r="K24" s="6" t="n"/>
      <c r="L24" s="6" t="n"/>
    </row>
    <row r="25" ht="18" customHeight="1">
      <c r="A25" s="50" t="n"/>
      <c r="B25" s="6" t="n"/>
      <c r="C25" s="6" t="n"/>
      <c r="D25" s="6" t="n"/>
      <c r="E25" s="6" t="n"/>
      <c r="F25" s="6" t="n"/>
      <c r="G25" s="6" t="n"/>
      <c r="H25" s="6" t="n"/>
      <c r="I25" s="6" t="n"/>
      <c r="J25" s="50" t="n"/>
      <c r="K25" s="6" t="n"/>
      <c r="L25" s="6" t="n"/>
    </row>
    <row r="26" ht="18" customHeight="1">
      <c r="A26" s="50" t="n"/>
      <c r="B26" s="6" t="n"/>
      <c r="C26" s="6" t="n"/>
      <c r="D26" s="6" t="n"/>
      <c r="E26" s="6" t="n"/>
      <c r="F26" s="6" t="n"/>
      <c r="G26" s="6" t="n"/>
      <c r="H26" s="6" t="n"/>
      <c r="I26" s="6" t="n"/>
      <c r="J26" s="50" t="n"/>
      <c r="K26" s="6" t="n"/>
      <c r="L26" s="6" t="n"/>
    </row>
    <row r="27" ht="18" customHeight="1">
      <c r="A27" s="50" t="n"/>
      <c r="B27" s="6" t="n"/>
      <c r="C27" s="6" t="n"/>
      <c r="D27" s="6" t="n"/>
      <c r="E27" s="6" t="n"/>
      <c r="F27" s="6" t="n"/>
      <c r="G27" s="6" t="n"/>
      <c r="H27" s="6" t="n"/>
      <c r="I27" s="6" t="n"/>
      <c r="J27" s="50" t="n"/>
      <c r="K27" s="6" t="n"/>
      <c r="L27" s="6" t="n"/>
    </row>
    <row r="28" ht="18" customHeight="1">
      <c r="A28" s="50" t="n"/>
      <c r="B28" s="6" t="n"/>
      <c r="C28" s="6" t="n"/>
      <c r="D28" s="6" t="n"/>
      <c r="E28" s="6" t="n"/>
      <c r="F28" s="6" t="n"/>
      <c r="G28" s="6" t="n"/>
      <c r="H28" s="6" t="n"/>
      <c r="I28" s="6" t="n"/>
      <c r="J28" s="50" t="n"/>
      <c r="K28" s="6" t="n"/>
      <c r="L28" s="6" t="n"/>
    </row>
    <row r="29" ht="18" customHeight="1">
      <c r="A29" s="50" t="n"/>
      <c r="B29" s="6" t="n"/>
      <c r="C29" s="6" t="n"/>
      <c r="D29" s="6" t="n"/>
      <c r="E29" s="6" t="n"/>
      <c r="F29" s="6" t="n"/>
      <c r="G29" s="6" t="n"/>
      <c r="H29" s="6" t="n"/>
      <c r="I29" s="6" t="n"/>
      <c r="J29" s="50" t="n"/>
      <c r="K29" s="6" t="n"/>
      <c r="L29" s="6" t="n"/>
    </row>
    <row r="30" ht="18" customHeight="1">
      <c r="A30" s="50" t="n"/>
      <c r="B30" s="6" t="n"/>
      <c r="C30" s="6" t="n"/>
      <c r="D30" s="6" t="n"/>
      <c r="E30" s="6" t="n"/>
      <c r="F30" s="6" t="n"/>
      <c r="G30" s="6" t="n"/>
      <c r="H30" s="6" t="n"/>
      <c r="I30" s="6" t="n"/>
      <c r="J30" s="50" t="n"/>
      <c r="K30" s="6" t="n"/>
      <c r="L30" s="6" t="n"/>
    </row>
    <row r="31" ht="18" customHeight="1">
      <c r="A31" s="50" t="n"/>
      <c r="B31" s="6" t="n"/>
      <c r="C31" s="6" t="n"/>
      <c r="D31" s="6" t="n"/>
      <c r="E31" s="6" t="n"/>
      <c r="F31" s="6" t="n"/>
      <c r="G31" s="6" t="n"/>
      <c r="H31" s="6" t="n"/>
      <c r="I31" s="6" t="n"/>
      <c r="J31" s="50" t="n"/>
      <c r="K31" s="6" t="n"/>
      <c r="L31" s="6" t="n"/>
    </row>
    <row r="32" ht="18" customHeight="1">
      <c r="A32" s="50" t="n"/>
      <c r="B32" s="6" t="n"/>
      <c r="C32" s="6" t="n"/>
      <c r="D32" s="6" t="n"/>
      <c r="E32" s="6" t="n"/>
      <c r="F32" s="6" t="n"/>
      <c r="G32" s="6" t="n"/>
      <c r="H32" s="6" t="n"/>
      <c r="I32" s="6" t="n"/>
      <c r="J32" s="50" t="n"/>
      <c r="K32" s="6" t="n"/>
      <c r="L32" s="6" t="n"/>
    </row>
    <row r="33" ht="18" customHeight="1">
      <c r="A33" s="50" t="n"/>
      <c r="B33" s="6" t="n"/>
      <c r="C33" s="6" t="n"/>
      <c r="D33" s="6" t="n"/>
      <c r="E33" s="6" t="n"/>
      <c r="F33" s="6" t="n"/>
      <c r="G33" s="6" t="n"/>
      <c r="H33" s="6" t="n"/>
      <c r="I33" s="6" t="n"/>
      <c r="J33" s="50" t="n"/>
      <c r="K33" s="6" t="n"/>
      <c r="L33" s="6" t="n"/>
    </row>
    <row r="34" ht="18" customHeight="1">
      <c r="A34" s="50" t="n"/>
      <c r="B34" s="6" t="n"/>
      <c r="C34" s="6" t="n"/>
      <c r="D34" s="6" t="n"/>
      <c r="E34" s="6" t="n"/>
      <c r="F34" s="6" t="n"/>
      <c r="G34" s="6" t="n"/>
      <c r="H34" s="6" t="n"/>
      <c r="I34" s="6" t="n"/>
      <c r="J34" s="50" t="n"/>
      <c r="K34" s="6" t="n"/>
      <c r="L34" s="6" t="n"/>
    </row>
    <row r="35" ht="18" customHeight="1">
      <c r="A35" s="50" t="n"/>
      <c r="B35" s="6" t="n"/>
      <c r="C35" s="6" t="n"/>
      <c r="D35" s="6" t="n"/>
      <c r="E35" s="6" t="n"/>
      <c r="F35" s="6" t="n"/>
      <c r="G35" s="6" t="n"/>
      <c r="H35" s="6" t="n"/>
      <c r="I35" s="6" t="n"/>
      <c r="J35" s="50" t="n"/>
      <c r="K35" s="6" t="n"/>
      <c r="L35" s="6" t="n"/>
    </row>
    <row r="36" ht="18" customHeight="1">
      <c r="A36" s="50" t="n"/>
      <c r="B36" s="6" t="n"/>
      <c r="C36" s="6" t="n"/>
      <c r="D36" s="6" t="n"/>
      <c r="E36" s="6" t="n"/>
      <c r="F36" s="6" t="n"/>
      <c r="G36" s="6" t="n"/>
      <c r="H36" s="6" t="n"/>
      <c r="I36" s="6" t="n"/>
      <c r="J36" s="50" t="n"/>
      <c r="K36" s="6" t="n"/>
      <c r="L36" s="6" t="n"/>
    </row>
    <row r="37" ht="18" customHeight="1">
      <c r="A37" s="50" t="n"/>
      <c r="B37" s="6" t="n"/>
      <c r="C37" s="6" t="n"/>
      <c r="D37" s="6" t="n"/>
      <c r="E37" s="6" t="n"/>
      <c r="F37" s="6" t="n"/>
      <c r="G37" s="6" t="n"/>
      <c r="H37" s="6" t="n"/>
      <c r="I37" s="6" t="n"/>
      <c r="J37" s="50" t="n"/>
      <c r="K37" s="6" t="n"/>
      <c r="L37" s="6" t="n"/>
    </row>
    <row r="38" ht="18" customHeight="1">
      <c r="A38" s="50" t="n"/>
      <c r="B38" s="6" t="n"/>
      <c r="C38" s="6" t="n"/>
      <c r="D38" s="6" t="n"/>
      <c r="E38" s="6" t="n"/>
      <c r="F38" s="6" t="n"/>
      <c r="G38" s="6" t="n"/>
      <c r="H38" s="6" t="n"/>
      <c r="I38" s="6" t="n"/>
      <c r="J38" s="50" t="n"/>
      <c r="K38" s="6" t="n"/>
      <c r="L38" s="6" t="n"/>
    </row>
    <row r="39" ht="18" customHeight="1">
      <c r="A39" s="50" t="n"/>
      <c r="B39" s="6" t="n"/>
      <c r="C39" s="6" t="n"/>
      <c r="D39" s="6" t="n"/>
      <c r="E39" s="6" t="n"/>
      <c r="F39" s="6" t="n"/>
      <c r="G39" s="6" t="n"/>
      <c r="H39" s="6" t="n"/>
      <c r="I39" s="6" t="n"/>
      <c r="J39" s="50" t="n"/>
      <c r="K39" s="6" t="n"/>
      <c r="L39" s="6" t="n"/>
    </row>
    <row r="40" ht="18" customHeight="1">
      <c r="A40" s="50" t="n"/>
      <c r="B40" s="6" t="n"/>
      <c r="C40" s="6" t="n"/>
      <c r="D40" s="6" t="n"/>
      <c r="E40" s="6" t="n"/>
      <c r="F40" s="6" t="n"/>
      <c r="G40" s="6" t="n"/>
      <c r="H40" s="6" t="n"/>
      <c r="I40" s="6" t="n"/>
      <c r="J40" s="50" t="n"/>
      <c r="K40" s="6" t="n"/>
      <c r="L40" s="6" t="n"/>
    </row>
    <row r="41" ht="18" customHeight="1">
      <c r="A41" s="50" t="n"/>
      <c r="B41" s="6" t="n"/>
      <c r="C41" s="6" t="n"/>
      <c r="D41" s="6" t="n"/>
      <c r="E41" s="6" t="n"/>
      <c r="F41" s="6" t="n"/>
      <c r="G41" s="6" t="n"/>
      <c r="H41" s="6" t="n"/>
      <c r="I41" s="6" t="n"/>
      <c r="J41" s="50" t="n"/>
      <c r="K41" s="6" t="n"/>
      <c r="L41" s="6" t="n"/>
    </row>
    <row r="42" ht="18" customHeight="1">
      <c r="A42" s="50" t="n"/>
      <c r="B42" s="6" t="n"/>
      <c r="C42" s="6" t="n"/>
      <c r="D42" s="6" t="n"/>
      <c r="E42" s="6" t="n"/>
      <c r="F42" s="6" t="n"/>
      <c r="G42" s="6" t="n"/>
      <c r="H42" s="6" t="n"/>
      <c r="I42" s="6" t="n"/>
      <c r="J42" s="50" t="n"/>
      <c r="K42" s="6" t="n"/>
      <c r="L42" s="6" t="n"/>
    </row>
    <row r="43" ht="18" customHeight="1">
      <c r="A43" s="50" t="n"/>
      <c r="B43" s="6" t="n"/>
      <c r="C43" s="6" t="n"/>
      <c r="D43" s="6" t="n"/>
      <c r="E43" s="6" t="n"/>
      <c r="F43" s="6" t="n"/>
      <c r="G43" s="6" t="n"/>
      <c r="H43" s="6" t="n"/>
      <c r="I43" s="6" t="n"/>
      <c r="J43" s="50" t="n"/>
      <c r="K43" s="6" t="n"/>
      <c r="L43" s="6" t="n"/>
    </row>
    <row r="44" ht="18" customHeight="1">
      <c r="A44" s="50" t="n"/>
      <c r="B44" s="6" t="n"/>
      <c r="C44" s="6" t="n"/>
      <c r="D44" s="6" t="n"/>
      <c r="E44" s="6" t="n"/>
      <c r="F44" s="6" t="n"/>
      <c r="G44" s="6" t="n"/>
      <c r="H44" s="6" t="n"/>
      <c r="I44" s="6" t="n"/>
      <c r="J44" s="50" t="n"/>
      <c r="K44" s="6" t="n"/>
      <c r="L44" s="6" t="n"/>
    </row>
    <row r="45" ht="18" customHeight="1">
      <c r="A45" s="50" t="n"/>
      <c r="B45" s="6" t="n"/>
      <c r="C45" s="6" t="n"/>
      <c r="D45" s="6" t="n"/>
      <c r="E45" s="6" t="n"/>
      <c r="F45" s="6" t="n"/>
      <c r="G45" s="6" t="n"/>
      <c r="H45" s="6" t="n"/>
      <c r="I45" s="6" t="n"/>
      <c r="J45" s="50" t="n"/>
      <c r="K45" s="6" t="n"/>
      <c r="L45" s="6" t="n"/>
    </row>
    <row r="46" ht="18" customHeight="1">
      <c r="A46" s="50" t="n"/>
      <c r="B46" s="6" t="n"/>
      <c r="C46" s="6" t="n"/>
      <c r="D46" s="6" t="n"/>
      <c r="E46" s="6" t="n"/>
      <c r="F46" s="6" t="n"/>
      <c r="G46" s="6" t="n"/>
      <c r="H46" s="6" t="n"/>
      <c r="I46" s="6" t="n"/>
      <c r="J46" s="50" t="n"/>
      <c r="K46" s="6" t="n"/>
      <c r="L46" s="6" t="n"/>
    </row>
    <row r="47" ht="18" customHeight="1">
      <c r="A47" s="50" t="n"/>
      <c r="B47" s="6" t="n"/>
      <c r="C47" s="6" t="n"/>
      <c r="D47" s="6" t="n"/>
      <c r="E47" s="6" t="n"/>
      <c r="F47" s="6" t="n"/>
      <c r="G47" s="6" t="n"/>
      <c r="H47" s="6" t="n"/>
      <c r="I47" s="6" t="n"/>
      <c r="J47" s="50" t="n"/>
      <c r="K47" s="6" t="n"/>
      <c r="L47" s="6" t="n"/>
    </row>
    <row r="48" ht="18" customHeight="1">
      <c r="A48" s="50" t="n"/>
      <c r="B48" s="6" t="n"/>
      <c r="C48" s="6" t="n"/>
      <c r="D48" s="6" t="n"/>
      <c r="E48" s="6" t="n"/>
      <c r="F48" s="6" t="n"/>
      <c r="G48" s="6" t="n"/>
      <c r="H48" s="6" t="n"/>
      <c r="I48" s="6" t="n"/>
      <c r="J48" s="50" t="n"/>
      <c r="K48" s="6" t="n"/>
      <c r="L48" s="6" t="n"/>
    </row>
    <row r="49" ht="18" customHeight="1">
      <c r="A49" s="50" t="n"/>
      <c r="B49" s="6" t="n"/>
      <c r="C49" s="6" t="n"/>
      <c r="D49" s="6" t="n"/>
      <c r="E49" s="6" t="n"/>
      <c r="F49" s="6" t="n"/>
      <c r="G49" s="6" t="n"/>
      <c r="H49" s="6" t="n"/>
      <c r="I49" s="6" t="n"/>
      <c r="J49" s="50" t="n"/>
      <c r="K49" s="6" t="n"/>
      <c r="L49" s="6" t="n"/>
    </row>
    <row r="50" ht="18" customHeight="1">
      <c r="A50" s="50" t="n"/>
      <c r="B50" s="6" t="n"/>
      <c r="C50" s="6" t="n"/>
      <c r="D50" s="6" t="n"/>
      <c r="E50" s="6" t="n"/>
      <c r="F50" s="6" t="n"/>
      <c r="G50" s="6" t="n"/>
      <c r="H50" s="6" t="n"/>
      <c r="I50" s="6" t="n"/>
      <c r="J50" s="50" t="n"/>
      <c r="K50" s="6" t="n"/>
      <c r="L50" s="6" t="n"/>
    </row>
    <row r="51" ht="18" customHeight="1">
      <c r="A51" s="50" t="n"/>
      <c r="B51" s="6" t="n"/>
      <c r="C51" s="6" t="n"/>
      <c r="D51" s="6" t="n"/>
      <c r="E51" s="6" t="n"/>
      <c r="F51" s="6" t="n"/>
      <c r="G51" s="6" t="n"/>
      <c r="H51" s="6" t="n"/>
      <c r="I51" s="6" t="n"/>
      <c r="J51" s="50" t="n"/>
      <c r="K51" s="6" t="n"/>
      <c r="L51" s="6" t="n"/>
    </row>
    <row r="52" ht="18" customHeight="1">
      <c r="A52" s="50" t="n"/>
      <c r="B52" s="6" t="n"/>
      <c r="C52" s="6" t="n"/>
      <c r="D52" s="6" t="n"/>
      <c r="E52" s="6" t="n"/>
      <c r="F52" s="6" t="n"/>
      <c r="G52" s="6" t="n"/>
      <c r="H52" s="6" t="n"/>
      <c r="I52" s="6" t="n"/>
      <c r="J52" s="50" t="n"/>
      <c r="K52" s="6" t="n"/>
      <c r="L52" s="6" t="n"/>
    </row>
    <row r="53" ht="18" customHeight="1">
      <c r="A53" s="50" t="n"/>
      <c r="B53" s="6" t="n"/>
      <c r="C53" s="6" t="n"/>
      <c r="D53" s="6" t="n"/>
      <c r="E53" s="6" t="n"/>
      <c r="F53" s="6" t="n"/>
      <c r="G53" s="6" t="n"/>
      <c r="H53" s="6" t="n"/>
      <c r="I53" s="6" t="n"/>
      <c r="J53" s="50" t="n"/>
      <c r="K53" s="6" t="n"/>
      <c r="L53" s="6" t="n"/>
    </row>
    <row r="54" ht="18" customHeight="1">
      <c r="A54" s="50" t="n"/>
      <c r="B54" s="6" t="n"/>
      <c r="C54" s="6" t="n"/>
      <c r="D54" s="6" t="n"/>
      <c r="E54" s="6" t="n"/>
      <c r="F54" s="6" t="n"/>
      <c r="G54" s="6" t="n"/>
      <c r="H54" s="6" t="n"/>
      <c r="I54" s="6" t="n"/>
      <c r="J54" s="50" t="n"/>
      <c r="K54" s="6" t="n"/>
      <c r="L54" s="6" t="n"/>
    </row>
    <row r="55" ht="18" customHeight="1">
      <c r="A55" s="50" t="n"/>
      <c r="B55" s="6" t="n"/>
      <c r="C55" s="6" t="n"/>
      <c r="D55" s="6" t="n"/>
      <c r="E55" s="6" t="n"/>
      <c r="F55" s="6" t="n"/>
      <c r="G55" s="6" t="n"/>
      <c r="H55" s="6" t="n"/>
      <c r="I55" s="6" t="n"/>
      <c r="J55" s="50" t="n"/>
      <c r="K55" s="6" t="n"/>
      <c r="L55" s="6" t="n"/>
    </row>
    <row r="56" ht="18" customHeight="1">
      <c r="A56" s="50" t="n"/>
      <c r="B56" s="6" t="n"/>
      <c r="C56" s="6" t="n"/>
      <c r="D56" s="6" t="n"/>
      <c r="E56" s="6" t="n"/>
      <c r="F56" s="6" t="n"/>
      <c r="G56" s="6" t="n"/>
      <c r="H56" s="6" t="n"/>
      <c r="I56" s="6" t="n"/>
      <c r="J56" s="50" t="n"/>
      <c r="K56" s="6" t="n"/>
      <c r="L56" s="6" t="n"/>
    </row>
    <row r="57" ht="18" customHeight="1">
      <c r="A57" s="50" t="n"/>
      <c r="B57" s="6" t="n"/>
      <c r="C57" s="6" t="n"/>
      <c r="D57" s="6" t="n"/>
      <c r="E57" s="6" t="n"/>
      <c r="F57" s="6" t="n"/>
      <c r="G57" s="6" t="n"/>
      <c r="H57" s="6" t="n"/>
      <c r="I57" s="6" t="n"/>
      <c r="J57" s="50" t="n"/>
      <c r="K57" s="6" t="n"/>
      <c r="L57" s="6" t="n"/>
    </row>
    <row r="58" ht="18" customHeight="1">
      <c r="A58" s="50" t="n"/>
      <c r="B58" s="6" t="n"/>
      <c r="C58" s="6" t="n"/>
      <c r="D58" s="6" t="n"/>
      <c r="E58" s="6" t="n"/>
      <c r="F58" s="6" t="n"/>
      <c r="G58" s="6" t="n"/>
      <c r="H58" s="6" t="n"/>
      <c r="I58" s="6" t="n"/>
      <c r="J58" s="50" t="n"/>
      <c r="K58" s="6" t="n"/>
      <c r="L58" s="6" t="n"/>
    </row>
    <row r="59" ht="18" customHeight="1">
      <c r="A59" s="50" t="n"/>
      <c r="B59" s="6" t="n"/>
      <c r="C59" s="6" t="n"/>
      <c r="D59" s="6" t="n"/>
      <c r="E59" s="6" t="n"/>
      <c r="F59" s="6" t="n"/>
      <c r="G59" s="6" t="n"/>
      <c r="H59" s="6" t="n"/>
      <c r="I59" s="6" t="n"/>
      <c r="J59" s="50" t="n"/>
      <c r="K59" s="6" t="n"/>
      <c r="L59" s="6" t="n"/>
    </row>
    <row r="62">
      <c r="A62" s="2" t="inlineStr">
        <is>
          <t>Ay içinde sevkiyat yoksa bir satıra ay adı ve ‘hareket yok’ yazın. Böylece beyan döneminde boşluk tartışması olmaz.</t>
        </is>
      </c>
    </row>
  </sheetData>
  <mergeCells count="3">
    <mergeCell ref="A2:L2"/>
    <mergeCell ref="A1:L1"/>
    <mergeCell ref="A18:L18"/>
  </mergeCells>
  <printOptions horizontalCentered="1"/>
  <pageMargins left="0.4" right="0.4" top="0.6" bottom="0.5" header="0.25" footer="0.25"/>
  <pageSetup orientation="landscape" paperSize="9" fitToHeight="0" fitToWidth="1"/>
  <headerFooter>
    <oddHeader>&amp;LAtık takip&amp;RÇevre takip dosyası  |  30.09.2026</oddHeader>
    <oddFooter>&amp;LSaha ölçümü ve analiz raporu içermez. İzin eki gelince ek esastır.&amp;RSayfa &amp;P / &amp;N</oddFooter>
    <evenHeader/>
    <evenFooter/>
    <firstHeader/>
    <firstFooter/>
  </headerFooter>
</worksheet>
</file>

<file path=xl/worksheets/sheet10.xml><?xml version="1.0" encoding="utf-8"?>
<worksheet xmlns="http://schemas.openxmlformats.org/spreadsheetml/2006/main">
  <sheetPr>
    <tabColor rgb="00922B21"/>
    <outlinePr summaryBelow="1" summaryRight="1"/>
    <pageSetUpPr fitToPage="1"/>
  </sheetPr>
  <dimension ref="A1:J34"/>
  <sheetViews>
    <sheetView showGridLines="0" zoomScale="110" workbookViewId="0">
      <pane ySplit="4" topLeftCell="A5" activePane="bottomLeft" state="frozen"/>
      <selection pane="bottomLeft" activeCell="A1" sqref="A1"/>
    </sheetView>
  </sheetViews>
  <sheetFormatPr baseColWidth="8" defaultRowHeight="15"/>
  <cols>
    <col width="8" customWidth="1" min="1" max="1"/>
    <col width="14" customWidth="1" min="2" max="2"/>
    <col width="22" customWidth="1" min="3" max="3"/>
    <col width="40" customWidth="1" min="4" max="4"/>
    <col width="36" customWidth="1" min="5" max="5"/>
    <col width="40" customWidth="1" min="6" max="6"/>
    <col width="20" customWidth="1" min="7" max="7"/>
    <col width="14" customWidth="1" min="8" max="8"/>
    <col width="16" customWidth="1" min="9" max="9"/>
    <col width="16" customWidth="1" min="10" max="10"/>
  </cols>
  <sheetData>
    <row r="1">
      <c r="A1" s="1" t="inlineStr">
        <is>
          <t>UYGUNSUZLUK VE DÜZELTİCİ FAALİYET</t>
        </is>
      </c>
    </row>
    <row r="2">
      <c r="A2" s="2" t="inlineStr">
        <is>
          <t>Aylık kontrolde Uygun değil işaretlenen her satır, limit aşımı, bypass, şikayet ve kaza buraya yazılır. Kök neden yazılmadan kapatmayın.</t>
        </is>
      </c>
    </row>
    <row r="4">
      <c r="A4" s="20" t="inlineStr">
        <is>
          <t>No</t>
        </is>
      </c>
      <c r="B4" s="20" t="inlineStr">
        <is>
          <t>Tarih</t>
        </is>
      </c>
      <c r="C4" s="20" t="inlineStr">
        <is>
          <t>Kaynak</t>
        </is>
      </c>
      <c r="D4" s="20" t="inlineStr">
        <is>
          <t>Tanım</t>
        </is>
      </c>
      <c r="E4" s="20" t="inlineStr">
        <is>
          <t>Kök neden</t>
        </is>
      </c>
      <c r="F4" s="20" t="inlineStr">
        <is>
          <t>Düzeltme</t>
        </is>
      </c>
      <c r="G4" s="20" t="inlineStr">
        <is>
          <t>Sorumlu</t>
        </is>
      </c>
      <c r="H4" s="20" t="inlineStr">
        <is>
          <t>Hedef</t>
        </is>
      </c>
      <c r="I4" s="20" t="inlineStr">
        <is>
          <t>Durum</t>
        </is>
      </c>
      <c r="J4" s="20" t="inlineStr">
        <is>
          <t>Kapanış tarihi</t>
        </is>
      </c>
    </row>
    <row r="5" ht="48" customHeight="1">
      <c r="A5" s="14" t="inlineStr">
        <is>
          <t>U-01</t>
        </is>
      </c>
      <c r="B5" s="21" t="n">
        <v>46295</v>
      </c>
      <c r="C5" s="14" t="inlineStr">
        <is>
          <t>Belge incelemesi</t>
        </is>
      </c>
      <c r="D5" s="14" t="inlineStr">
        <is>
          <t>Yıkama suyunun AAT’ye mi yoksa ayrı hatta mı gittiği iki raporda çelişkili.</t>
        </is>
      </c>
      <c r="E5" s="14" t="inlineStr">
        <is>
          <t>Henüz sahada doğrulanmadı.</t>
        </is>
      </c>
      <c r="F5" s="14" t="inlineStr">
        <is>
          <t>Hat yürüyüşü, kroki, gerekirse bağlantı düzeltmesi. Y-01.</t>
        </is>
      </c>
      <c r="G5" s="14" t="inlineStr">
        <is>
          <t>Danışman + işletme</t>
        </is>
      </c>
      <c r="H5" s="21" t="n">
        <v>46310</v>
      </c>
      <c r="I5" s="14" t="inlineStr">
        <is>
          <t>Açık</t>
        </is>
      </c>
      <c r="J5" s="56" t="n"/>
    </row>
    <row r="6" ht="48" customHeight="1">
      <c r="A6" s="14" t="inlineStr">
        <is>
          <t>U-02</t>
        </is>
      </c>
      <c r="B6" s="21" t="n">
        <v>46295</v>
      </c>
      <c r="C6" s="14" t="inlineStr">
        <is>
          <t>Belge incelemesi</t>
        </is>
      </c>
      <c r="D6" s="14" t="inlineStr">
        <is>
          <t>İç izleme alınmış deniyor, analiz raporu dosyada yok.</t>
        </is>
      </c>
      <c r="E6" s="14" t="inlineStr">
        <is>
          <t>Rapor arşive girmemiş veya numune henüz oluşmamış.</t>
        </is>
      </c>
      <c r="F6" s="14" t="inlineStr">
        <is>
          <t>Raporu bul veya yeniden numune al. Y-02.</t>
        </is>
      </c>
      <c r="G6" s="14" t="inlineStr">
        <is>
          <t>Çevre görevlisi</t>
        </is>
      </c>
      <c r="H6" s="21" t="n">
        <v>46302</v>
      </c>
      <c r="I6" s="14" t="inlineStr">
        <is>
          <t>Açık</t>
        </is>
      </c>
      <c r="J6" s="56" t="n"/>
    </row>
    <row r="7" ht="48" customHeight="1">
      <c r="A7" s="14" t="inlineStr">
        <is>
          <t>U-03</t>
        </is>
      </c>
      <c r="B7" s="21" t="n">
        <v>46295</v>
      </c>
      <c r="C7" s="14" t="inlineStr">
        <is>
          <t>Kimlik belgesi</t>
        </is>
      </c>
      <c r="D7" s="14" t="inlineStr">
        <is>
          <t>Tesis sorumlusu alanı boş.</t>
        </is>
      </c>
      <c r="E7" s="14" t="inlineStr">
        <is>
          <t>B sınıfı kadro atanmamış.</t>
        </is>
      </c>
      <c r="F7" s="14" t="inlineStr">
        <is>
          <t>Atama ve kimlik güncellemesi. Y-03.</t>
        </is>
      </c>
      <c r="G7" s="14" t="inlineStr">
        <is>
          <t>İşletme</t>
        </is>
      </c>
      <c r="H7" s="21" t="n">
        <v>46326</v>
      </c>
      <c r="I7" s="14" t="inlineStr">
        <is>
          <t>Açık</t>
        </is>
      </c>
      <c r="J7" s="56" t="n"/>
    </row>
    <row r="8" ht="48" customHeight="1">
      <c r="A8" s="14" t="inlineStr">
        <is>
          <t>U-04</t>
        </is>
      </c>
      <c r="B8" s="21" t="n">
        <v>46269</v>
      </c>
      <c r="C8" s="14" t="inlineStr">
        <is>
          <t>İç tetkik 6.3.7</t>
        </is>
      </c>
      <c r="D8" s="14" t="inlineStr">
        <is>
          <t>Atık sözleşmesi yok. Çamur analizi yok.</t>
        </is>
      </c>
      <c r="E8" s="14" t="inlineStr">
        <is>
          <t>Bertaraf firması bağlanmamış, kod analizsiz seçilmiş.</t>
        </is>
      </c>
      <c r="F8" s="14" t="inlineStr">
        <is>
          <t>Sözleşme ve karakterizasyon. Y-04.</t>
        </is>
      </c>
      <c r="G8" s="14" t="inlineStr">
        <is>
          <t>Danışman + işletme</t>
        </is>
      </c>
      <c r="H8" s="21" t="n">
        <v>46326</v>
      </c>
      <c r="I8" s="14" t="inlineStr">
        <is>
          <t>Açık</t>
        </is>
      </c>
      <c r="J8" s="56" t="n"/>
    </row>
    <row r="9" ht="22" customHeight="1">
      <c r="A9" s="6" t="inlineStr">
        <is>
          <t>U-05</t>
        </is>
      </c>
      <c r="B9" s="50" t="n"/>
      <c r="C9" s="6" t="n"/>
      <c r="D9" s="6" t="n"/>
      <c r="E9" s="6" t="n"/>
      <c r="F9" s="6" t="n"/>
      <c r="G9" s="6" t="n"/>
      <c r="H9" s="50" t="n"/>
      <c r="I9" s="6" t="n"/>
      <c r="J9" s="50" t="n"/>
    </row>
    <row r="10" ht="22" customHeight="1">
      <c r="A10" s="6" t="inlineStr">
        <is>
          <t>U-06</t>
        </is>
      </c>
      <c r="B10" s="50" t="n"/>
      <c r="C10" s="6" t="n"/>
      <c r="D10" s="6" t="n"/>
      <c r="E10" s="6" t="n"/>
      <c r="F10" s="6" t="n"/>
      <c r="G10" s="6" t="n"/>
      <c r="H10" s="50" t="n"/>
      <c r="I10" s="6" t="n"/>
      <c r="J10" s="50" t="n"/>
    </row>
    <row r="11" ht="22" customHeight="1">
      <c r="A11" s="6" t="inlineStr">
        <is>
          <t>U-07</t>
        </is>
      </c>
      <c r="B11" s="50" t="n"/>
      <c r="C11" s="6" t="n"/>
      <c r="D11" s="6" t="n"/>
      <c r="E11" s="6" t="n"/>
      <c r="F11" s="6" t="n"/>
      <c r="G11" s="6" t="n"/>
      <c r="H11" s="50" t="n"/>
      <c r="I11" s="6" t="n"/>
      <c r="J11" s="50" t="n"/>
    </row>
    <row r="12" ht="22" customHeight="1">
      <c r="A12" s="6" t="inlineStr">
        <is>
          <t>U-08</t>
        </is>
      </c>
      <c r="B12" s="50" t="n"/>
      <c r="C12" s="6" t="n"/>
      <c r="D12" s="6" t="n"/>
      <c r="E12" s="6" t="n"/>
      <c r="F12" s="6" t="n"/>
      <c r="G12" s="6" t="n"/>
      <c r="H12" s="50" t="n"/>
      <c r="I12" s="6" t="n"/>
      <c r="J12" s="50" t="n"/>
    </row>
    <row r="13" ht="22" customHeight="1">
      <c r="A13" s="6" t="inlineStr">
        <is>
          <t>U-09</t>
        </is>
      </c>
      <c r="B13" s="50" t="n"/>
      <c r="C13" s="6" t="n"/>
      <c r="D13" s="6" t="n"/>
      <c r="E13" s="6" t="n"/>
      <c r="F13" s="6" t="n"/>
      <c r="G13" s="6" t="n"/>
      <c r="H13" s="50" t="n"/>
      <c r="I13" s="6" t="n"/>
      <c r="J13" s="50" t="n"/>
    </row>
    <row r="14" ht="22" customHeight="1">
      <c r="A14" s="6" t="inlineStr">
        <is>
          <t>U-10</t>
        </is>
      </c>
      <c r="B14" s="50" t="n"/>
      <c r="C14" s="6" t="n"/>
      <c r="D14" s="6" t="n"/>
      <c r="E14" s="6" t="n"/>
      <c r="F14" s="6" t="n"/>
      <c r="G14" s="6" t="n"/>
      <c r="H14" s="50" t="n"/>
      <c r="I14" s="6" t="n"/>
      <c r="J14" s="50" t="n"/>
    </row>
    <row r="15" ht="22" customHeight="1">
      <c r="A15" s="6" t="inlineStr">
        <is>
          <t>U-11</t>
        </is>
      </c>
      <c r="B15" s="50" t="n"/>
      <c r="C15" s="6" t="n"/>
      <c r="D15" s="6" t="n"/>
      <c r="E15" s="6" t="n"/>
      <c r="F15" s="6" t="n"/>
      <c r="G15" s="6" t="n"/>
      <c r="H15" s="50" t="n"/>
      <c r="I15" s="6" t="n"/>
      <c r="J15" s="50" t="n"/>
    </row>
    <row r="16" ht="22" customHeight="1">
      <c r="A16" s="6" t="inlineStr">
        <is>
          <t>U-12</t>
        </is>
      </c>
      <c r="B16" s="50" t="n"/>
      <c r="C16" s="6" t="n"/>
      <c r="D16" s="6" t="n"/>
      <c r="E16" s="6" t="n"/>
      <c r="F16" s="6" t="n"/>
      <c r="G16" s="6" t="n"/>
      <c r="H16" s="50" t="n"/>
      <c r="I16" s="6" t="n"/>
      <c r="J16" s="50" t="n"/>
    </row>
    <row r="17" ht="22" customHeight="1">
      <c r="A17" s="6" t="inlineStr">
        <is>
          <t>U-13</t>
        </is>
      </c>
      <c r="B17" s="50" t="n"/>
      <c r="C17" s="6" t="n"/>
      <c r="D17" s="6" t="n"/>
      <c r="E17" s="6" t="n"/>
      <c r="F17" s="6" t="n"/>
      <c r="G17" s="6" t="n"/>
      <c r="H17" s="50" t="n"/>
      <c r="I17" s="6" t="n"/>
      <c r="J17" s="50" t="n"/>
    </row>
    <row r="18" ht="22" customHeight="1">
      <c r="A18" s="6" t="inlineStr">
        <is>
          <t>U-14</t>
        </is>
      </c>
      <c r="B18" s="50" t="n"/>
      <c r="C18" s="6" t="n"/>
      <c r="D18" s="6" t="n"/>
      <c r="E18" s="6" t="n"/>
      <c r="F18" s="6" t="n"/>
      <c r="G18" s="6" t="n"/>
      <c r="H18" s="50" t="n"/>
      <c r="I18" s="6" t="n"/>
      <c r="J18" s="50" t="n"/>
    </row>
    <row r="19" ht="22" customHeight="1">
      <c r="A19" s="6" t="inlineStr">
        <is>
          <t>U-15</t>
        </is>
      </c>
      <c r="B19" s="50" t="n"/>
      <c r="C19" s="6" t="n"/>
      <c r="D19" s="6" t="n"/>
      <c r="E19" s="6" t="n"/>
      <c r="F19" s="6" t="n"/>
      <c r="G19" s="6" t="n"/>
      <c r="H19" s="50" t="n"/>
      <c r="I19" s="6" t="n"/>
      <c r="J19" s="50" t="n"/>
    </row>
    <row r="20" ht="22" customHeight="1">
      <c r="A20" s="6" t="inlineStr">
        <is>
          <t>U-16</t>
        </is>
      </c>
      <c r="B20" s="50" t="n"/>
      <c r="C20" s="6" t="n"/>
      <c r="D20" s="6" t="n"/>
      <c r="E20" s="6" t="n"/>
      <c r="F20" s="6" t="n"/>
      <c r="G20" s="6" t="n"/>
      <c r="H20" s="50" t="n"/>
      <c r="I20" s="6" t="n"/>
      <c r="J20" s="50" t="n"/>
    </row>
    <row r="21" ht="22" customHeight="1">
      <c r="A21" s="6" t="inlineStr">
        <is>
          <t>U-17</t>
        </is>
      </c>
      <c r="B21" s="50" t="n"/>
      <c r="C21" s="6" t="n"/>
      <c r="D21" s="6" t="n"/>
      <c r="E21" s="6" t="n"/>
      <c r="F21" s="6" t="n"/>
      <c r="G21" s="6" t="n"/>
      <c r="H21" s="50" t="n"/>
      <c r="I21" s="6" t="n"/>
      <c r="J21" s="50" t="n"/>
    </row>
    <row r="22" ht="22" customHeight="1">
      <c r="A22" s="6" t="inlineStr">
        <is>
          <t>U-18</t>
        </is>
      </c>
      <c r="B22" s="50" t="n"/>
      <c r="C22" s="6" t="n"/>
      <c r="D22" s="6" t="n"/>
      <c r="E22" s="6" t="n"/>
      <c r="F22" s="6" t="n"/>
      <c r="G22" s="6" t="n"/>
      <c r="H22" s="50" t="n"/>
      <c r="I22" s="6" t="n"/>
      <c r="J22" s="50" t="n"/>
    </row>
    <row r="23" ht="22" customHeight="1">
      <c r="A23" s="6" t="inlineStr">
        <is>
          <t>U-19</t>
        </is>
      </c>
      <c r="B23" s="50" t="n"/>
      <c r="C23" s="6" t="n"/>
      <c r="D23" s="6" t="n"/>
      <c r="E23" s="6" t="n"/>
      <c r="F23" s="6" t="n"/>
      <c r="G23" s="6" t="n"/>
      <c r="H23" s="50" t="n"/>
      <c r="I23" s="6" t="n"/>
      <c r="J23" s="50" t="n"/>
    </row>
    <row r="24" ht="22" customHeight="1">
      <c r="A24" s="6" t="inlineStr">
        <is>
          <t>U-20</t>
        </is>
      </c>
      <c r="B24" s="50" t="n"/>
      <c r="C24" s="6" t="n"/>
      <c r="D24" s="6" t="n"/>
      <c r="E24" s="6" t="n"/>
      <c r="F24" s="6" t="n"/>
      <c r="G24" s="6" t="n"/>
      <c r="H24" s="50" t="n"/>
      <c r="I24" s="6" t="n"/>
      <c r="J24" s="50" t="n"/>
    </row>
    <row r="25" ht="22" customHeight="1">
      <c r="A25" s="6" t="inlineStr">
        <is>
          <t>U-21</t>
        </is>
      </c>
      <c r="B25" s="50" t="n"/>
      <c r="C25" s="6" t="n"/>
      <c r="D25" s="6" t="n"/>
      <c r="E25" s="6" t="n"/>
      <c r="F25" s="6" t="n"/>
      <c r="G25" s="6" t="n"/>
      <c r="H25" s="50" t="n"/>
      <c r="I25" s="6" t="n"/>
      <c r="J25" s="50" t="n"/>
    </row>
    <row r="26" ht="22" customHeight="1">
      <c r="A26" s="6" t="inlineStr">
        <is>
          <t>U-22</t>
        </is>
      </c>
      <c r="B26" s="50" t="n"/>
      <c r="C26" s="6" t="n"/>
      <c r="D26" s="6" t="n"/>
      <c r="E26" s="6" t="n"/>
      <c r="F26" s="6" t="n"/>
      <c r="G26" s="6" t="n"/>
      <c r="H26" s="50" t="n"/>
      <c r="I26" s="6" t="n"/>
      <c r="J26" s="50" t="n"/>
    </row>
    <row r="27" ht="22" customHeight="1">
      <c r="A27" s="6" t="inlineStr">
        <is>
          <t>U-23</t>
        </is>
      </c>
      <c r="B27" s="50" t="n"/>
      <c r="C27" s="6" t="n"/>
      <c r="D27" s="6" t="n"/>
      <c r="E27" s="6" t="n"/>
      <c r="F27" s="6" t="n"/>
      <c r="G27" s="6" t="n"/>
      <c r="H27" s="50" t="n"/>
      <c r="I27" s="6" t="n"/>
      <c r="J27" s="50" t="n"/>
    </row>
    <row r="28" ht="22" customHeight="1">
      <c r="A28" s="6" t="inlineStr">
        <is>
          <t>U-24</t>
        </is>
      </c>
      <c r="B28" s="50" t="n"/>
      <c r="C28" s="6" t="n"/>
      <c r="D28" s="6" t="n"/>
      <c r="E28" s="6" t="n"/>
      <c r="F28" s="6" t="n"/>
      <c r="G28" s="6" t="n"/>
      <c r="H28" s="50" t="n"/>
      <c r="I28" s="6" t="n"/>
      <c r="J28" s="50" t="n"/>
    </row>
    <row r="29" ht="22" customHeight="1">
      <c r="A29" s="6" t="inlineStr">
        <is>
          <t>U-25</t>
        </is>
      </c>
      <c r="B29" s="50" t="n"/>
      <c r="C29" s="6" t="n"/>
      <c r="D29" s="6" t="n"/>
      <c r="E29" s="6" t="n"/>
      <c r="F29" s="6" t="n"/>
      <c r="G29" s="6" t="n"/>
      <c r="H29" s="50" t="n"/>
      <c r="I29" s="6" t="n"/>
      <c r="J29" s="50" t="n"/>
    </row>
    <row r="30" ht="22" customHeight="1">
      <c r="A30" s="6" t="inlineStr">
        <is>
          <t>U-26</t>
        </is>
      </c>
      <c r="B30" s="50" t="n"/>
      <c r="C30" s="6" t="n"/>
      <c r="D30" s="6" t="n"/>
      <c r="E30" s="6" t="n"/>
      <c r="F30" s="6" t="n"/>
      <c r="G30" s="6" t="n"/>
      <c r="H30" s="50" t="n"/>
      <c r="I30" s="6" t="n"/>
      <c r="J30" s="50" t="n"/>
    </row>
    <row r="31" ht="22" customHeight="1">
      <c r="A31" s="6" t="inlineStr">
        <is>
          <t>U-27</t>
        </is>
      </c>
      <c r="B31" s="50" t="n"/>
      <c r="C31" s="6" t="n"/>
      <c r="D31" s="6" t="n"/>
      <c r="E31" s="6" t="n"/>
      <c r="F31" s="6" t="n"/>
      <c r="G31" s="6" t="n"/>
      <c r="H31" s="50" t="n"/>
      <c r="I31" s="6" t="n"/>
      <c r="J31" s="50" t="n"/>
    </row>
    <row r="32" ht="22" customHeight="1">
      <c r="A32" s="6" t="inlineStr">
        <is>
          <t>U-28</t>
        </is>
      </c>
      <c r="B32" s="50" t="n"/>
      <c r="C32" s="6" t="n"/>
      <c r="D32" s="6" t="n"/>
      <c r="E32" s="6" t="n"/>
      <c r="F32" s="6" t="n"/>
      <c r="G32" s="6" t="n"/>
      <c r="H32" s="50" t="n"/>
      <c r="I32" s="6" t="n"/>
      <c r="J32" s="50" t="n"/>
    </row>
    <row r="33" ht="22" customHeight="1">
      <c r="A33" s="6" t="inlineStr">
        <is>
          <t>U-29</t>
        </is>
      </c>
      <c r="B33" s="50" t="n"/>
      <c r="C33" s="6" t="n"/>
      <c r="D33" s="6" t="n"/>
      <c r="E33" s="6" t="n"/>
      <c r="F33" s="6" t="n"/>
      <c r="G33" s="6" t="n"/>
      <c r="H33" s="50" t="n"/>
      <c r="I33" s="6" t="n"/>
      <c r="J33" s="50" t="n"/>
    </row>
    <row r="34" ht="22" customHeight="1">
      <c r="A34" s="6" t="inlineStr">
        <is>
          <t>U-30</t>
        </is>
      </c>
      <c r="B34" s="50" t="n"/>
      <c r="C34" s="6" t="n"/>
      <c r="D34" s="6" t="n"/>
      <c r="E34" s="6" t="n"/>
      <c r="F34" s="6" t="n"/>
      <c r="G34" s="6" t="n"/>
      <c r="H34" s="50" t="n"/>
      <c r="I34" s="6" t="n"/>
      <c r="J34" s="50" t="n"/>
    </row>
  </sheetData>
  <autoFilter ref="A4:J40"/>
  <mergeCells count="2">
    <mergeCell ref="A1:J1"/>
    <mergeCell ref="A2:J2"/>
  </mergeCells>
  <conditionalFormatting sqref="I5:I40">
    <cfRule type="expression" priority="1" dxfId="7">
      <formula>I5="Tamamlandı"</formula>
    </cfRule>
  </conditionalFormatting>
  <dataValidations count="1">
    <dataValidation sqref="I5:I40" showDropDown="0" showInputMessage="0" showErrorMessage="0" allowBlank="1" type="list">
      <formula1>=_Listeler!$A$1:$A$4</formula1>
    </dataValidation>
  </dataValidations>
  <printOptions horizontalCentered="1"/>
  <pageMargins left="0.4" right="0.4" top="0.6" bottom="0.5" header="0.25" footer="0.25"/>
  <pageSetup orientation="landscape" paperSize="9" fitToHeight="0" fitToWidth="1"/>
  <headerFooter>
    <oddHeader>&amp;LUygunsuzluk&amp;RÇevre takip dosyası  |  30.09.2026</oddHeader>
    <oddFooter>&amp;LSaha ölçümü ve analiz raporu içermez. İzin eki gelince ek esastır.&amp;RSayfa &amp;P / &amp;N</oddFooter>
    <evenHeader/>
    <evenFooter/>
    <firstHeader/>
    <firstFooter/>
  </headerFooter>
</worksheet>
</file>

<file path=xl/worksheets/sheet11.xml><?xml version="1.0" encoding="utf-8"?>
<worksheet xmlns="http://schemas.openxmlformats.org/spreadsheetml/2006/main">
  <sheetPr>
    <tabColor rgb="002C3E50"/>
    <outlinePr summaryBelow="1" summaryRight="1"/>
    <pageSetUpPr fitToPage="1"/>
  </sheetPr>
  <dimension ref="A1:B21"/>
  <sheetViews>
    <sheetView showGridLines="0" zoomScale="110" workbookViewId="0">
      <selection activeCell="A1" sqref="A1"/>
    </sheetView>
  </sheetViews>
  <sheetFormatPr baseColWidth="8" defaultRowHeight="15"/>
  <cols>
    <col width="8" customWidth="1" min="1" max="1"/>
    <col width="110" customWidth="1" min="2" max="2"/>
  </cols>
  <sheetData>
    <row r="1" ht="24" customHeight="1">
      <c r="A1" s="1" t="inlineStr">
        <is>
          <t>DANIŞMAN NOTLARI</t>
        </is>
      </c>
    </row>
    <row r="2">
      <c r="A2" s="2" t="inlineStr">
        <is>
          <t>Bu notlar 30.09.2026’da dört belge okunarak yazıldı. Saha ölçümü, analiz ve e-İzin eki yoktur.</t>
        </is>
      </c>
    </row>
    <row r="4" ht="36" customHeight="1">
      <c r="A4" s="57" t="n">
        <v>1</v>
      </c>
      <c r="B4" s="6" t="inlineStr">
        <is>
          <t>Uygunluk iddiası ancak analiz raporu ve debi ile kurulur. Eylül 2026 numunesi ‘alındı’ cümlesi sonuç değildir.</t>
        </is>
      </c>
    </row>
    <row r="5" ht="36" customHeight="1">
      <c r="A5" s="57" t="n">
        <v>2</v>
      </c>
      <c r="B5" s="6" t="inlineStr">
        <is>
          <t>Evsel debi büyük olsa da Tablo 21 uygulanmaz. Evsel ve endüstriyel su birlikte arıtıldığı için standart Tablo 5.9’dur.</t>
        </is>
      </c>
    </row>
    <row r="6" ht="36" customHeight="1">
      <c r="A6" s="57" t="n">
        <v>3</v>
      </c>
      <c r="B6" s="6" t="inlineStr">
        <is>
          <t>Tablo 5.9’da BOİ ve yağ-gres yoktur. Yasal kıyas KOİ, AKM ve pH iledir. Mum kaynaklı yağ işletmeyi bozarsa ölçülür; limite kendiliğinden eklenmez.</t>
        </is>
      </c>
    </row>
    <row r="7" ht="36" customHeight="1">
      <c r="A7" s="57" t="n">
        <v>4</v>
      </c>
      <c r="B7" s="6" t="inlineStr">
        <is>
          <t>Denetim numunesi normal işletmede alınan, debiyle orantılı iki saatlik kompozittir. İki saatten kısa deşarjda, deşarj süresi boyunca alınan kompozit bu limite kıyaslanır.</t>
        </is>
      </c>
    </row>
    <row r="8" ht="36" customHeight="1">
      <c r="A8" s="57" t="n">
        <v>5</v>
      </c>
      <c r="B8" s="6" t="inlineStr">
        <is>
          <t>Anlık numune kontrol amaçlıdır. KOİ veya AKM anlık sonucu limiti yüzde 20’den fazla aşarsa yaptırıma esas değerlendirilir. pH için 6-9 aynen uygulanır, yüzde 20 payı yoktur.</t>
        </is>
      </c>
    </row>
    <row r="9" ht="36" customHeight="1">
      <c r="A9" s="57" t="n">
        <v>6</v>
      </c>
      <c r="B9" s="6" t="inlineStr">
        <is>
          <t>İç izleme limiti aşarsa il müdürlüğüne haber verilir. Numune tarihinden itibaren on iş günü içinde iki numune daha alınır. Üç sonucun ortalaması limite uyuyorsa cezai işlem uygulanmaz.</t>
        </is>
      </c>
    </row>
    <row r="10" ht="36" customHeight="1">
      <c r="A10" s="57" t="n">
        <v>7</v>
      </c>
      <c r="B10" s="6" t="inlineStr">
        <is>
          <t>Bu sektörde düşürülecek ekstra parametre yoktur. İlk yıl üç uygun sonuç gelse de KOİ, AKM ve pH her kampanyada bakılır.</t>
        </is>
      </c>
    </row>
    <row r="11" ht="36" customHeight="1">
      <c r="A11" s="57" t="n">
        <v>8</v>
      </c>
      <c r="B11" s="6" t="inlineStr">
        <is>
          <t>Fiili debi 51-200 m³/gün ise iç izleme iki ayda bir, ilin denetime esas asgari sıklığı altı ayda birdir. Sürekli 50 ve altında dört aya inmek il müdürlüğünün yazısını gerektirir.</t>
        </is>
      </c>
    </row>
    <row r="12" ht="36" customHeight="1">
      <c r="A12" s="57" t="n">
        <v>9</v>
      </c>
      <c r="B12" s="6" t="inlineStr">
        <is>
          <t>90 m³/gün için SAİS, otomatik numune alma cihazı ve sürekli debi ölçer bu hükümle zorunlu değildir. Temsil edici numune noktası ve yazılı debi zorunlu iştir.</t>
        </is>
      </c>
    </row>
    <row r="13" ht="36" customHeight="1">
      <c r="A13" s="57" t="n">
        <v>10</v>
      </c>
      <c r="B13" s="6" t="inlineStr">
        <is>
          <t>Çevre görevlisi, B sınıfı tesis sorumlusunun yerine geçmez. Kimlikteki boş alan kapatılmadan personel yükümlülüğü tamamlanmış sayılmaz.</t>
        </is>
      </c>
    </row>
    <row r="14" ht="36" customHeight="1">
      <c r="A14" s="57" t="n">
        <v>11</v>
      </c>
      <c r="B14" s="6" t="inlineStr">
        <is>
          <t>19 08 13* kodu analiz olmadan hem yükümlülüğü ağırlaştırır hem denetimde sorgulanır. Analizden önce kodu tehlikesize çevirmeyin.</t>
        </is>
      </c>
    </row>
    <row r="15" ht="36" customHeight="1">
      <c r="A15" s="57" t="n">
        <v>12</v>
      </c>
      <c r="B15" s="6" t="inlineStr">
        <is>
          <t>Yıkama suyunu yağmur suyuyla aynı hatta verip dereye basmak arıtılmamış deşarjdır. İç tetkikteki 6.1.4 cümlesi bu yüzden önce sahada kapatılır.</t>
        </is>
      </c>
    </row>
    <row r="16" ht="36" customHeight="1">
      <c r="A16" s="57" t="n">
        <v>13</v>
      </c>
      <c r="B16" s="6" t="inlineStr">
        <is>
          <t>Klor Tablo 5.9’da yoktur. Nacarlı Deresi’ne yüksek serbest klor balık ölümüne yol açabilir. Doz, çıkış ölçümüne göre ayarlanır.</t>
        </is>
      </c>
    </row>
    <row r="17" ht="36" customHeight="1">
      <c r="A17" s="57" t="n">
        <v>14</v>
      </c>
      <c r="B17" s="6" t="inlineStr">
        <is>
          <t>İzin eki geldiğinde bu dosyadaki limit ve sıklık ekin altındadır. Ek farklıysa IcIzleme sayfasındaki limit hücrelerini güncelleyin.</t>
        </is>
      </c>
    </row>
    <row r="18" ht="36" customHeight="1">
      <c r="A18" s="57" t="n">
        <v>15</v>
      </c>
      <c r="B18" s="6" t="inlineStr">
        <is>
          <t>İşletme kayıtları, analizler ve atık belgeleri beş yıl saklanır.</t>
        </is>
      </c>
    </row>
    <row r="19" ht="36" customHeight="1">
      <c r="A19" s="57" t="n">
        <v>16</v>
      </c>
      <c r="B19" s="6" t="inlineStr">
        <is>
          <t>Personel sayısı, proje onay sayısı ve uygunluk yazısı sayısı iki raporda tutmuyor. Denetçi ikisini yan yana okur. Asıl evrak bulunup raporlara not düşülmeden dosya kapanmış sayılmaz.</t>
        </is>
      </c>
    </row>
    <row r="20" ht="36" customHeight="1">
      <c r="A20" s="57" t="n">
        <v>17</v>
      </c>
      <c r="B20" s="6" t="inlineStr">
        <is>
          <t>Doğu Akdeniz Havzası ve Nacarlı Deresi için dosyada ilave azot, fosfor veya balık biyodeneyi şartı görünmüyor. İzin eki veya havza yazısı böyle bir şart getirirse IcIzleme’ye sütun ekleyin.</t>
        </is>
      </c>
    </row>
    <row r="21" ht="36" customHeight="1">
      <c r="A21" s="57" t="n">
        <v>18</v>
      </c>
      <c r="B21" s="6" t="inlineStr">
        <is>
          <t>Bu çalışma notu idari işlem, izin belgesi veya uygunluk beyanı değildir.</t>
        </is>
      </c>
    </row>
  </sheetData>
  <mergeCells count="2">
    <mergeCell ref="A2:B2"/>
    <mergeCell ref="A1:B1"/>
  </mergeCells>
  <printOptions horizontalCentered="1"/>
  <pageMargins left="0.4" right="0.4" top="0.6" bottom="0.5" header="0.25" footer="0.25"/>
  <pageSetup orientation="portrait" paperSize="9" fitToHeight="0" fitToWidth="1"/>
  <headerFooter>
    <oddHeader>&amp;LDanışman notları&amp;RÇevre takip dosyası  |  30.09.2026</oddHeader>
    <oddFooter>&amp;LSaha ölçümü ve analiz raporu içermez. İzin eki gelince ek esastır.&amp;RSayfa &amp;P / &amp;N</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Açık</t>
        </is>
      </c>
      <c r="B1" t="inlineStr">
        <is>
          <t>Kritik</t>
        </is>
      </c>
      <c r="C1" t="inlineStr">
        <is>
          <t>Uygun</t>
        </is>
      </c>
      <c r="D1" t="inlineStr">
        <is>
          <t>Evet</t>
        </is>
      </c>
      <c r="E1" t="inlineStr">
        <is>
          <t>2 saatlik kompozit</t>
        </is>
      </c>
    </row>
    <row r="2">
      <c r="A2" t="inlineStr">
        <is>
          <t>Devam ediyor</t>
        </is>
      </c>
      <c r="B2" t="inlineStr">
        <is>
          <t>Yüksek</t>
        </is>
      </c>
      <c r="C2" t="inlineStr">
        <is>
          <t>Uygun değil</t>
        </is>
      </c>
      <c r="D2" t="inlineStr">
        <is>
          <t>Hayır</t>
        </is>
      </c>
      <c r="E2" t="inlineStr">
        <is>
          <t>Deşarj süresi kompoziti</t>
        </is>
      </c>
    </row>
    <row r="3">
      <c r="A3" t="inlineStr">
        <is>
          <t>Beklemede</t>
        </is>
      </c>
      <c r="B3" t="inlineStr">
        <is>
          <t>Orta</t>
        </is>
      </c>
      <c r="C3" t="inlineStr">
        <is>
          <t>Gözlenmedi</t>
        </is>
      </c>
      <c r="E3" t="inlineStr">
        <is>
          <t>Anlık (kontrol)</t>
        </is>
      </c>
    </row>
    <row r="4">
      <c r="A4" t="inlineStr">
        <is>
          <t>Tamamlandı</t>
        </is>
      </c>
      <c r="B4" t="inlineStr">
        <is>
          <t>Düşük</t>
        </is>
      </c>
      <c r="C4" t="inlineStr">
        <is>
          <t>Kapsam dışı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Çevre danışmanlığı çalışma dosyası</dc:creator>
  <dc:title xmlns:dc="http://purl.org/dc/elements/1.1/">Gündüz Mey-Pak Akdeniz Şubesi Çevre Takip</dc:title>
  <dc:description xmlns:dc="http://purl.org/dc/elements/1.1/">30.09.2026 tarihli belgeler üzerinden hazırlanmıştır. Saha ölçümü ve laboratuvar sonucu içermez.</dc:description>
  <dcterms:created xmlns:dcterms="http://purl.org/dc/terms/" xmlns:xsi="http://www.w3.org/2001/XMLSchema-instance" xsi:type="dcterms:W3CDTF">2026-09-30T05:50:10Z</dcterms:created>
  <dcterms:modified xmlns:dcterms="http://purl.org/dc/terms/" xmlns:xsi="http://www.w3.org/2001/XMLSchema-instance" xsi:type="dcterms:W3CDTF">2026-09-30T05:50:10Z</dcterms:modified>
</cp:coreProperties>
</file>
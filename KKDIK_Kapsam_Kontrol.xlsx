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dde Envanteri" sheetId="1" state="visible" r:id="rId1"/>
    <sheet xmlns:r="http://schemas.openxmlformats.org/officeDocument/2006/relationships" name="Rolüne Göre Ne Yapmalı" sheetId="2" state="visible" r:id="rId2"/>
    <sheet xmlns:r="http://schemas.openxmlformats.org/officeDocument/2006/relationships" name="Sistem ve Takvim" sheetId="3" state="visible" r:id="rId3"/>
    <sheet xmlns:r="http://schemas.openxmlformats.org/officeDocument/2006/relationships" name="Muafiyetler" sheetId="4" state="visible" r:id="rId4"/>
    <sheet xmlns:r="http://schemas.openxmlformats.org/officeDocument/2006/relationships" name="Nasıl Kullanılır" sheetId="5" state="visible" r:id="rId5"/>
  </sheets>
  <definedNames>
    <definedName name="_xlnm._FilterDatabase" localSheetId="0" hidden="1">'Madde Envanteri'!$A$10:$U$60</definedName>
    <definedName name="_xlnm.Print_Titles" localSheetId="0">'Madde Envanteri'!$1:$10</definedName>
  </definedNames>
  <calcPr calcMode="auto" calcId="0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0C2040"/>
      <sz val="10"/>
    </font>
    <font>
      <name val="Calibri"/>
      <b val="1"/>
      <color rgb="00FFFFFF"/>
      <sz val="9"/>
    </font>
    <font>
      <name val="Calibri"/>
      <color rgb="00FFFFFF"/>
      <sz val="9"/>
    </font>
    <font>
      <name val="Calibri"/>
      <b val="1"/>
      <color rgb="000C2040"/>
      <sz val="16"/>
    </font>
    <font>
      <name val="Calibri"/>
      <color rgb="000C2040"/>
      <sz val="16"/>
    </font>
    <font>
      <name val="Calibri"/>
      <color rgb="005A687A"/>
      <sz val="10"/>
    </font>
    <font>
      <name val="Calibri"/>
      <b val="1"/>
      <color rgb="00FFFFFF"/>
      <sz val="10"/>
    </font>
    <font>
      <name val="Calibri"/>
      <color rgb="00FFFFFF"/>
      <sz val="10"/>
    </font>
    <font>
      <name val="Calibri"/>
      <color rgb="001C2736"/>
      <sz val="10"/>
    </font>
    <font>
      <name val="Calibri"/>
      <b val="1"/>
      <color rgb="001C2736"/>
      <sz val="10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b val="1"/>
      <color rgb="001C2736"/>
      <sz val="11"/>
    </font>
    <font>
      <name val="Calibri"/>
      <color rgb="001C2736"/>
      <sz val="11"/>
    </font>
    <font>
      <name val="Calibri"/>
      <b val="1"/>
      <color rgb="00FFFFFF"/>
      <sz val="12"/>
    </font>
    <font>
      <name val="Calibri"/>
      <b val="1"/>
      <color rgb="000C2040"/>
      <sz val="11"/>
    </font>
    <font>
      <name val="Calibri"/>
      <b val="1"/>
      <color rgb="000C2040"/>
      <sz val="12"/>
    </font>
  </fonts>
  <fills count="13">
    <fill>
      <patternFill/>
    </fill>
    <fill>
      <patternFill patternType="gray125"/>
    </fill>
    <fill>
      <patternFill patternType="solid">
        <fgColor rgb="000C2040"/>
      </patternFill>
    </fill>
    <fill>
      <patternFill patternType="solid">
        <fgColor rgb="00E8F4F7"/>
      </patternFill>
    </fill>
    <fill>
      <patternFill patternType="solid">
        <fgColor rgb="00008C8E"/>
      </patternFill>
    </fill>
    <fill>
      <patternFill patternType="solid">
        <fgColor rgb="00FFFFFF"/>
      </patternFill>
    </fill>
    <fill>
      <patternFill patternType="solid">
        <fgColor rgb="00F3F4F6"/>
      </patternFill>
    </fill>
    <fill>
      <patternFill patternType="solid">
        <fgColor rgb="00C9942A"/>
      </patternFill>
    </fill>
    <fill>
      <patternFill patternType="solid">
        <fgColor rgb="00FFF3BF"/>
      </patternFill>
    </fill>
    <fill>
      <patternFill patternType="solid">
        <fgColor rgb="00F7F8FA"/>
      </patternFill>
    </fill>
    <fill>
      <patternFill patternType="solid">
        <fgColor rgb="00C44040"/>
      </patternFill>
    </fill>
    <fill>
      <patternFill patternType="solid">
        <fgColor rgb="001A8A63"/>
      </patternFill>
    </fill>
    <fill>
      <patternFill patternType="solid">
        <fgColor rgb="00FFF4E0"/>
      </patternFill>
    </fill>
  </fills>
  <borders count="10">
    <border>
      <left/>
      <right/>
      <top/>
      <bottom/>
      <diagonal/>
    </border>
    <border/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/>
      <right/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/>
      <diagonal/>
    </border>
    <border>
      <left/>
      <right style="thin">
        <color rgb="00D0D5DD"/>
      </right>
      <top style="thin">
        <color rgb="00D0D5DD"/>
      </top>
      <bottom style="thin">
        <color rgb="00D0D5DD"/>
      </bottom>
      <diagonal/>
    </border>
    <border>
      <left style="thin">
        <color rgb="00D0D5DD"/>
      </left>
      <right/>
      <top/>
      <bottom/>
      <diagonal/>
    </border>
    <border>
      <left/>
      <right style="thin">
        <color rgb="00D0D5DD"/>
      </right>
      <top/>
      <bottom/>
      <diagonal/>
    </border>
    <border>
      <left style="thin">
        <color rgb="00D0D5DD"/>
      </left>
      <right/>
      <top/>
      <bottom style="thin">
        <color rgb="00D0D5DD"/>
      </bottom>
      <diagonal/>
    </border>
    <border>
      <left/>
      <right style="thin">
        <color rgb="00D0D5DD"/>
      </right>
      <top/>
      <bottom style="thin">
        <color rgb="00D0D5DD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3" borderId="1" applyAlignment="1" pivotButton="0" quotePrefix="0" xfId="0">
      <alignment vertical="center" wrapText="1"/>
    </xf>
    <xf numFmtId="0" fontId="0" fillId="3" borderId="1" pivotButton="0" quotePrefix="0" xfId="0"/>
    <xf numFmtId="0" fontId="3" fillId="4" borderId="2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5" borderId="2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7" fillId="6" borderId="1" applyAlignment="1" pivotButton="0" quotePrefix="0" xfId="0">
      <alignment vertical="center"/>
    </xf>
    <xf numFmtId="0" fontId="0" fillId="6" borderId="1" pivotButton="0" quotePrefix="0" xfId="0"/>
    <xf numFmtId="0" fontId="8" fillId="4" borderId="2" applyAlignment="1" pivotButton="0" quotePrefix="0" xfId="0">
      <alignment horizontal="center"/>
    </xf>
    <xf numFmtId="0" fontId="9" fillId="4" borderId="2" pivotButton="0" quotePrefix="0" xfId="0"/>
    <xf numFmtId="0" fontId="8" fillId="2" borderId="2" applyAlignment="1" pivotButton="0" quotePrefix="0" xfId="0">
      <alignment horizontal="center"/>
    </xf>
    <xf numFmtId="0" fontId="9" fillId="2" borderId="2" pivotButton="0" quotePrefix="0" xfId="0"/>
    <xf numFmtId="0" fontId="8" fillId="7" borderId="2" applyAlignment="1" pivotButton="0" quotePrefix="0" xfId="0">
      <alignment horizontal="center"/>
    </xf>
    <xf numFmtId="0" fontId="9" fillId="7" borderId="2" pivotButton="0" quotePrefix="0" xfId="0"/>
    <xf numFmtId="0" fontId="8" fillId="2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left" vertical="center" wrapText="1"/>
    </xf>
    <xf numFmtId="49" fontId="10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2" fontId="10" fillId="8" borderId="2" applyAlignment="1" pivotButton="0" quotePrefix="0" xfId="0">
      <alignment horizontal="center" vertical="center" wrapText="1"/>
    </xf>
    <xf numFmtId="0" fontId="10" fillId="9" borderId="2" applyAlignment="1" pivotButton="0" quotePrefix="0" xfId="0">
      <alignment horizontal="center" vertical="center" wrapText="1"/>
    </xf>
    <xf numFmtId="2" fontId="10" fillId="5" borderId="2" applyAlignment="1" pivotButton="0" quotePrefix="0" xfId="0">
      <alignment horizontal="center" vertical="center" wrapText="1"/>
    </xf>
    <xf numFmtId="0" fontId="8" fillId="10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10" fillId="5" borderId="2" applyAlignment="1" pivotButton="0" quotePrefix="0" xfId="0">
      <alignment horizontal="left" vertical="center" wrapText="1"/>
    </xf>
    <xf numFmtId="2" fontId="10" fillId="9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left" vertical="center" wrapText="1"/>
    </xf>
    <xf numFmtId="0" fontId="10" fillId="9" borderId="2" applyAlignment="1" pivotButton="0" quotePrefix="0" xfId="0">
      <alignment horizontal="left" vertical="center" wrapText="1"/>
    </xf>
    <xf numFmtId="0" fontId="11" fillId="5" borderId="2" applyAlignment="1" pivotButton="0" quotePrefix="0" xfId="0">
      <alignment horizontal="left" vertical="center" wrapText="1"/>
    </xf>
    <xf numFmtId="0" fontId="11" fillId="9" borderId="2" applyAlignment="1" pivotButton="0" quotePrefix="0" xfId="0">
      <alignment horizontal="left" vertical="center" wrapText="1"/>
    </xf>
    <xf numFmtId="0" fontId="12" fillId="2" borderId="1" applyAlignment="1" pivotButton="0" quotePrefix="0" xfId="0">
      <alignment vertical="center"/>
    </xf>
    <xf numFmtId="0" fontId="13" fillId="4" borderId="2" applyAlignment="1" pivotButton="0" quotePrefix="0" xfId="0">
      <alignment vertical="center" wrapText="1"/>
    </xf>
    <xf numFmtId="0" fontId="14" fillId="6" borderId="2" applyAlignment="1" pivotButton="0" quotePrefix="0" xfId="0">
      <alignment vertical="center" wrapText="1"/>
    </xf>
    <xf numFmtId="0" fontId="15" fillId="6" borderId="2" applyAlignment="1" pivotButton="0" quotePrefix="0" xfId="0">
      <alignment vertical="center" wrapText="1"/>
    </xf>
    <xf numFmtId="0" fontId="14" fillId="5" borderId="2" applyAlignment="1" pivotButton="0" quotePrefix="0" xfId="0">
      <alignment vertical="center" wrapText="1"/>
    </xf>
    <xf numFmtId="0" fontId="15" fillId="5" borderId="2" applyAlignment="1" pivotButton="0" quotePrefix="0" xfId="0">
      <alignment vertical="center" wrapText="1"/>
    </xf>
    <xf numFmtId="0" fontId="16" fillId="2" borderId="1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12" borderId="2" applyAlignment="1" pivotButton="0" quotePrefix="0" xfId="0">
      <alignment vertical="center" wrapText="1"/>
    </xf>
    <xf numFmtId="0" fontId="15" fillId="12" borderId="2" applyAlignment="1" pivotButton="0" quotePrefix="0" xfId="0">
      <alignment vertical="center" wrapText="1"/>
    </xf>
    <xf numFmtId="49" fontId="0" fillId="0" borderId="0" pivotButton="0" quotePrefix="0" xfId="0"/>
    <xf numFmtId="0" fontId="12" fillId="2" borderId="1" applyAlignment="1" pivotButton="0" quotePrefix="0" xfId="0">
      <alignment vertical="center" wrapText="1"/>
    </xf>
    <xf numFmtId="0" fontId="18" fillId="3" borderId="1" applyAlignment="1" pivotButton="0" quotePrefix="0" xfId="0">
      <alignment vertical="center" wrapText="1"/>
    </xf>
    <xf numFmtId="0" fontId="15" fillId="5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ont>
        <name val="Calibri"/>
        <b val="1"/>
        <color rgb="00FFFFFF"/>
        <sz val="10"/>
      </font>
      <fill>
        <patternFill patternType="solid">
          <fgColor rgb="00C44040"/>
        </patternFill>
      </fill>
    </dxf>
    <dxf>
      <font>
        <name val="Calibri"/>
        <b val="1"/>
        <color rgb="00FFFFFF"/>
        <sz val="10"/>
      </font>
      <fill>
        <patternFill patternType="solid">
          <fgColor rgb="000C2040"/>
        </patternFill>
      </fill>
    </dxf>
    <dxf>
      <font>
        <name val="Calibri"/>
        <b val="1"/>
        <color rgb="00FFFFFF"/>
        <sz val="10"/>
      </font>
      <fill>
        <patternFill patternType="solid">
          <fgColor rgb="001A8A63"/>
        </patternFill>
      </fill>
    </dxf>
    <dxf>
      <font>
        <name val="Calibri"/>
        <b val="1"/>
        <color rgb="000C2040"/>
        <sz val="10"/>
      </font>
      <fill>
        <patternFill patternType="solid">
          <fgColor rgb="00FFF4E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4040"/>
    <outlinePr summaryBelow="1" summaryRight="1"/>
    <pageSetUpPr fitToPage="1"/>
  </sheetPr>
  <dimension ref="A1:U60"/>
  <sheetViews>
    <sheetView showGridLines="0" tabSelected="1" zoomScale="10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28" customWidth="1" min="4" max="4"/>
    <col width="12" customWidth="1" min="5" max="5"/>
    <col width="10" customWidth="1" min="6" max="6"/>
    <col width="12" customWidth="1" min="7" max="7"/>
    <col width="14" customWidth="1" min="8" max="8"/>
    <col width="22" customWidth="1" min="9" max="9"/>
    <col width="12" customWidth="1" min="10" max="10"/>
    <col width="14" customWidth="1" min="11" max="11"/>
    <col width="16" customWidth="1" min="12" max="12"/>
    <col width="12" customWidth="1" min="13" max="13"/>
    <col width="14" customWidth="1" min="14" max="14"/>
    <col width="14" customWidth="1" min="15" max="15"/>
    <col width="14" customWidth="1" min="16" max="16"/>
    <col width="36" customWidth="1" min="17" max="17"/>
    <col width="16" customWidth="1" min="18" max="18"/>
    <col width="16" customWidth="1" min="19" max="19"/>
    <col width="55" customWidth="1" min="20" max="20"/>
    <col width="48" customWidth="1" min="21" max="21"/>
  </cols>
  <sheetData>
    <row r="1" ht="28" customHeight="1">
      <c r="A1" s="1" t="inlineStr">
        <is>
          <t>KKDİK YÖNETMELİĞİ  •  MADDE KAPSAM KONTROLÜ VE YAPILACAKLAR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</row>
    <row r="2" ht="18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</row>
    <row r="3" ht="22" customHeight="1">
      <c r="A3" s="3" t="inlineStr">
        <is>
          <t>Sarı hücreleri doldurun. Kayıt = TR yerleşik imalatçı / ithalatçı / tek temsilci + madde ≥1 t/yıl + muafiyet yok.  Geçici kayıt son tarihi 30.09.2026  •  Tam kayıt 31.12.2026 / 2028 / 2030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</row>
    <row r="4" ht="32" customHeight="1">
      <c r="E4" s="5" t="inlineStr">
        <is>
          <t>Kayıt kapsamındaki satır</t>
        </is>
      </c>
      <c r="F4" s="6" t="n"/>
      <c r="H4" s="5" t="inlineStr">
        <is>
          <t>Geçici kayıt (30.09.2026) gereken</t>
        </is>
      </c>
      <c r="I4" s="6" t="n"/>
      <c r="K4" s="5" t="inlineStr">
        <is>
          <t>Kayıt yok / muaf / alt kullanıcı</t>
        </is>
      </c>
      <c r="L4" s="6" t="n"/>
      <c r="N4" s="5" t="inlineStr">
        <is>
          <t>2026 tam kayıt bandı</t>
        </is>
      </c>
      <c r="O4" s="6" t="n"/>
      <c r="Q4" s="5" t="inlineStr">
        <is>
          <t>2028 bandı</t>
        </is>
      </c>
      <c r="R4" s="6" t="n"/>
      <c r="T4" s="5" t="inlineStr">
        <is>
          <t>2030 bandı</t>
        </is>
      </c>
      <c r="U4" s="6" t="n"/>
    </row>
    <row r="5" ht="22" customHeight="1">
      <c r="E5" s="7">
        <f>COUNTIF(Q11:Q60,"KAYIT KAPSAMINDA")</f>
        <v>3</v>
      </c>
      <c r="F5" s="8" t="n"/>
      <c r="H5" s="7">
        <f>COUNTIF(S11:S60,"30.09.2026")</f>
        <v>3</v>
      </c>
      <c r="I5" s="8" t="n"/>
      <c r="K5" s="7">
        <f>COUNTA(Q11:Q60)-C5</f>
        <v>5</v>
      </c>
      <c r="L5" s="8" t="n"/>
      <c r="N5" s="7">
        <f>COUNTIF(R11:R60,"31.12.2026")</f>
        <v>2</v>
      </c>
      <c r="O5" s="8" t="n"/>
      <c r="Q5" s="7">
        <f>COUNTIF(R11:R60,"31.12.2028")</f>
        <v>0</v>
      </c>
      <c r="R5" s="8" t="n"/>
      <c r="T5" s="7">
        <f>COUNTIF(R11:R60,"31.12.2030")</f>
        <v>1</v>
      </c>
      <c r="U5" s="8" t="n"/>
    </row>
    <row r="6" ht="18" customHeight="1">
      <c r="E6" s="8" t="n"/>
      <c r="F6" s="8" t="n"/>
      <c r="H6" s="8" t="n"/>
      <c r="I6" s="8" t="n"/>
      <c r="K6" s="8" t="n"/>
      <c r="L6" s="8" t="n"/>
      <c r="N6" s="8" t="n"/>
      <c r="O6" s="8" t="n"/>
      <c r="Q6" s="8" t="n"/>
      <c r="R6" s="8" t="n"/>
      <c r="T6" s="8" t="n"/>
      <c r="U6" s="8" t="n"/>
    </row>
    <row r="8">
      <c r="A8" s="9" t="inlineStr">
        <is>
          <t>İlk 8 satır örnek senaryodur; kendi maddelerinizle değiştirin. Formül sütunlarını (P–U) silmeyin. Kaynak: KKDİK RG 30105 Mükerrer, değişiklik 32408, Usul ve Esaslar 05.08.2025.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A9" s="11" t="inlineStr">
        <is>
          <t>GİRDİ (sarı)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3" t="inlineStr">
        <is>
          <t>HESAP</t>
        </is>
      </c>
      <c r="O9" s="14" t="n"/>
      <c r="P9" s="14" t="n"/>
      <c r="Q9" s="15" t="inlineStr">
        <is>
          <t>SONUÇ — KAPSAM VE YAPILACAK</t>
        </is>
      </c>
      <c r="R9" s="16" t="n"/>
      <c r="S9" s="16" t="n"/>
      <c r="T9" s="16" t="n"/>
      <c r="U9" s="16" t="n"/>
    </row>
    <row r="10" ht="36" customHeight="1">
      <c r="A10" s="17" t="inlineStr">
        <is>
          <t>Madde / ürün adı</t>
        </is>
      </c>
      <c r="B10" s="17" t="inlineStr">
        <is>
          <t>CAS</t>
        </is>
      </c>
      <c r="C10" s="17" t="inlineStr">
        <is>
          <t>Ürün tipi</t>
        </is>
      </c>
      <c r="D10" s="17" t="inlineStr">
        <is>
          <t>Rolünüz</t>
        </is>
      </c>
      <c r="E10" s="17" t="inlineStr">
        <is>
          <t>Yıllık miktar</t>
        </is>
      </c>
      <c r="F10" s="17" t="inlineStr">
        <is>
          <t>Birim</t>
        </is>
      </c>
      <c r="G10" s="17" t="inlineStr">
        <is>
          <t>Madde %</t>
        </is>
      </c>
      <c r="H10" s="17" t="inlineStr">
        <is>
          <t>Tek temsilci?</t>
        </is>
      </c>
      <c r="I10" s="17" t="inlineStr">
        <is>
          <t>Muafiyet</t>
        </is>
      </c>
      <c r="J10" s="17" t="inlineStr">
        <is>
          <t>CMR 1A/1B?</t>
        </is>
      </c>
      <c r="K10" s="17" t="inlineStr">
        <is>
          <t>Sucul A1/K1?</t>
        </is>
      </c>
      <c r="L10" s="17" t="inlineStr">
        <is>
          <t>Kasıtlı salınım?</t>
        </is>
      </c>
      <c r="M10" s="17" t="inlineStr">
        <is>
          <t>SVHC ≥%0,1 eşya?</t>
        </is>
      </c>
      <c r="N10" s="17" t="inlineStr">
        <is>
          <t>Tedarikçi (isteğe bağlı)</t>
        </is>
      </c>
      <c r="O10" s="17" t="inlineStr">
        <is>
          <t>Not</t>
        </is>
      </c>
      <c r="P10" s="17" t="inlineStr">
        <is>
          <t>Madde t/yıl</t>
        </is>
      </c>
      <c r="Q10" s="17" t="inlineStr">
        <is>
          <t>Kayıt durumu</t>
        </is>
      </c>
      <c r="R10" s="17" t="inlineStr">
        <is>
          <t>Tam kayıt son tarihi</t>
        </is>
      </c>
      <c r="S10" s="17" t="inlineStr">
        <is>
          <t>Geçici kayıt</t>
        </is>
      </c>
      <c r="T10" s="17" t="inlineStr">
        <is>
          <t>Ne yapmalısınız</t>
        </is>
      </c>
      <c r="U10" s="17" t="inlineStr">
        <is>
          <t>Gerekçe</t>
        </is>
      </c>
    </row>
    <row r="11" ht="48" customHeight="1">
      <c r="A11" s="18" t="inlineStr">
        <is>
          <t>Stiren (reçine karışımı içinde)</t>
        </is>
      </c>
      <c r="B11" s="19" t="inlineStr">
        <is>
          <t>100-42-5</t>
        </is>
      </c>
      <c r="C11" s="20" t="inlineStr">
        <is>
          <t>Karışım</t>
        </is>
      </c>
      <c r="D11" s="20" t="inlineStr">
        <is>
          <t>İthalatçı</t>
        </is>
      </c>
      <c r="E11" s="21" t="n">
        <v>12</v>
      </c>
      <c r="F11" s="20" t="inlineStr">
        <is>
          <t>ton</t>
        </is>
      </c>
      <c r="G11" s="21" t="n">
        <v>40</v>
      </c>
      <c r="H11" s="20" t="inlineStr">
        <is>
          <t>Hayır</t>
        </is>
      </c>
      <c r="I11" s="20" t="inlineStr">
        <is>
          <t>Yok</t>
        </is>
      </c>
      <c r="J11" s="20" t="inlineStr">
        <is>
          <t>Hayır</t>
        </is>
      </c>
      <c r="K11" s="20" t="inlineStr">
        <is>
          <t>Hayır</t>
        </is>
      </c>
      <c r="L11" s="20" t="inlineStr">
        <is>
          <t>Hayır</t>
        </is>
      </c>
      <c r="M11" s="20" t="inlineStr">
        <is>
          <t>Hayır</t>
        </is>
      </c>
      <c r="N11" s="22" t="n"/>
      <c r="O11" s="22" t="n"/>
      <c r="P11" s="23">
        <f>IF(OR(E11="",F11=""),"",IF(F11="kg",E11/1000,E11)*IF(C11="Karışım",IF(G11="",0,G11/100),1))</f>
        <v>4.8000</v>
      </c>
      <c r="Q11" s="24" t="str">
        <f>IF(OR(D11="",E11=""),"",IF(AND(I11&lt;&gt;"",I11&lt;&gt;"Yok"),"Kayıt muaf",IF(OR(D11="Alt kullanıcı",D11="Dağıtıcı"),"Kayıt yok — alt kullanıcı / dağıtıcı",IF(AND(D11="İthalatçı",H11="Evet"),"Kayıt yok — tek temsilci sizi kapsar",IF(D11="Eşya üreticisi / ithalatçısı",IF(AND(P11&gt;=1,L11="Evet"),"KAYIT KAPSAMINDA",IF(AND(P11&gt;=1,M11="Evet"),"Bildirim (SVHC / eşya)",IF(P11&gt;=1,"Kayıt yok — eşyada kasıtlı salınım yok","Kayıt yok — 1 ton altı"))),IF(P11&lt;1,"Kayıt yok — 1 ton altı",IF(OR(D11="İmalatçı",D11="İthalatçı",D11="Tek temsilci"),"KAYIT KAPSAMINDA","Rolü kontrol edin")))))))</f>
        <v>KAYIT KAPSAMINDA</v>
      </c>
      <c r="R11" s="25" t="str">
        <f>IF(Q11&lt;&gt;"KAYIT KAPSAMINDA","",IF(J11="Evet","31.12.2026",IF(AND(K11="Evet",P11&gt;=100),"31.12.2026",IF(P11&gt;=1000,"31.12.2026",IF(P11&gt;=100,"31.12.2028","31.12.2030")))))</f>
        <v>31.12.2030</v>
      </c>
      <c r="S11" s="25" t="str">
        <f>IF(Q11="KAYIT KAPSAMINDA","30.09.2026","")</f>
        <v>30.09.2026</v>
      </c>
      <c r="T11" s="26" t="str">
        <f>IF(Q11="","",IF(Q11="KAYIT KAPSAMINDA","30.09.2026’ya kadar KKS’den geçici kayıt (lider yoksa bireysel + gerekçe). Tam kayıt son tarihi "&amp;R11&amp;". KDU ile dosya, harç ve GBF.",IF(Q11="Kayıt muaf","Kayıt yok. Muafiyet dayanağını (Ek no) dosyada saklayın. GBF / SEA yükümlülüğü ayrı durabilir.",IF(Q11="Kayıt yok — alt kullanıcı / dağıtıcı","Kayıt tedarikçinindir. Türkçe KKDİK GBF isteyin, kullanıma uyun, izin/kısıtlama kontrol edin.",IF(Q11="Kayıt yok — tek temsilci sizi kapsar","Tek temsilci kaydı sizi kapsamalı. Atama yazısını ve sizin ithalatınızın dahil olduğunu teyit edin.",IF(Q11="Kayıt yok — 1 ton altı","Kayıt eşiği altında. Yıl içinde tonajı izleyin; 1 tona ulaşırsa yükümlülük o anda doğar. GBF devam eder.",IF(Q11="Kayıt yok — eşyada kasıtlı salınım yok","Eşyada kasıtlı salınım yoksa kayıt yok. SVHC ≥ %0,1 ve ≥1 ton ise bildirim doğabilir.",IF(Q11="Bildirim (SVHC / eşya)","Eşya içi SVHC bildirimi değerlendirin (Madde 8). Müşteriye güvenli kullanım bilgisini verin.","Rol net değil. Gümrük beyannamesi, fatura ve tek temsilci yazısıyla ithalatçı mısınız bakın."))))))))</f>
        <v>30.09.2026’ya kadar KKS’den geçici kayıt (lider yoksa bireysel + gerekçe). Tam kayıt son tarihi 31.12.2030. KDU ile dosya, harç ve GBF.</v>
      </c>
      <c r="U11" s="26" t="str">
        <f>IF(Q11="","",IF(Q11="Kayıt muaf","Muafiyet seçildi: "&amp;I11&amp;".",IF(Q11="Kayıt yok — alt kullanıcı / dağıtıcı","Yurt içi tedarik / dağıtım rolünde kayıt ettiren siz değilsiniz.",IF(Q11="Kayıt yok — tek temsilci sizi kapsar","Yabancı üreticinin tek temsilcisi ithalatçı yükümlülüğünü üstlenir.",IF(Q11="Kayıt yok — eşyada kasıtlı salınım yok","Eşya kaydı yalnızca kasıtlı salınım tasarlanmışsa doğar.",IF(Q11="Bildirim (SVHC / eşya)","Eşyada SVHC ≥ %0,1 ve madde ≥1 ton — bildirim değerlendirmesi.",IF(Q11="Kayıt yok — 1 ton altı","Kayıt eşiği: kayıt ettiren başına yılda 1 ton.",IF(Q11="KAYIT KAPSAMINDA",IF(J11="Evet","Türkiye’de yerleşik kayıt ettiren, madde ≥1 t/yıl. CMR 1A/1B tam kaydı 31.12.2026’ya çeker.",IF(AND(K11="Evet",P11&gt;=100),"Türkiye’de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Türkiye’de yerleşik imalatçı / ithalatçı / tek temsilci ve madde ≥1 t/yıl.</v>
      </c>
    </row>
    <row r="12" ht="48" customHeight="1">
      <c r="A12" s="18" t="inlineStr">
        <is>
          <t>Aseton — yurt içi tedarikçi</t>
        </is>
      </c>
      <c r="B12" s="19" t="inlineStr">
        <is>
          <t>67-64-1</t>
        </is>
      </c>
      <c r="C12" s="20" t="inlineStr">
        <is>
          <t>Madde</t>
        </is>
      </c>
      <c r="D12" s="20" t="inlineStr">
        <is>
          <t>Alt kullanıcı</t>
        </is>
      </c>
      <c r="E12" s="21" t="n">
        <v>20</v>
      </c>
      <c r="F12" s="20" t="inlineStr">
        <is>
          <t>ton</t>
        </is>
      </c>
      <c r="G12" s="21" t="n">
        <v>100</v>
      </c>
      <c r="H12" s="20" t="inlineStr">
        <is>
          <t>Hayır</t>
        </is>
      </c>
      <c r="I12" s="20" t="inlineStr">
        <is>
          <t>Yok</t>
        </is>
      </c>
      <c r="J12" s="20" t="inlineStr">
        <is>
          <t>Hayır</t>
        </is>
      </c>
      <c r="K12" s="20" t="inlineStr">
        <is>
          <t>Hayır</t>
        </is>
      </c>
      <c r="L12" s="20" t="inlineStr">
        <is>
          <t>Hayır</t>
        </is>
      </c>
      <c r="M12" s="20" t="inlineStr">
        <is>
          <t>Hayır</t>
        </is>
      </c>
      <c r="N12" s="22" t="n"/>
      <c r="O12" s="22" t="n"/>
      <c r="P12" s="27">
        <f>IF(OR(E12="",F12=""),"",IF(F12="kg",E12/1000,E12)*IF(C12="Karışım",IF(G12="",0,G12/100),1))</f>
        <v>20.0000</v>
      </c>
      <c r="Q12" s="28" t="str">
        <f>IF(OR(D12="",E12=""),"",IF(AND(I12&lt;&gt;"",I12&lt;&gt;"Yok"),"Kayıt muaf",IF(OR(D12="Alt kullanıcı",D12="Dağıtıcı"),"Kayıt yok — alt kullanıcı / dağıtıcı",IF(AND(D12="İthalatçı",H12="Evet"),"Kayıt yok — tek temsilci sizi kapsar",IF(D12="Eşya üreticisi / ithalatçısı",IF(AND(P12&gt;=1,L12="Evet"),"KAYIT KAPSAMINDA",IF(AND(P12&gt;=1,M12="Evet"),"Bildirim (SVHC / eşya)",IF(P12&gt;=1,"Kayıt yok — eşyada kasıtlı salınım yok","Kayıt yok — 1 ton altı"))),IF(P12&lt;1,"Kayıt yok — 1 ton altı",IF(OR(D12="İmalatçı",D12="İthalatçı",D12="Tek temsilci"),"KAYIT KAPSAMINDA","Rolü kontrol edin")))))))</f>
        <v>Kayıt yok — alt kullanıcı / dağıtıcı</v>
      </c>
      <c r="R12" s="22">
        <f>IF(Q12&lt;&gt;"KAYIT KAPSAMINDA","",IF(J12="Evet","31.12.2026",IF(AND(K12="Evet",P12&gt;=100),"31.12.2026",IF(P12&gt;=1000,"31.12.2026",IF(P12&gt;=100,"31.12.2028","31.12.2030")))))</f>
        <v/>
      </c>
      <c r="S12" s="22">
        <f>IF(Q12="KAYIT KAPSAMINDA","30.09.2026","")</f>
        <v/>
      </c>
      <c r="T12" s="29" t="str">
        <f>IF(Q12="","",IF(Q12="KAYIT KAPSAMINDA","30.09.2026’ya kadar KKS’den geçici kayıt (lider yoksa bireysel + gerekçe). Tam kayıt son tarihi "&amp;R12&amp;". KDU ile dosya, harç ve GBF.",IF(Q12="Kayıt muaf","Kayıt yok. Muafiyet dayanağını (Ek no) dosyada saklayın. GBF / SEA yükümlülüğü ayrı durabilir.",IF(Q12="Kayıt yok — alt kullanıcı / dağıtıcı","Kayıt tedarikçinindir. Türkçe KKDİK GBF isteyin, kullanıma uyun, izin/kısıtlama kontrol edin.",IF(Q12="Kayıt yok — tek temsilci sizi kapsar","Tek temsilci kaydı sizi kapsamalı. Atama yazısını ve sizin ithalatınızın dahil olduğunu teyit edin.",IF(Q12="Kayıt yok — 1 ton altı","Kayıt eşiği altında. Yıl içinde tonajı izleyin; 1 tona ulaşırsa yükümlülük o anda doğar. GBF devam eder.",IF(Q12="Kayıt yok — eşyada kasıtlı salınım yok","Eşyada kasıtlı salınım yoksa kayıt yok. SVHC ≥ %0,1 ve ≥1 ton ise bildirim doğabilir.",IF(Q12="Bildirim (SVHC / eşya)","Eşya içi SVHC bildirimi değerlendirin (Madde 8). Müşteriye güvenli kullanım bilgisini verin.","Rol net değil. Gümrük beyannamesi, fatura ve tek temsilci yazısıyla ithalatçı mısınız bakın."))))))))</f>
        <v>Kayıt tedarikçinindir. Türkçe KKDİK GBF isteyin, kullanıma uyun, izin/kısıtlama kontrol edin.</v>
      </c>
      <c r="U12" s="29" t="str">
        <f>IF(Q12="","",IF(Q12="Kayıt muaf","Muafiyet seçildi: "&amp;I12&amp;".",IF(Q12="Kayıt yok — alt kullanıcı / dağıtıcı","Yurt içi tedarik / dağıtım rolünde kayıt ettiren siz değilsiniz.",IF(Q12="Kayıt yok — tek temsilci sizi kapsar","Yabancı üreticinin tek temsilcisi ithalatçı yükümlülüğünü üstlenir.",IF(Q12="Kayıt yok — eşyada kasıtlı salınım yok","Eşya kaydı yalnızca kasıtlı salınım tasarlanmışsa doğar.",IF(Q12="Bildirim (SVHC / eşya)","Eşyada SVHC ≥ %0,1 ve madde ≥1 ton — bildirim değerlendirmesi.",IF(Q12="Kayıt yok — 1 ton altı","Kayıt eşiği: kayıt ettiren başına yılda 1 ton.",IF(Q12="KAYIT KAPSAMINDA",IF(J12="Evet","Türkiye’de yerleşik kayıt ettiren, madde ≥1 t/yıl. CMR 1A/1B tam kaydı 31.12.2026’ya çeker.",IF(AND(K12="Evet",P12&gt;=100),"Türkiye’de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Yurt içi tedarik / dağıtım rolünde kayıt ettiren siz değilsiniz.</v>
      </c>
    </row>
    <row r="13" ht="48" customHeight="1">
      <c r="A13" s="18" t="inlineStr">
        <is>
          <t>Katalizör (yıllık 400 kg ithalat)</t>
        </is>
      </c>
      <c r="B13" s="19" t="inlineStr">
        <is>
          <t>—</t>
        </is>
      </c>
      <c r="C13" s="20" t="inlineStr">
        <is>
          <t>Madde</t>
        </is>
      </c>
      <c r="D13" s="20" t="inlineStr">
        <is>
          <t>İthalatçı</t>
        </is>
      </c>
      <c r="E13" s="21" t="n">
        <v>400</v>
      </c>
      <c r="F13" s="20" t="inlineStr">
        <is>
          <t>kg</t>
        </is>
      </c>
      <c r="G13" s="21" t="n">
        <v>100</v>
      </c>
      <c r="H13" s="20" t="inlineStr">
        <is>
          <t>Hayır</t>
        </is>
      </c>
      <c r="I13" s="20" t="inlineStr">
        <is>
          <t>Yok</t>
        </is>
      </c>
      <c r="J13" s="20" t="inlineStr">
        <is>
          <t>Hayır</t>
        </is>
      </c>
      <c r="K13" s="20" t="inlineStr">
        <is>
          <t>Hayır</t>
        </is>
      </c>
      <c r="L13" s="20" t="inlineStr">
        <is>
          <t>Hayır</t>
        </is>
      </c>
      <c r="M13" s="20" t="inlineStr">
        <is>
          <t>Hayır</t>
        </is>
      </c>
      <c r="N13" s="22" t="n"/>
      <c r="O13" s="22" t="n"/>
      <c r="P13" s="23">
        <f>IF(OR(E13="",F13=""),"",IF(F13="kg",E13/1000,E13)*IF(C13="Karışım",IF(G13="",0,G13/100),1))</f>
        <v>0.4000</v>
      </c>
      <c r="Q13" s="28" t="str">
        <f>IF(OR(D13="",E13=""),"",IF(AND(I13&lt;&gt;"",I13&lt;&gt;"Yok"),"Kayıt muaf",IF(OR(D13="Alt kullanıcı",D13="Dağıtıcı"),"Kayıt yok — alt kullanıcı / dağıtıcı",IF(AND(D13="İthalatçı",H13="Evet"),"Kayıt yok — tek temsilci sizi kapsar",IF(D13="Eşya üreticisi / ithalatçısı",IF(AND(P13&gt;=1,L13="Evet"),"KAYIT KAPSAMINDA",IF(AND(P13&gt;=1,M13="Evet"),"Bildirim (SVHC / eşya)",IF(P13&gt;=1,"Kayıt yok — eşyada kasıtlı salınım yok","Kayıt yok — 1 ton altı"))),IF(P13&lt;1,"Kayıt yok — 1 ton altı",IF(OR(D13="İmalatçı",D13="İthalatçı",D13="Tek temsilci"),"KAYIT KAPSAMINDA","Rolü kontrol edin")))))))</f>
        <v>Kayıt yok — 1 ton altı</v>
      </c>
      <c r="R13" s="25">
        <f>IF(Q13&lt;&gt;"KAYIT KAPSAMINDA","",IF(J13="Evet","31.12.2026",IF(AND(K13="Evet",P13&gt;=100),"31.12.2026",IF(P13&gt;=1000,"31.12.2026",IF(P13&gt;=100,"31.12.2028","31.12.2030")))))</f>
        <v/>
      </c>
      <c r="S13" s="25">
        <f>IF(Q13="KAYIT KAPSAMINDA","30.09.2026","")</f>
        <v/>
      </c>
      <c r="T13" s="26" t="str">
        <f>IF(Q13="","",IF(Q13="KAYIT KAPSAMINDA","30.09.2026’ya kadar KKS’den geçici kayıt (lider yoksa bireysel + gerekçe). Tam kayıt son tarihi "&amp;R13&amp;". KDU ile dosya, harç ve GBF.",IF(Q13="Kayıt muaf","Kayıt yok. Muafiyet dayanağını (Ek no) dosyada saklayın. GBF / SEA yükümlülüğü ayrı durabilir.",IF(Q13="Kayıt yok — alt kullanıcı / dağıtıcı","Kayıt tedarikçinindir. Türkçe KKDİK GBF isteyin, kullanıma uyun, izin/kısıtlama kontrol edin.",IF(Q13="Kayıt yok — tek temsilci sizi kapsar","Tek temsilci kaydı sizi kapsamalı. Atama yazısını ve sizin ithalatınızın dahil olduğunu teyit edin.",IF(Q13="Kayıt yok — 1 ton altı","Kayıt eşiği altında. Yıl içinde tonajı izleyin; 1 tona ulaşırsa yükümlülük o anda doğar. GBF devam eder.",IF(Q13="Kayıt yok — eşyada kasıtlı salınım yok","Eşyada kasıtlı salınım yoksa kayıt yok. SVHC ≥ %0,1 ve ≥1 ton ise bildirim doğabilir.",IF(Q13="Bildirim (SVHC / eşya)","Eşya içi SVHC bildirimi değerlendirin (Madde 8). Müşteriye güvenli kullanım bilgisini verin.","Rol net değil. Gümrük beyannamesi, fatura ve tek temsilci yazısıyla ithalatçı mısınız bakın."))))))))</f>
        <v>Kayıt eşiği altında. Yıl içinde tonajı izleyin; 1 tona ulaşırsa yükümlülük o anda doğar. GBF devam eder.</v>
      </c>
      <c r="U13" s="26" t="str">
        <f>IF(Q13="","",IF(Q13="Kayıt muaf","Muafiyet seçildi: "&amp;I13&amp;".",IF(Q13="Kayıt yok — alt kullanıcı / dağıtıcı","Yurt içi tedarik / dağıtım rolünde kayıt ettiren siz değilsiniz.",IF(Q13="Kayıt yok — tek temsilci sizi kapsar","Yabancı üreticinin tek temsilcisi ithalatçı yükümlülüğünü üstlenir.",IF(Q13="Kayıt yok — eşyada kasıtlı salınım yok","Eşya kaydı yalnızca kasıtlı salınım tasarlanmışsa doğar.",IF(Q13="Bildirim (SVHC / eşya)","Eşyada SVHC ≥ %0,1 ve madde ≥1 ton — bildirim değerlendirmesi.",IF(Q13="Kayıt yok — 1 ton altı","Kayıt eşiği: kayıt ettiren başına yılda 1 ton.",IF(Q13="KAYIT KAPSAMINDA",IF(J13="Evet","Türkiye’de yerleşik kayıt ettiren, madde ≥1 t/yıl. CMR 1A/1B tam kaydı 31.12.2026’ya çeker.",IF(AND(K13="Evet",P13&gt;=100),"Türkiye’de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Kayıt eşiği: kayıt ettiren başına yılda 1 ton.</v>
      </c>
    </row>
    <row r="14" ht="48" customHeight="1">
      <c r="A14" s="18" t="inlineStr">
        <is>
          <t>Yabancı üretici tek temsilci atadı</t>
        </is>
      </c>
      <c r="B14" s="19" t="inlineStr">
        <is>
          <t>108-88-3</t>
        </is>
      </c>
      <c r="C14" s="20" t="inlineStr">
        <is>
          <t>Madde</t>
        </is>
      </c>
      <c r="D14" s="20" t="inlineStr">
        <is>
          <t>İthalatçı</t>
        </is>
      </c>
      <c r="E14" s="21" t="n">
        <v>50</v>
      </c>
      <c r="F14" s="20" t="inlineStr">
        <is>
          <t>ton</t>
        </is>
      </c>
      <c r="G14" s="21" t="n">
        <v>100</v>
      </c>
      <c r="H14" s="20" t="inlineStr">
        <is>
          <t>Evet</t>
        </is>
      </c>
      <c r="I14" s="20" t="inlineStr">
        <is>
          <t>Yok</t>
        </is>
      </c>
      <c r="J14" s="20" t="inlineStr">
        <is>
          <t>Hayır</t>
        </is>
      </c>
      <c r="K14" s="20" t="inlineStr">
        <is>
          <t>Hayır</t>
        </is>
      </c>
      <c r="L14" s="20" t="inlineStr">
        <is>
          <t>Hayır</t>
        </is>
      </c>
      <c r="M14" s="20" t="inlineStr">
        <is>
          <t>Hayır</t>
        </is>
      </c>
      <c r="N14" s="22" t="n"/>
      <c r="O14" s="22" t="n"/>
      <c r="P14" s="27">
        <f>IF(OR(E14="",F14=""),"",IF(F14="kg",E14/1000,E14)*IF(C14="Karışım",IF(G14="",0,G14/100),1))</f>
        <v>50.0000</v>
      </c>
      <c r="Q14" s="28" t="str">
        <f>IF(OR(D14="",E14=""),"",IF(AND(I14&lt;&gt;"",I14&lt;&gt;"Yok"),"Kayıt muaf",IF(OR(D14="Alt kullanıcı",D14="Dağıtıcı"),"Kayıt yok — alt kullanıcı / dağıtıcı",IF(AND(D14="İthalatçı",H14="Evet"),"Kayıt yok — tek temsilci sizi kapsar",IF(D14="Eşya üreticisi / ithalatçısı",IF(AND(P14&gt;=1,L14="Evet"),"KAYIT KAPSAMINDA",IF(AND(P14&gt;=1,M14="Evet"),"Bildirim (SVHC / eşya)",IF(P14&gt;=1,"Kayıt yok — eşyada kasıtlı salınım yok","Kayıt yok — 1 ton altı"))),IF(P14&lt;1,"Kayıt yok — 1 ton altı",IF(OR(D14="İmalatçı",D14="İthalatçı",D14="Tek temsilci"),"KAYIT KAPSAMINDA","Rolü kontrol edin")))))))</f>
        <v>Kayıt yok — tek temsilci sizi kapsar</v>
      </c>
      <c r="R14" s="22">
        <f>IF(Q14&lt;&gt;"KAYIT KAPSAMINDA","",IF(J14="Evet","31.12.2026",IF(AND(K14="Evet",P14&gt;=100),"31.12.2026",IF(P14&gt;=1000,"31.12.2026",IF(P14&gt;=100,"31.12.2028","31.12.2030")))))</f>
        <v/>
      </c>
      <c r="S14" s="22">
        <f>IF(Q14="KAYIT KAPSAMINDA","30.09.2026","")</f>
        <v/>
      </c>
      <c r="T14" s="29" t="str">
        <f>IF(Q14="","",IF(Q14="KAYIT KAPSAMINDA","30.09.2026’ya kadar KKS’den geçici kayıt (lider yoksa bireysel + gerekçe). Tam kayıt son tarihi "&amp;R14&amp;". KDU ile dosya, harç ve GBF.",IF(Q14="Kayıt muaf","Kayıt yok. Muafiyet dayanağını (Ek no) dosyada saklayın. GBF / SEA yükümlülüğü ayrı durabilir.",IF(Q14="Kayıt yok — alt kullanıcı / dağıtıcı","Kayıt tedarikçinindir. Türkçe KKDİK GBF isteyin, kullanıma uyun, izin/kısıtlama kontrol edin.",IF(Q14="Kayıt yok — tek temsilci sizi kapsar","Tek temsilci kaydı sizi kapsamalı. Atama yazısını ve sizin ithalatınızın dahil olduğunu teyit edin.",IF(Q14="Kayıt yok — 1 ton altı","Kayıt eşiği altında. Yıl içinde tonajı izleyin; 1 tona ulaşırsa yükümlülük o anda doğar. GBF devam eder.",IF(Q14="Kayıt yok — eşyada kasıtlı salınım yok","Eşyada kasıtlı salınım yoksa kayıt yok. SVHC ≥ %0,1 ve ≥1 ton ise bildirim doğabilir.",IF(Q14="Bildirim (SVHC / eşya)","Eşya içi SVHC bildirimi değerlendirin (Madde 8). Müşteriye güvenli kullanım bilgisini verin.","Rol net değil. Gümrük beyannamesi, fatura ve tek temsilci yazısıyla ithalatçı mısınız bakın."))))))))</f>
        <v>Tek temsilci kaydı sizi kapsamalı. Atama yazısını ve sizin ithalatınızın dahil olduğunu teyit edin.</v>
      </c>
      <c r="U14" s="29" t="str">
        <f>IF(Q14="","",IF(Q14="Kayıt muaf","Muafiyet seçildi: "&amp;I14&amp;".",IF(Q14="Kayıt yok — alt kullanıcı / dağıtıcı","Yurt içi tedarik / dağıtım rolünde kayıt ettiren siz değilsiniz.",IF(Q14="Kayıt yok — tek temsilci sizi kapsar","Yabancı üreticinin tek temsilcisi ithalatçı yükümlülüğünü üstlenir.",IF(Q14="Kayıt yok — eşyada kasıtlı salınım yok","Eşya kaydı yalnızca kasıtlı salınım tasarlanmışsa doğar.",IF(Q14="Bildirim (SVHC / eşya)","Eşyada SVHC ≥ %0,1 ve madde ≥1 ton — bildirim değerlendirmesi.",IF(Q14="Kayıt yok — 1 ton altı","Kayıt eşiği: kayıt ettiren başına yılda 1 ton.",IF(Q14="KAYIT KAPSAMINDA",IF(J14="Evet","Türkiye’de yerleşik kayıt ettiren, madde ≥1 t/yıl. CMR 1A/1B tam kaydı 31.12.2026’ya çeker.",IF(AND(K14="Evet",P14&gt;=100),"Türkiye’de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Yabancı üreticinin tek temsilcisi ithalatçı yükümlülüğünü üstlenir.</v>
      </c>
    </row>
    <row r="15" ht="48" customHeight="1">
      <c r="A15" s="18" t="inlineStr">
        <is>
          <t>CMR 1B hammadde</t>
        </is>
      </c>
      <c r="B15" s="19" t="inlineStr">
        <is>
          <t>71-43-2</t>
        </is>
      </c>
      <c r="C15" s="20" t="inlineStr">
        <is>
          <t>Madde</t>
        </is>
      </c>
      <c r="D15" s="20" t="inlineStr">
        <is>
          <t>İmalatçı</t>
        </is>
      </c>
      <c r="E15" s="21" t="n">
        <v>2</v>
      </c>
      <c r="F15" s="20" t="inlineStr">
        <is>
          <t>ton</t>
        </is>
      </c>
      <c r="G15" s="21" t="n">
        <v>100</v>
      </c>
      <c r="H15" s="20" t="inlineStr">
        <is>
          <t>Hayır</t>
        </is>
      </c>
      <c r="I15" s="20" t="inlineStr">
        <is>
          <t>Yok</t>
        </is>
      </c>
      <c r="J15" s="20" t="inlineStr">
        <is>
          <t>Evet</t>
        </is>
      </c>
      <c r="K15" s="20" t="inlineStr">
        <is>
          <t>Hayır</t>
        </is>
      </c>
      <c r="L15" s="20" t="inlineStr">
        <is>
          <t>Hayır</t>
        </is>
      </c>
      <c r="M15" s="20" t="inlineStr">
        <is>
          <t>Hayır</t>
        </is>
      </c>
      <c r="N15" s="22" t="n"/>
      <c r="O15" s="22" t="n"/>
      <c r="P15" s="23">
        <f>IF(OR(E15="",F15=""),"",IF(F15="kg",E15/1000,E15)*IF(C15="Karışım",IF(G15="",0,G15/100),1))</f>
        <v>2.0000</v>
      </c>
      <c r="Q15" s="24" t="str">
        <f>IF(OR(D15="",E15=""),"",IF(AND(I15&lt;&gt;"",I15&lt;&gt;"Yok"),"Kayıt muaf",IF(OR(D15="Alt kullanıcı",D15="Dağıtıcı"),"Kayıt yok — alt kullanıcı / dağıtıcı",IF(AND(D15="İthalatçı",H15="Evet"),"Kayıt yok — tek temsilci sizi kapsar",IF(D15="Eşya üreticisi / ithalatçısı",IF(AND(P15&gt;=1,L15="Evet"),"KAYIT KAPSAMINDA",IF(AND(P15&gt;=1,M15="Evet"),"Bildirim (SVHC / eşya)",IF(P15&gt;=1,"Kayıt yok — eşyada kasıtlı salınım yok","Kayıt yok — 1 ton altı"))),IF(P15&lt;1,"Kayıt yok — 1 ton altı",IF(OR(D15="İmalatçı",D15="İthalatçı",D15="Tek temsilci"),"KAYIT KAPSAMINDA","Rolü kontrol edin")))))))</f>
        <v>KAYIT KAPSAMINDA</v>
      </c>
      <c r="R15" s="25" t="str">
        <f>IF(Q15&lt;&gt;"KAYIT KAPSAMINDA","",IF(J15="Evet","31.12.2026",IF(AND(K15="Evet",P15&gt;=100),"31.12.2026",IF(P15&gt;=1000,"31.12.2026",IF(P15&gt;=100,"31.12.2028","31.12.2030")))))</f>
        <v>31.12.2026</v>
      </c>
      <c r="S15" s="25" t="str">
        <f>IF(Q15="KAYIT KAPSAMINDA","30.09.2026","")</f>
        <v>30.09.2026</v>
      </c>
      <c r="T15" s="26" t="str">
        <f>IF(Q15="","",IF(Q15="KAYIT KAPSAMINDA","30.09.2026’ya kadar KKS’den geçici kayıt (lider yoksa bireysel + gerekçe). Tam kayıt son tarihi "&amp;R15&amp;". KDU ile dosya, harç ve GBF.",IF(Q15="Kayıt muaf","Kayıt yok. Muafiyet dayanağını (Ek no) dosyada saklayın. GBF / SEA yükümlülüğü ayrı durabilir.",IF(Q15="Kayıt yok — alt kullanıcı / dağıtıcı","Kayıt tedarikçinindir. Türkçe KKDİK GBF isteyin, kullanıma uyun, izin/kısıtlama kontrol edin.",IF(Q15="Kayıt yok — tek temsilci sizi kapsar","Tek temsilci kaydı sizi kapsamalı. Atama yazısını ve sizin ithalatınızın dahil olduğunu teyit edin.",IF(Q15="Kayıt yok — 1 ton altı","Kayıt eşiği altında. Yıl içinde tonajı izleyin; 1 tona ulaşırsa yükümlülük o anda doğar. GBF devam eder.",IF(Q15="Kayıt yok — eşyada kasıtlı salınım yok","Eşyada kasıtlı salınım yoksa kayıt yok. SVHC ≥ %0,1 ve ≥1 ton ise bildirim doğabilir.",IF(Q15="Bildirim (SVHC / eşya)","Eşya içi SVHC bildirimi değerlendirin (Madde 8). Müşteriye güvenli kullanım bilgisini verin.","Rol net değil. Gümrük beyannamesi, fatura ve tek temsilci yazısıyla ithalatçı mısınız bakın."))))))))</f>
        <v>30.09.2026’ya kadar KKS’den geçici kayıt (lider yoksa bireysel + gerekçe). Tam kayıt son tarihi 31.12.2026. KDU ile dosya, harç ve GBF.</v>
      </c>
      <c r="U15" s="26" t="str">
        <f>IF(Q15="","",IF(Q15="Kayıt muaf","Muafiyet seçildi: "&amp;I15&amp;".",IF(Q15="Kayıt yok — alt kullanıcı / dağıtıcı","Yurt içi tedarik / dağıtım rolünde kayıt ettiren siz değilsiniz.",IF(Q15="Kayıt yok — tek temsilci sizi kapsar","Yabancı üreticinin tek temsilcisi ithalatçı yükümlülüğünü üstlenir.",IF(Q15="Kayıt yok — eşyada kasıtlı salınım yok","Eşya kaydı yalnızca kasıtlı salınım tasarlanmışsa doğar.",IF(Q15="Bildirim (SVHC / eşya)","Eşyada SVHC ≥ %0,1 ve madde ≥1 ton — bildirim değerlendirmesi.",IF(Q15="Kayıt yok — 1 ton altı","Kayıt eşiği: kayıt ettiren başına yılda 1 ton.",IF(Q15="KAYIT KAPSAMINDA",IF(J15="Evet","Türkiye’de yerleşik kayıt ettiren, madde ≥1 t/yıl. CMR 1A/1B tam kaydı 31.12.2026’ya çeker.",IF(AND(K15="Evet",P15&gt;=100),"Türkiye’de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Türkiye’de yerleşik imalatçı / ithalatçı / tek temsilci ve madde ≥1 t/yıl. CMR 1A/1B tam kaydı 31.12.2026’ya çeker.</v>
      </c>
    </row>
    <row r="16" ht="48" customHeight="1">
      <c r="A16" s="18" t="inlineStr">
        <is>
          <t>Sucul Akut 1 boya aktifi</t>
        </is>
      </c>
      <c r="B16" s="19" t="inlineStr">
        <is>
          <t>—</t>
        </is>
      </c>
      <c r="C16" s="20" t="inlineStr">
        <is>
          <t>Madde</t>
        </is>
      </c>
      <c r="D16" s="20" t="inlineStr">
        <is>
          <t>İthalatçı</t>
        </is>
      </c>
      <c r="E16" s="21" t="n">
        <v>120</v>
      </c>
      <c r="F16" s="20" t="inlineStr">
        <is>
          <t>ton</t>
        </is>
      </c>
      <c r="G16" s="21" t="n">
        <v>100</v>
      </c>
      <c r="H16" s="20" t="inlineStr">
        <is>
          <t>Hayır</t>
        </is>
      </c>
      <c r="I16" s="20" t="inlineStr">
        <is>
          <t>Yok</t>
        </is>
      </c>
      <c r="J16" s="20" t="inlineStr">
        <is>
          <t>Hayır</t>
        </is>
      </c>
      <c r="K16" s="20" t="inlineStr">
        <is>
          <t>Evet</t>
        </is>
      </c>
      <c r="L16" s="20" t="inlineStr">
        <is>
          <t>Hayır</t>
        </is>
      </c>
      <c r="M16" s="20" t="inlineStr">
        <is>
          <t>Hayır</t>
        </is>
      </c>
      <c r="N16" s="22" t="n"/>
      <c r="O16" s="22" t="n"/>
      <c r="P16" s="27">
        <f>IF(OR(E16="",F16=""),"",IF(F16="kg",E16/1000,E16)*IF(C16="Karışım",IF(G16="",0,G16/100),1))</f>
        <v>120.0000</v>
      </c>
      <c r="Q16" s="24" t="str">
        <f>IF(OR(D16="",E16=""),"",IF(AND(I16&lt;&gt;"",I16&lt;&gt;"Yok"),"Kayıt muaf",IF(OR(D16="Alt kullanıcı",D16="Dağıtıcı"),"Kayıt yok — alt kullanıcı / dağıtıcı",IF(AND(D16="İthalatçı",H16="Evet"),"Kayıt yok — tek temsilci sizi kapsar",IF(D16="Eşya üreticisi / ithalatçısı",IF(AND(P16&gt;=1,L16="Evet"),"KAYIT KAPSAMINDA",IF(AND(P16&gt;=1,M16="Evet"),"Bildirim (SVHC / eşya)",IF(P16&gt;=1,"Kayıt yok — eşyada kasıtlı salınım yok","Kayıt yok — 1 ton altı"))),IF(P16&lt;1,"Kayıt yok — 1 ton altı",IF(OR(D16="İmalatçı",D16="İthalatçı",D16="Tek temsilci"),"KAYIT KAPSAMINDA","Rolü kontrol edin")))))))</f>
        <v>KAYIT KAPSAMINDA</v>
      </c>
      <c r="R16" s="22" t="str">
        <f>IF(Q16&lt;&gt;"KAYIT KAPSAMINDA","",IF(J16="Evet","31.12.2026",IF(AND(K16="Evet",P16&gt;=100),"31.12.2026",IF(P16&gt;=1000,"31.12.2026",IF(P16&gt;=100,"31.12.2028","31.12.2030")))))</f>
        <v>31.12.2026</v>
      </c>
      <c r="S16" s="22" t="str">
        <f>IF(Q16="KAYIT KAPSAMINDA","30.09.2026","")</f>
        <v>30.09.2026</v>
      </c>
      <c r="T16" s="29" t="str">
        <f>IF(Q16="","",IF(Q16="KAYIT KAPSAMINDA","30.09.2026’ya kadar KKS’den geçici kayıt (lider yoksa bireysel + gerekçe). Tam kayıt son tarihi "&amp;R16&amp;". KDU ile dosya, harç ve GBF.",IF(Q16="Kayıt muaf","Kayıt yok. Muafiyet dayanağını (Ek no) dosyada saklayın. GBF / SEA yükümlülüğü ayrı durabilir.",IF(Q16="Kayıt yok — alt kullanıcı / dağıtıcı","Kayıt tedarikçinindir. Türkçe KKDİK GBF isteyin, kullanıma uyun, izin/kısıtlama kontrol edin.",IF(Q16="Kayıt yok — tek temsilci sizi kapsar","Tek temsilci kaydı sizi kapsamalı. Atama yazısını ve sizin ithalatınızın dahil olduğunu teyit edin.",IF(Q16="Kayıt yok — 1 ton altı","Kayıt eşiği altında. Yıl içinde tonajı izleyin; 1 tona ulaşırsa yükümlülük o anda doğar. GBF devam eder.",IF(Q16="Kayıt yok — eşyada kasıtlı salınım yok","Eşyada kasıtlı salınım yoksa kayıt yok. SVHC ≥ %0,1 ve ≥1 ton ise bildirim doğabilir.",IF(Q16="Bildirim (SVHC / eşya)","Eşya içi SVHC bildirimi değerlendirin (Madde 8). Müşteriye güvenli kullanım bilgisini verin.","Rol net değil. Gümrük beyannamesi, fatura ve tek temsilci yazısıyla ithalatçı mısınız bakın."))))))))</f>
        <v>30.09.2026’ya kadar KKS’den geçici kayıt (lider yoksa bireysel + gerekçe). Tam kayıt son tarihi 31.12.2026. KDU ile dosya, harç ve GBF.</v>
      </c>
      <c r="U16" s="29" t="str">
        <f>IF(Q16="","",IF(Q16="Kayıt muaf","Muafiyet seçildi: "&amp;I16&amp;".",IF(Q16="Kayıt yok — alt kullanıcı / dağıtıcı","Yurt içi tedarik / dağıtım rolünde kayıt ettiren siz değilsiniz.",IF(Q16="Kayıt yok — tek temsilci sizi kapsar","Yabancı üreticinin tek temsilcisi ithalatçı yükümlülüğünü üstlenir.",IF(Q16="Kayıt yok — eşyada kasıtlı salınım yok","Eşya kaydı yalnızca kasıtlı salınım tasarlanmışsa doğar.",IF(Q16="Bildirim (SVHC / eşya)","Eşyada SVHC ≥ %0,1 ve madde ≥1 ton — bildirim değerlendirmesi.",IF(Q16="Kayıt yok — 1 ton altı","Kayıt eşiği: kayıt ettiren başına yılda 1 ton.",IF(Q16="KAYIT KAPSAMINDA",IF(J16="Evet","Türkiye’de yerleşik kayıt ettiren, madde ≥1 t/yıl. CMR 1A/1B tam kaydı 31.12.2026’ya çeker.",IF(AND(K16="Evet",P16&gt;=100),"Türkiye’de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Türkiye’de yerleşik imalatçı / ithalatçı / tek temsilci ve madde ≥1 t/yıl. Sucul Akut/Kronik 1 ve ≥100 t tam kaydı 31.12.2026’ya çeker.</v>
      </c>
    </row>
    <row r="17" ht="48" customHeight="1">
      <c r="A17" s="18" t="inlineStr">
        <is>
          <t>CTP boru (eşya, kasıtlı salınım yok)</t>
        </is>
      </c>
      <c r="B17" s="19" t="inlineStr">
        <is>
          <t>—</t>
        </is>
      </c>
      <c r="C17" s="20" t="inlineStr">
        <is>
          <t>Eşya</t>
        </is>
      </c>
      <c r="D17" s="20" t="inlineStr">
        <is>
          <t>Eşya üreticisi / ithalatçısı</t>
        </is>
      </c>
      <c r="E17" s="21" t="n">
        <v>800</v>
      </c>
      <c r="F17" s="20" t="inlineStr">
        <is>
          <t>ton</t>
        </is>
      </c>
      <c r="G17" s="21" t="n">
        <v>100</v>
      </c>
      <c r="H17" s="20" t="inlineStr">
        <is>
          <t>Hayır</t>
        </is>
      </c>
      <c r="I17" s="20" t="inlineStr">
        <is>
          <t>Yok</t>
        </is>
      </c>
      <c r="J17" s="20" t="inlineStr">
        <is>
          <t>Hayır</t>
        </is>
      </c>
      <c r="K17" s="20" t="inlineStr">
        <is>
          <t>Hayır</t>
        </is>
      </c>
      <c r="L17" s="20" t="inlineStr">
        <is>
          <t>Hayır</t>
        </is>
      </c>
      <c r="M17" s="20" t="inlineStr">
        <is>
          <t>Hayır</t>
        </is>
      </c>
      <c r="N17" s="22" t="n"/>
      <c r="O17" s="22" t="n"/>
      <c r="P17" s="23">
        <f>IF(OR(E17="",F17=""),"",IF(F17="kg",E17/1000,E17)*IF(C17="Karışım",IF(G17="",0,G17/100),1))</f>
        <v>800.0000</v>
      </c>
      <c r="Q17" s="28" t="str">
        <f>IF(OR(D17="",E17=""),"",IF(AND(I17&lt;&gt;"",I17&lt;&gt;"Yok"),"Kayıt muaf",IF(OR(D17="Alt kullanıcı",D17="Dağıtıcı"),"Kayıt yok — alt kullanıcı / dağıtıcı",IF(AND(D17="İthalatçı",H17="Evet"),"Kayıt yok — tek temsilci sizi kapsar",IF(D17="Eşya üreticisi / ithalatçısı",IF(AND(P17&gt;=1,L17="Evet"),"KAYIT KAPSAMINDA",IF(AND(P17&gt;=1,M17="Evet"),"Bildirim (SVHC / eşya)",IF(P17&gt;=1,"Kayıt yok — eşyada kasıtlı salınım yok","Kayıt yok — 1 ton altı"))),IF(P17&lt;1,"Kayıt yok — 1 ton altı",IF(OR(D17="İmalatçı",D17="İthalatçı",D17="Tek temsilci"),"KAYIT KAPSAMINDA","Rolü kontrol edin")))))))</f>
        <v>Kayıt yok — eşyada kasıtlı salınım yok</v>
      </c>
      <c r="R17" s="25">
        <f>IF(Q17&lt;&gt;"KAYIT KAPSAMINDA","",IF(J17="Evet","31.12.2026",IF(AND(K17="Evet",P17&gt;=100),"31.12.2026",IF(P17&gt;=1000,"31.12.2026",IF(P17&gt;=100,"31.12.2028","31.12.2030")))))</f>
        <v/>
      </c>
      <c r="S17" s="25">
        <f>IF(Q17="KAYIT KAPSAMINDA","30.09.2026","")</f>
        <v/>
      </c>
      <c r="T17" s="26" t="str">
        <f>IF(Q17="","",IF(Q17="KAYIT KAPSAMINDA","30.09.2026’ya kadar KKS’den geçici kayıt (lider yoksa bireysel + gerekçe). Tam kayıt son tarihi "&amp;R17&amp;". KDU ile dosya, harç ve GBF.",IF(Q17="Kayıt muaf","Kayıt yok. Muafiyet dayanağını (Ek no) dosyada saklayın. GBF / SEA yükümlülüğü ayrı durabilir.",IF(Q17="Kayıt yok — alt kullanıcı / dağıtıcı","Kayıt tedarikçinindir. Türkçe KKDİK GBF isteyin, kullanıma uyun, izin/kısıtlama kontrol edin.",IF(Q17="Kayıt yok — tek temsilci sizi kapsar","Tek temsilci kaydı sizi kapsamalı. Atama yazısını ve sizin ithalatınızın dahil olduğunu teyit edin.",IF(Q17="Kayıt yok — 1 ton altı","Kayıt eşiği altında. Yıl içinde tonajı izleyin; 1 tona ulaşırsa yükümlülük o anda doğar. GBF devam eder.",IF(Q17="Kayıt yok — eşyada kasıtlı salınım yok","Eşyada kasıtlı salınım yoksa kayıt yok. SVHC ≥ %0,1 ve ≥1 ton ise bildirim doğabilir.",IF(Q17="Bildirim (SVHC / eşya)","Eşya içi SVHC bildirimi değerlendirin (Madde 8). Müşteriye güvenli kullanım bilgisini verin.","Rol net değil. Gümrük beyannamesi, fatura ve tek temsilci yazısıyla ithalatçı mısınız bakın."))))))))</f>
        <v>Eşyada kasıtlı salınım yoksa kayıt yok. SVHC ≥ %0,1 ve ≥1 ton ise bildirim doğabilir.</v>
      </c>
      <c r="U17" s="26" t="str">
        <f>IF(Q17="","",IF(Q17="Kayıt muaf","Muafiyet seçildi: "&amp;I17&amp;".",IF(Q17="Kayıt yok — alt kullanıcı / dağıtıcı","Yurt içi tedarik / dağıtım rolünde kayıt ettiren siz değilsiniz.",IF(Q17="Kayıt yok — tek temsilci sizi kapsar","Yabancı üreticinin tek temsilcisi ithalatçı yükümlülüğünü üstlenir.",IF(Q17="Kayıt yok — eşyada kasıtlı salınım yok","Eşya kaydı yalnızca kasıtlı salınım tasarlanmışsa doğar.",IF(Q17="Bildirim (SVHC / eşya)","Eşyada SVHC ≥ %0,1 ve madde ≥1 ton — bildirim değerlendirmesi.",IF(Q17="Kayıt yok — 1 ton altı","Kayıt eşiği: kayıt ettiren başına yılda 1 ton.",IF(Q17="KAYIT KAPSAMINDA",IF(J17="Evet","Türkiye’de yerleşik kayıt ettiren, madde ≥1 t/yıl. CMR 1A/1B tam kaydı 31.12.2026’ya çeker.",IF(AND(K17="Evet",P17&gt;=100),"Türkiye’de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Eşya kaydı yalnızca kasıtlı salınım tasarlanmışsa doğar.</v>
      </c>
    </row>
    <row r="18" ht="48" customHeight="1">
      <c r="A18" s="18" t="inlineStr">
        <is>
          <t>Ek-5 doğal madde (kayıt muaf)</t>
        </is>
      </c>
      <c r="B18" s="19" t="inlineStr">
        <is>
          <t>—</t>
        </is>
      </c>
      <c r="C18" s="20" t="inlineStr">
        <is>
          <t>Madde</t>
        </is>
      </c>
      <c r="D18" s="20" t="inlineStr">
        <is>
          <t>İthalatçı</t>
        </is>
      </c>
      <c r="E18" s="21" t="n">
        <v>30</v>
      </c>
      <c r="F18" s="20" t="inlineStr">
        <is>
          <t>ton</t>
        </is>
      </c>
      <c r="G18" s="21" t="n">
        <v>100</v>
      </c>
      <c r="H18" s="20" t="inlineStr">
        <is>
          <t>Hayır</t>
        </is>
      </c>
      <c r="I18" s="20" t="inlineStr">
        <is>
          <t>Ek-5 muafiyet</t>
        </is>
      </c>
      <c r="J18" s="20" t="inlineStr">
        <is>
          <t>Hayır</t>
        </is>
      </c>
      <c r="K18" s="20" t="inlineStr">
        <is>
          <t>Hayır</t>
        </is>
      </c>
      <c r="L18" s="20" t="inlineStr">
        <is>
          <t>Hayır</t>
        </is>
      </c>
      <c r="M18" s="20" t="inlineStr">
        <is>
          <t>Hayır</t>
        </is>
      </c>
      <c r="N18" s="22" t="n"/>
      <c r="O18" s="22" t="n"/>
      <c r="P18" s="27">
        <f>IF(OR(E18="",F18=""),"",IF(F18="kg",E18/1000,E18)*IF(C18="Karışım",IF(G18="",0,G18/100),1))</f>
        <v>30.0000</v>
      </c>
      <c r="Q18" s="28" t="str">
        <f>IF(OR(D18="",E18=""),"",IF(AND(I18&lt;&gt;"",I18&lt;&gt;"Yok"),"Kayıt muaf",IF(OR(D18="Alt kullanıcı",D18="Dağıtıcı"),"Kayıt yok — alt kullanıcı / dağıtıcı",IF(AND(D18="İthalatçı",H18="Evet"),"Kayıt yok — tek temsilci sizi kapsar",IF(D18="Eşya üreticisi / ithalatçısı",IF(AND(P18&gt;=1,L18="Evet"),"KAYIT KAPSAMINDA",IF(AND(P18&gt;=1,M18="Evet"),"Bildirim (SVHC / eşya)",IF(P18&gt;=1,"Kayıt yok — eşyada kasıtlı salınım yok","Kayıt yok — 1 ton altı"))),IF(P18&lt;1,"Kayıt yok — 1 ton altı",IF(OR(D18="İmalatçı",D18="İthalatçı",D18="Tek temsilci"),"KAYIT KAPSAMINDA","Rolü kontrol edin")))))))</f>
        <v>Kayıt muaf</v>
      </c>
      <c r="R18" s="22">
        <f>IF(Q18&lt;&gt;"KAYIT KAPSAMINDA","",IF(J18="Evet","31.12.2026",IF(AND(K18="Evet",P18&gt;=100),"31.12.2026",IF(P18&gt;=1000,"31.12.2026",IF(P18&gt;=100,"31.12.2028","31.12.2030")))))</f>
        <v/>
      </c>
      <c r="S18" s="22">
        <f>IF(Q18="KAYIT KAPSAMINDA","30.09.2026","")</f>
        <v/>
      </c>
      <c r="T18" s="29" t="str">
        <f>IF(Q18="","",IF(Q18="KAYIT KAPSAMINDA","30.09.2026’ya kadar KKS’den geçici kayıt (lider yoksa bireysel + gerekçe). Tam kayıt son tarihi "&amp;R18&amp;". KDU ile dosya, harç ve GBF.",IF(Q18="Kayıt muaf","Kayıt yok. Muafiyet dayanağını (Ek no) dosyada saklayın. GBF / SEA yükümlülüğü ayrı durabilir.",IF(Q18="Kayıt yok — alt kullanıcı / dağıtıcı","Kayıt tedarikçinindir. Türkçe KKDİK GBF isteyin, kullanıma uyun, izin/kısıtlama kontrol edin.",IF(Q18="Kayıt yok — tek temsilci sizi kapsar","Tek temsilci kaydı sizi kapsamalı. Atama yazısını ve sizin ithalatınızın dahil olduğunu teyit edin.",IF(Q18="Kayıt yok — 1 ton altı","Kayıt eşiği altında. Yıl içinde tonajı izleyin; 1 tona ulaşırsa yükümlülük o anda doğar. GBF devam eder.",IF(Q18="Kayıt yok — eşyada kasıtlı salınım yok","Eşyada kasıtlı salınım yoksa kayıt yok. SVHC ≥ %0,1 ve ≥1 ton ise bildirim doğabilir.",IF(Q18="Bildirim (SVHC / eşya)","Eşya içi SVHC bildirimi değerlendirin (Madde 8). Müşteriye güvenli kullanım bilgisini verin.","Rol net değil. Gümrük beyannamesi, fatura ve tek temsilci yazısıyla ithalatçı mısınız bakın."))))))))</f>
        <v>Kayıt yok. Muafiyet dayanağını (Ek no) dosyada saklayın. GBF / SEA yükümlülüğü ayrı durabilir.</v>
      </c>
      <c r="U18" s="29" t="str">
        <f>IF(Q18="","",IF(Q18="Kayıt muaf","Muafiyet seçildi: "&amp;I18&amp;".",IF(Q18="Kayıt yok — alt kullanıcı / dağıtıcı","Yurt içi tedarik / dağıtım rolünde kayıt ettiren siz değilsiniz.",IF(Q18="Kayıt yok — tek temsilci sizi kapsar","Yabancı üreticinin tek temsilcisi ithalatçı yükümlülüğünü üstlenir.",IF(Q18="Kayıt yok — eşyada kasıtlı salınım yok","Eşya kaydı yalnızca kasıtlı salınım tasarlanmışsa doğar.",IF(Q18="Bildirim (SVHC / eşya)","Eşyada SVHC ≥ %0,1 ve madde ≥1 ton — bildirim değerlendirmesi.",IF(Q18="Kayıt yok — 1 ton altı","Kayıt eşiği: kayıt ettiren başına yılda 1 ton.",IF(Q18="KAYIT KAPSAMINDA",IF(J18="Evet","Türkiye’de yerleşik kayıt ettiren, madde ≥1 t/yıl. CMR 1A/1B tam kaydı 31.12.2026’ya çeker.",IF(AND(K18="Evet",P18&gt;=100),"Türkiye’de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>Muafiyet seçildi: Ek-5 muafiyet.</v>
      </c>
    </row>
    <row r="19" ht="28" customHeight="1">
      <c r="A19" s="18" t="n"/>
      <c r="B19" s="19" t="n"/>
      <c r="C19" s="20" t="n"/>
      <c r="D19" s="20" t="n"/>
      <c r="E19" s="21" t="n"/>
      <c r="F19" s="20" t="n"/>
      <c r="G19" s="21" t="n"/>
      <c r="H19" s="20" t="n"/>
      <c r="I19" s="20" t="n"/>
      <c r="J19" s="20" t="n"/>
      <c r="K19" s="20" t="n"/>
      <c r="L19" s="20" t="n"/>
      <c r="M19" s="20" t="n"/>
      <c r="N19" s="22" t="n"/>
      <c r="O19" s="22" t="n"/>
      <c r="P19" s="25">
        <f>IF(OR(E19="",F19=""),"",IF(F19="kg",E19/1000,E19)*IF(C19="Karışım",IF(G19="",0,G19/100),1))</f>
        <v/>
      </c>
      <c r="Q19" s="30">
        <f>IF(OR(D19="",E19=""),"",IF(AND(I19&lt;&gt;"",I19&lt;&gt;"Yok"),"Kayıt muaf",IF(OR(D19="Alt kullanıcı",D19="Dağıtıcı"),"Kayıt yok — alt kullanıcı / dağıtıcı",IF(AND(D19="İthalatçı",H19="Evet"),"Kayıt yok — tek temsilci sizi kapsar",IF(D19="Eşya üreticisi / ithalatçısı",IF(AND(P19&gt;=1,L19="Evet"),"KAYIT KAPSAMINDA",IF(AND(P19&gt;=1,M19="Evet"),"Bildirim (SVHC / eşya)",IF(P19&gt;=1,"Kayıt yok — eşyada kasıtlı salınım yok","Kayıt yok — 1 ton altı"))),IF(P19&lt;1,"Kayıt yok — 1 ton altı",IF(OR(D19="İmalatçı",D19="İthalatçı",D19="Tek temsilci"),"KAYIT KAPSAMINDA","Rolü kontrol edin")))))))</f>
        <v/>
      </c>
      <c r="R19" s="25">
        <f>IF(Q19&lt;&gt;"KAYIT KAPSAMINDA","",IF(J19="Evet","31.12.2026",IF(AND(K19="Evet",P19&gt;=100),"31.12.2026",IF(P19&gt;=1000,"31.12.2026",IF(P19&gt;=100,"31.12.2028","31.12.2030")))))</f>
        <v/>
      </c>
      <c r="S19" s="25">
        <f>IF(Q19="KAYIT KAPSAMINDA","30.09.2026","")</f>
        <v/>
      </c>
      <c r="T19" s="26">
        <f>IF(Q19="","",IF(Q19="KAYIT KAPSAMINDA","30.09.2026’ya kadar KKS’den geçici kayıt (lider yoksa bireysel + gerekçe). Tam kayıt son tarihi "&amp;R19&amp;". KDU ile dosya, harç ve GBF.",IF(Q19="Kayıt muaf","Kayıt yok. Muafiyet dayanağını (Ek no) dosyada saklayın. GBF / SEA yükümlülüğü ayrı durabilir.",IF(Q19="Kayıt yok — alt kullanıcı / dağıtıcı","Kayıt tedarikçinindir. Türkçe KKDİK GBF isteyin, kullanıma uyun, izin/kısıtlama kontrol edin.",IF(Q19="Kayıt yok — tek temsilci sizi kapsar","Tek temsilci kaydı sizi kapsamalı. Atama yazısını ve sizin ithalatınızın dahil olduğunu teyit edin.",IF(Q19="Kayıt yok — 1 ton altı","Kayıt eşiği altında. Yıl içinde tonajı izleyin; 1 tona ulaşırsa yükümlülük o anda doğar. GBF devam eder.",IF(Q19="Kayıt yok — eşyada kasıtlı salınım yok","Eşyada kasıtlı salınım yoksa kayıt yok. SVHC ≥ %0,1 ve ≥1 ton ise bildirim doğabilir.",IF(Q19="Bildirim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19" s="26">
        <f>IF(Q19="","",IF(Q19="Kayıt muaf","Muafiyet seçildi: "&amp;I19&amp;".",IF(Q19="Kayıt yok — alt kullanıcı / dağıtıcı","Yurt içi tedarik / dağıtım rolünde kayıt ettiren siz değilsiniz.",IF(Q19="Kayıt yok — tek temsilci sizi kapsar","Yabancı üreticinin tek temsilcisi ithalatçı yükümlülüğünü üstlenir.",IF(Q19="Kayıt yok — eşyada kasıtlı salınım yok","Eşya kaydı yalnızca kasıtlı salınım tasarlanmışsa doğar.",IF(Q19="Bildirim (SVHC / eşya)","Eşyada SVHC ≥ %0,1 ve madde ≥1 ton — bildirim değerlendirmesi.",IF(Q19="Kayıt yok — 1 ton altı","Kayıt eşiği: kayıt ettiren başına yılda 1 ton.",IF(Q19="KAYIT KAPSAMINDA",IF(J19="Evet","Türkiye’de yerleşik kayıt ettiren, madde ≥1 t/yıl. CMR 1A/1B tam kaydı 31.12.2026’ya çeker.",IF(AND(K19="Evet",P19&gt;=100),"Türkiye’de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0" ht="28" customHeight="1">
      <c r="A20" s="18" t="n"/>
      <c r="B20" s="19" t="n"/>
      <c r="C20" s="20" t="n"/>
      <c r="D20" s="20" t="n"/>
      <c r="E20" s="21" t="n"/>
      <c r="F20" s="20" t="n"/>
      <c r="G20" s="21" t="n"/>
      <c r="H20" s="20" t="n"/>
      <c r="I20" s="20" t="n"/>
      <c r="J20" s="20" t="n"/>
      <c r="K20" s="20" t="n"/>
      <c r="L20" s="20" t="n"/>
      <c r="M20" s="20" t="n"/>
      <c r="N20" s="22" t="n"/>
      <c r="O20" s="22" t="n"/>
      <c r="P20" s="22">
        <f>IF(OR(E20="",F20=""),"",IF(F20="kg",E20/1000,E20)*IF(C20="Karışım",IF(G20="",0,G20/100),1))</f>
        <v/>
      </c>
      <c r="Q20" s="31">
        <f>IF(OR(D20="",E20=""),"",IF(AND(I20&lt;&gt;"",I20&lt;&gt;"Yok"),"Kayıt muaf",IF(OR(D20="Alt kullanıcı",D20="Dağıtıcı"),"Kayıt yok — alt kullanıcı / dağıtıcı",IF(AND(D20="İthalatçı",H20="Evet"),"Kayıt yok — tek temsilci sizi kapsar",IF(D20="Eşya üreticisi / ithalatçısı",IF(AND(P20&gt;=1,L20="Evet"),"KAYIT KAPSAMINDA",IF(AND(P20&gt;=1,M20="Evet"),"Bildirim (SVHC / eşya)",IF(P20&gt;=1,"Kayıt yok — eşyada kasıtlı salınım yok","Kayıt yok — 1 ton altı"))),IF(P20&lt;1,"Kayıt yok — 1 ton altı",IF(OR(D20="İmalatçı",D20="İthalatçı",D20="Tek temsilci"),"KAYIT KAPSAMINDA","Rolü kontrol edin")))))))</f>
        <v/>
      </c>
      <c r="R20" s="22">
        <f>IF(Q20&lt;&gt;"KAYIT KAPSAMINDA","",IF(J20="Evet","31.12.2026",IF(AND(K20="Evet",P20&gt;=100),"31.12.2026",IF(P20&gt;=1000,"31.12.2026",IF(P20&gt;=100,"31.12.2028","31.12.2030")))))</f>
        <v/>
      </c>
      <c r="S20" s="22">
        <f>IF(Q20="KAYIT KAPSAMINDA","30.09.2026","")</f>
        <v/>
      </c>
      <c r="T20" s="29">
        <f>IF(Q20="","",IF(Q20="KAYIT KAPSAMINDA","30.09.2026’ya kadar KKS’den geçici kayıt (lider yoksa bireysel + gerekçe). Tam kayıt son tarihi "&amp;R20&amp;". KDU ile dosya, harç ve GBF.",IF(Q20="Kayıt muaf","Kayıt yok. Muafiyet dayanağını (Ek no) dosyada saklayın. GBF / SEA yükümlülüğü ayrı durabilir.",IF(Q20="Kayıt yok — alt kullanıcı / dağıtıcı","Kayıt tedarikçinindir. Türkçe KKDİK GBF isteyin, kullanıma uyun, izin/kısıtlama kontrol edin.",IF(Q20="Kayıt yok — tek temsilci sizi kapsar","Tek temsilci kaydı sizi kapsamalı. Atama yazısını ve sizin ithalatınızın dahil olduğunu teyit edin.",IF(Q20="Kayıt yok — 1 ton altı","Kayıt eşiği altında. Yıl içinde tonajı izleyin; 1 tona ulaşırsa yükümlülük o anda doğar. GBF devam eder.",IF(Q20="Kayıt yok — eşyada kasıtlı salınım yok","Eşyada kasıtlı salınım yoksa kayıt yok. SVHC ≥ %0,1 ve ≥1 ton ise bildirim doğabilir.",IF(Q20="Bildirim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0" s="29">
        <f>IF(Q20="","",IF(Q20="Kayıt muaf","Muafiyet seçildi: "&amp;I20&amp;".",IF(Q20="Kayıt yok — alt kullanıcı / dağıtıcı","Yurt içi tedarik / dağıtım rolünde kayıt ettiren siz değilsiniz.",IF(Q20="Kayıt yok — tek temsilci sizi kapsar","Yabancı üreticinin tek temsilcisi ithalatçı yükümlülüğünü üstlenir.",IF(Q20="Kayıt yok — eşyada kasıtlı salınım yok","Eşya kaydı yalnızca kasıtlı salınım tasarlanmışsa doğar.",IF(Q20="Bildirim (SVHC / eşya)","Eşyada SVHC ≥ %0,1 ve madde ≥1 ton — bildirim değerlendirmesi.",IF(Q20="Kayıt yok — 1 ton altı","Kayıt eşiği: kayıt ettiren başına yılda 1 ton.",IF(Q20="KAYIT KAPSAMINDA",IF(J20="Evet","Türkiye’de yerleşik kayıt ettiren, madde ≥1 t/yıl. CMR 1A/1B tam kaydı 31.12.2026’ya çeker.",IF(AND(K20="Evet",P20&gt;=100),"Türkiye’de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1" ht="28" customHeight="1">
      <c r="A21" s="18" t="n"/>
      <c r="B21" s="19" t="n"/>
      <c r="C21" s="20" t="n"/>
      <c r="D21" s="20" t="n"/>
      <c r="E21" s="21" t="n"/>
      <c r="F21" s="20" t="n"/>
      <c r="G21" s="21" t="n"/>
      <c r="H21" s="20" t="n"/>
      <c r="I21" s="20" t="n"/>
      <c r="J21" s="20" t="n"/>
      <c r="K21" s="20" t="n"/>
      <c r="L21" s="20" t="n"/>
      <c r="M21" s="20" t="n"/>
      <c r="N21" s="22" t="n"/>
      <c r="O21" s="22" t="n"/>
      <c r="P21" s="25">
        <f>IF(OR(E21="",F21=""),"",IF(F21="kg",E21/1000,E21)*IF(C21="Karışım",IF(G21="",0,G21/100),1))</f>
        <v/>
      </c>
      <c r="Q21" s="30">
        <f>IF(OR(D21="",E21=""),"",IF(AND(I21&lt;&gt;"",I21&lt;&gt;"Yok"),"Kayıt muaf",IF(OR(D21="Alt kullanıcı",D21="Dağıtıcı"),"Kayıt yok — alt kullanıcı / dağıtıcı",IF(AND(D21="İthalatçı",H21="Evet"),"Kayıt yok — tek temsilci sizi kapsar",IF(D21="Eşya üreticisi / ithalatçısı",IF(AND(P21&gt;=1,L21="Evet"),"KAYIT KAPSAMINDA",IF(AND(P21&gt;=1,M21="Evet"),"Bildirim (SVHC / eşya)",IF(P21&gt;=1,"Kayıt yok — eşyada kasıtlı salınım yok","Kayıt yok — 1 ton altı"))),IF(P21&lt;1,"Kayıt yok — 1 ton altı",IF(OR(D21="İmalatçı",D21="İthalatçı",D21="Tek temsilci"),"KAYIT KAPSAMINDA","Rolü kontrol edin")))))))</f>
        <v/>
      </c>
      <c r="R21" s="25">
        <f>IF(Q21&lt;&gt;"KAYIT KAPSAMINDA","",IF(J21="Evet","31.12.2026",IF(AND(K21="Evet",P21&gt;=100),"31.12.2026",IF(P21&gt;=1000,"31.12.2026",IF(P21&gt;=100,"31.12.2028","31.12.2030")))))</f>
        <v/>
      </c>
      <c r="S21" s="25">
        <f>IF(Q21="KAYIT KAPSAMINDA","30.09.2026","")</f>
        <v/>
      </c>
      <c r="T21" s="26">
        <f>IF(Q21="","",IF(Q21="KAYIT KAPSAMINDA","30.09.2026’ya kadar KKS’den geçici kayıt (lider yoksa bireysel + gerekçe). Tam kayıt son tarihi "&amp;R21&amp;". KDU ile dosya, harç ve GBF.",IF(Q21="Kayıt muaf","Kayıt yok. Muafiyet dayanağını (Ek no) dosyada saklayın. GBF / SEA yükümlülüğü ayrı durabilir.",IF(Q21="Kayıt yok — alt kullanıcı / dağıtıcı","Kayıt tedarikçinindir. Türkçe KKDİK GBF isteyin, kullanıma uyun, izin/kısıtlama kontrol edin.",IF(Q21="Kayıt yok — tek temsilci sizi kapsar","Tek temsilci kaydı sizi kapsamalı. Atama yazısını ve sizin ithalatınızın dahil olduğunu teyit edin.",IF(Q21="Kayıt yok — 1 ton altı","Kayıt eşiği altında. Yıl içinde tonajı izleyin; 1 tona ulaşırsa yükümlülük o anda doğar. GBF devam eder.",IF(Q21="Kayıt yok — eşyada kasıtlı salınım yok","Eşyada kasıtlı salınım yoksa kayıt yok. SVHC ≥ %0,1 ve ≥1 ton ise bildirim doğabilir.",IF(Q21="Bildirim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1" s="26">
        <f>IF(Q21="","",IF(Q21="Kayıt muaf","Muafiyet seçildi: "&amp;I21&amp;".",IF(Q21="Kayıt yok — alt kullanıcı / dağıtıcı","Yurt içi tedarik / dağıtım rolünde kayıt ettiren siz değilsiniz.",IF(Q21="Kayıt yok — tek temsilci sizi kapsar","Yabancı üreticinin tek temsilcisi ithalatçı yükümlülüğünü üstlenir.",IF(Q21="Kayıt yok — eşyada kasıtlı salınım yok","Eşya kaydı yalnızca kasıtlı salınım tasarlanmışsa doğar.",IF(Q21="Bildirim (SVHC / eşya)","Eşyada SVHC ≥ %0,1 ve madde ≥1 ton — bildirim değerlendirmesi.",IF(Q21="Kayıt yok — 1 ton altı","Kayıt eşiği: kayıt ettiren başına yılda 1 ton.",IF(Q21="KAYIT KAPSAMINDA",IF(J21="Evet","Türkiye’de yerleşik kayıt ettiren, madde ≥1 t/yıl. CMR 1A/1B tam kaydı 31.12.2026’ya çeker.",IF(AND(K21="Evet",P21&gt;=100),"Türkiye’de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2" ht="28" customHeight="1">
      <c r="A22" s="18" t="n"/>
      <c r="B22" s="19" t="n"/>
      <c r="C22" s="20" t="n"/>
      <c r="D22" s="20" t="n"/>
      <c r="E22" s="21" t="n"/>
      <c r="F22" s="20" t="n"/>
      <c r="G22" s="21" t="n"/>
      <c r="H22" s="20" t="n"/>
      <c r="I22" s="20" t="n"/>
      <c r="J22" s="20" t="n"/>
      <c r="K22" s="20" t="n"/>
      <c r="L22" s="20" t="n"/>
      <c r="M22" s="20" t="n"/>
      <c r="N22" s="22" t="n"/>
      <c r="O22" s="22" t="n"/>
      <c r="P22" s="22">
        <f>IF(OR(E22="",F22=""),"",IF(F22="kg",E22/1000,E22)*IF(C22="Karışım",IF(G22="",0,G22/100),1))</f>
        <v/>
      </c>
      <c r="Q22" s="31">
        <f>IF(OR(D22="",E22=""),"",IF(AND(I22&lt;&gt;"",I22&lt;&gt;"Yok"),"Kayıt muaf",IF(OR(D22="Alt kullanıcı",D22="Dağıtıcı"),"Kayıt yok — alt kullanıcı / dağıtıcı",IF(AND(D22="İthalatçı",H22="Evet"),"Kayıt yok — tek temsilci sizi kapsar",IF(D22="Eşya üreticisi / ithalatçısı",IF(AND(P22&gt;=1,L22="Evet"),"KAYIT KAPSAMINDA",IF(AND(P22&gt;=1,M22="Evet"),"Bildirim (SVHC / eşya)",IF(P22&gt;=1,"Kayıt yok — eşyada kasıtlı salınım yok","Kayıt yok — 1 ton altı"))),IF(P22&lt;1,"Kayıt yok — 1 ton altı",IF(OR(D22="İmalatçı",D22="İthalatçı",D22="Tek temsilci"),"KAYIT KAPSAMINDA","Rolü kontrol edin")))))))</f>
        <v/>
      </c>
      <c r="R22" s="22">
        <f>IF(Q22&lt;&gt;"KAYIT KAPSAMINDA","",IF(J22="Evet","31.12.2026",IF(AND(K22="Evet",P22&gt;=100),"31.12.2026",IF(P22&gt;=1000,"31.12.2026",IF(P22&gt;=100,"31.12.2028","31.12.2030")))))</f>
        <v/>
      </c>
      <c r="S22" s="22">
        <f>IF(Q22="KAYIT KAPSAMINDA","30.09.2026","")</f>
        <v/>
      </c>
      <c r="T22" s="29">
        <f>IF(Q22="","",IF(Q22="KAYIT KAPSAMINDA","30.09.2026’ya kadar KKS’den geçici kayıt (lider yoksa bireysel + gerekçe). Tam kayıt son tarihi "&amp;R22&amp;". KDU ile dosya, harç ve GBF.",IF(Q22="Kayıt muaf","Kayıt yok. Muafiyet dayanağını (Ek no) dosyada saklayın. GBF / SEA yükümlülüğü ayrı durabilir.",IF(Q22="Kayıt yok — alt kullanıcı / dağıtıcı","Kayıt tedarikçinindir. Türkçe KKDİK GBF isteyin, kullanıma uyun, izin/kısıtlama kontrol edin.",IF(Q22="Kayıt yok — tek temsilci sizi kapsar","Tek temsilci kaydı sizi kapsamalı. Atama yazısını ve sizin ithalatınızın dahil olduğunu teyit edin.",IF(Q22="Kayıt yok — 1 ton altı","Kayıt eşiği altında. Yıl içinde tonajı izleyin; 1 tona ulaşırsa yükümlülük o anda doğar. GBF devam eder.",IF(Q22="Kayıt yok — eşyada kasıtlı salınım yok","Eşyada kasıtlı salınım yoksa kayıt yok. SVHC ≥ %0,1 ve ≥1 ton ise bildirim doğabilir.",IF(Q22="Bildirim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2" s="29">
        <f>IF(Q22="","",IF(Q22="Kayıt muaf","Muafiyet seçildi: "&amp;I22&amp;".",IF(Q22="Kayıt yok — alt kullanıcı / dağıtıcı","Yurt içi tedarik / dağıtım rolünde kayıt ettiren siz değilsiniz.",IF(Q22="Kayıt yok — tek temsilci sizi kapsar","Yabancı üreticinin tek temsilcisi ithalatçı yükümlülüğünü üstlenir.",IF(Q22="Kayıt yok — eşyada kasıtlı salınım yok","Eşya kaydı yalnızca kasıtlı salınım tasarlanmışsa doğar.",IF(Q22="Bildirim (SVHC / eşya)","Eşyada SVHC ≥ %0,1 ve madde ≥1 ton — bildirim değerlendirmesi.",IF(Q22="Kayıt yok — 1 ton altı","Kayıt eşiği: kayıt ettiren başına yılda 1 ton.",IF(Q22="KAYIT KAPSAMINDA",IF(J22="Evet","Türkiye’de yerleşik kayıt ettiren, madde ≥1 t/yıl. CMR 1A/1B tam kaydı 31.12.2026’ya çeker.",IF(AND(K22="Evet",P22&gt;=100),"Türkiye’de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3" ht="28" customHeight="1">
      <c r="A23" s="18" t="n"/>
      <c r="B23" s="19" t="n"/>
      <c r="C23" s="20" t="n"/>
      <c r="D23" s="20" t="n"/>
      <c r="E23" s="21" t="n"/>
      <c r="F23" s="20" t="n"/>
      <c r="G23" s="21" t="n"/>
      <c r="H23" s="20" t="n"/>
      <c r="I23" s="20" t="n"/>
      <c r="J23" s="20" t="n"/>
      <c r="K23" s="20" t="n"/>
      <c r="L23" s="20" t="n"/>
      <c r="M23" s="20" t="n"/>
      <c r="N23" s="22" t="n"/>
      <c r="O23" s="22" t="n"/>
      <c r="P23" s="25">
        <f>IF(OR(E23="",F23=""),"",IF(F23="kg",E23/1000,E23)*IF(C23="Karışım",IF(G23="",0,G23/100),1))</f>
        <v/>
      </c>
      <c r="Q23" s="30">
        <f>IF(OR(D23="",E23=""),"",IF(AND(I23&lt;&gt;"",I23&lt;&gt;"Yok"),"Kayıt muaf",IF(OR(D23="Alt kullanıcı",D23="Dağıtıcı"),"Kayıt yok — alt kullanıcı / dağıtıcı",IF(AND(D23="İthalatçı",H23="Evet"),"Kayıt yok — tek temsilci sizi kapsar",IF(D23="Eşya üreticisi / ithalatçısı",IF(AND(P23&gt;=1,L23="Evet"),"KAYIT KAPSAMINDA",IF(AND(P23&gt;=1,M23="Evet"),"Bildirim (SVHC / eşya)",IF(P23&gt;=1,"Kayıt yok — eşyada kasıtlı salınım yok","Kayıt yok — 1 ton altı"))),IF(P23&lt;1,"Kayıt yok — 1 ton altı",IF(OR(D23="İmalatçı",D23="İthalatçı",D23="Tek temsilci"),"KAYIT KAPSAMINDA","Rolü kontrol edin")))))))</f>
        <v/>
      </c>
      <c r="R23" s="25">
        <f>IF(Q23&lt;&gt;"KAYIT KAPSAMINDA","",IF(J23="Evet","31.12.2026",IF(AND(K23="Evet",P23&gt;=100),"31.12.2026",IF(P23&gt;=1000,"31.12.2026",IF(P23&gt;=100,"31.12.2028","31.12.2030")))))</f>
        <v/>
      </c>
      <c r="S23" s="25">
        <f>IF(Q23="KAYIT KAPSAMINDA","30.09.2026","")</f>
        <v/>
      </c>
      <c r="T23" s="26">
        <f>IF(Q23="","",IF(Q23="KAYIT KAPSAMINDA","30.09.2026’ya kadar KKS’den geçici kayıt (lider yoksa bireysel + gerekçe). Tam kayıt son tarihi "&amp;R23&amp;". KDU ile dosya, harç ve GBF.",IF(Q23="Kayıt muaf","Kayıt yok. Muafiyet dayanağını (Ek no) dosyada saklayın. GBF / SEA yükümlülüğü ayrı durabilir.",IF(Q23="Kayıt yok — alt kullanıcı / dağıtıcı","Kayıt tedarikçinindir. Türkçe KKDİK GBF isteyin, kullanıma uyun, izin/kısıtlama kontrol edin.",IF(Q23="Kayıt yok — tek temsilci sizi kapsar","Tek temsilci kaydı sizi kapsamalı. Atama yazısını ve sizin ithalatınızın dahil olduğunu teyit edin.",IF(Q23="Kayıt yok — 1 ton altı","Kayıt eşiği altında. Yıl içinde tonajı izleyin; 1 tona ulaşırsa yükümlülük o anda doğar. GBF devam eder.",IF(Q23="Kayıt yok — eşyada kasıtlı salınım yok","Eşyada kasıtlı salınım yoksa kayıt yok. SVHC ≥ %0,1 ve ≥1 ton ise bildirim doğabilir.",IF(Q23="Bildirim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3" s="26">
        <f>IF(Q23="","",IF(Q23="Kayıt muaf","Muafiyet seçildi: "&amp;I23&amp;".",IF(Q23="Kayıt yok — alt kullanıcı / dağıtıcı","Yurt içi tedarik / dağıtım rolünde kayıt ettiren siz değilsiniz.",IF(Q23="Kayıt yok — tek temsilci sizi kapsar","Yabancı üreticinin tek temsilcisi ithalatçı yükümlülüğünü üstlenir.",IF(Q23="Kayıt yok — eşyada kasıtlı salınım yok","Eşya kaydı yalnızca kasıtlı salınım tasarlanmışsa doğar.",IF(Q23="Bildirim (SVHC / eşya)","Eşyada SVHC ≥ %0,1 ve madde ≥1 ton — bildirim değerlendirmesi.",IF(Q23="Kayıt yok — 1 ton altı","Kayıt eşiği: kayıt ettiren başına yılda 1 ton.",IF(Q23="KAYIT KAPSAMINDA",IF(J23="Evet","Türkiye’de yerleşik kayıt ettiren, madde ≥1 t/yıl. CMR 1A/1B tam kaydı 31.12.2026’ya çeker.",IF(AND(K23="Evet",P23&gt;=100),"Türkiye’de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4" ht="28" customHeight="1">
      <c r="A24" s="18" t="n"/>
      <c r="B24" s="19" t="n"/>
      <c r="C24" s="20" t="n"/>
      <c r="D24" s="20" t="n"/>
      <c r="E24" s="21" t="n"/>
      <c r="F24" s="20" t="n"/>
      <c r="G24" s="21" t="n"/>
      <c r="H24" s="20" t="n"/>
      <c r="I24" s="20" t="n"/>
      <c r="J24" s="20" t="n"/>
      <c r="K24" s="20" t="n"/>
      <c r="L24" s="20" t="n"/>
      <c r="M24" s="20" t="n"/>
      <c r="N24" s="22" t="n"/>
      <c r="O24" s="22" t="n"/>
      <c r="P24" s="22">
        <f>IF(OR(E24="",F24=""),"",IF(F24="kg",E24/1000,E24)*IF(C24="Karışım",IF(G24="",0,G24/100),1))</f>
        <v/>
      </c>
      <c r="Q24" s="31">
        <f>IF(OR(D24="",E24=""),"",IF(AND(I24&lt;&gt;"",I24&lt;&gt;"Yok"),"Kayıt muaf",IF(OR(D24="Alt kullanıcı",D24="Dağıtıcı"),"Kayıt yok — alt kullanıcı / dağıtıcı",IF(AND(D24="İthalatçı",H24="Evet"),"Kayıt yok — tek temsilci sizi kapsar",IF(D24="Eşya üreticisi / ithalatçısı",IF(AND(P24&gt;=1,L24="Evet"),"KAYIT KAPSAMINDA",IF(AND(P24&gt;=1,M24="Evet"),"Bildirim (SVHC / eşya)",IF(P24&gt;=1,"Kayıt yok — eşyada kasıtlı salınım yok","Kayıt yok — 1 ton altı"))),IF(P24&lt;1,"Kayıt yok — 1 ton altı",IF(OR(D24="İmalatçı",D24="İthalatçı",D24="Tek temsilci"),"KAYIT KAPSAMINDA","Rolü kontrol edin")))))))</f>
        <v/>
      </c>
      <c r="R24" s="22">
        <f>IF(Q24&lt;&gt;"KAYIT KAPSAMINDA","",IF(J24="Evet","31.12.2026",IF(AND(K24="Evet",P24&gt;=100),"31.12.2026",IF(P24&gt;=1000,"31.12.2026",IF(P24&gt;=100,"31.12.2028","31.12.2030")))))</f>
        <v/>
      </c>
      <c r="S24" s="22">
        <f>IF(Q24="KAYIT KAPSAMINDA","30.09.2026","")</f>
        <v/>
      </c>
      <c r="T24" s="29">
        <f>IF(Q24="","",IF(Q24="KAYIT KAPSAMINDA","30.09.2026’ya kadar KKS’den geçici kayıt (lider yoksa bireysel + gerekçe). Tam kayıt son tarihi "&amp;R24&amp;". KDU ile dosya, harç ve GBF.",IF(Q24="Kayıt muaf","Kayıt yok. Muafiyet dayanağını (Ek no) dosyada saklayın. GBF / SEA yükümlülüğü ayrı durabilir.",IF(Q24="Kayıt yok — alt kullanıcı / dağıtıcı","Kayıt tedarikçinindir. Türkçe KKDİK GBF isteyin, kullanıma uyun, izin/kısıtlama kontrol edin.",IF(Q24="Kayıt yok — tek temsilci sizi kapsar","Tek temsilci kaydı sizi kapsamalı. Atama yazısını ve sizin ithalatınızın dahil olduğunu teyit edin.",IF(Q24="Kayıt yok — 1 ton altı","Kayıt eşiği altında. Yıl içinde tonajı izleyin; 1 tona ulaşırsa yükümlülük o anda doğar. GBF devam eder.",IF(Q24="Kayıt yok — eşyada kasıtlı salınım yok","Eşyada kasıtlı salınım yoksa kayıt yok. SVHC ≥ %0,1 ve ≥1 ton ise bildirim doğabilir.",IF(Q24="Bildirim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4" s="29">
        <f>IF(Q24="","",IF(Q24="Kayıt muaf","Muafiyet seçildi: "&amp;I24&amp;".",IF(Q24="Kayıt yok — alt kullanıcı / dağıtıcı","Yurt içi tedarik / dağıtım rolünde kayıt ettiren siz değilsiniz.",IF(Q24="Kayıt yok — tek temsilci sizi kapsar","Yabancı üreticinin tek temsilcisi ithalatçı yükümlülüğünü üstlenir.",IF(Q24="Kayıt yok — eşyada kasıtlı salınım yok","Eşya kaydı yalnızca kasıtlı salınım tasarlanmışsa doğar.",IF(Q24="Bildirim (SVHC / eşya)","Eşyada SVHC ≥ %0,1 ve madde ≥1 ton — bildirim değerlendirmesi.",IF(Q24="Kayıt yok — 1 ton altı","Kayıt eşiği: kayıt ettiren başına yılda 1 ton.",IF(Q24="KAYIT KAPSAMINDA",IF(J24="Evet","Türkiye’de yerleşik kayıt ettiren, madde ≥1 t/yıl. CMR 1A/1B tam kaydı 31.12.2026’ya çeker.",IF(AND(K24="Evet",P24&gt;=100),"Türkiye’de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5" ht="28" customHeight="1">
      <c r="A25" s="18" t="n"/>
      <c r="B25" s="19" t="n"/>
      <c r="C25" s="20" t="n"/>
      <c r="D25" s="20" t="n"/>
      <c r="E25" s="21" t="n"/>
      <c r="F25" s="20" t="n"/>
      <c r="G25" s="21" t="n"/>
      <c r="H25" s="20" t="n"/>
      <c r="I25" s="20" t="n"/>
      <c r="J25" s="20" t="n"/>
      <c r="K25" s="20" t="n"/>
      <c r="L25" s="20" t="n"/>
      <c r="M25" s="20" t="n"/>
      <c r="N25" s="22" t="n"/>
      <c r="O25" s="22" t="n"/>
      <c r="P25" s="25">
        <f>IF(OR(E25="",F25=""),"",IF(F25="kg",E25/1000,E25)*IF(C25="Karışım",IF(G25="",0,G25/100),1))</f>
        <v/>
      </c>
      <c r="Q25" s="30">
        <f>IF(OR(D25="",E25=""),"",IF(AND(I25&lt;&gt;"",I25&lt;&gt;"Yok"),"Kayıt muaf",IF(OR(D25="Alt kullanıcı",D25="Dağıtıcı"),"Kayıt yok — alt kullanıcı / dağıtıcı",IF(AND(D25="İthalatçı",H25="Evet"),"Kayıt yok — tek temsilci sizi kapsar",IF(D25="Eşya üreticisi / ithalatçısı",IF(AND(P25&gt;=1,L25="Evet"),"KAYIT KAPSAMINDA",IF(AND(P25&gt;=1,M25="Evet"),"Bildirim (SVHC / eşya)",IF(P25&gt;=1,"Kayıt yok — eşyada kasıtlı salınım yok","Kayıt yok — 1 ton altı"))),IF(P25&lt;1,"Kayıt yok — 1 ton altı",IF(OR(D25="İmalatçı",D25="İthalatçı",D25="Tek temsilci"),"KAYIT KAPSAMINDA","Rolü kontrol edin")))))))</f>
        <v/>
      </c>
      <c r="R25" s="25">
        <f>IF(Q25&lt;&gt;"KAYIT KAPSAMINDA","",IF(J25="Evet","31.12.2026",IF(AND(K25="Evet",P25&gt;=100),"31.12.2026",IF(P25&gt;=1000,"31.12.2026",IF(P25&gt;=100,"31.12.2028","31.12.2030")))))</f>
        <v/>
      </c>
      <c r="S25" s="25">
        <f>IF(Q25="KAYIT KAPSAMINDA","30.09.2026","")</f>
        <v/>
      </c>
      <c r="T25" s="26">
        <f>IF(Q25="","",IF(Q25="KAYIT KAPSAMINDA","30.09.2026’ya kadar KKS’den geçici kayıt (lider yoksa bireysel + gerekçe). Tam kayıt son tarihi "&amp;R25&amp;". KDU ile dosya, harç ve GBF.",IF(Q25="Kayıt muaf","Kayıt yok. Muafiyet dayanağını (Ek no) dosyada saklayın. GBF / SEA yükümlülüğü ayrı durabilir.",IF(Q25="Kayıt yok — alt kullanıcı / dağıtıcı","Kayıt tedarikçinindir. Türkçe KKDİK GBF isteyin, kullanıma uyun, izin/kısıtlama kontrol edin.",IF(Q25="Kayıt yok — tek temsilci sizi kapsar","Tek temsilci kaydı sizi kapsamalı. Atama yazısını ve sizin ithalatınızın dahil olduğunu teyit edin.",IF(Q25="Kayıt yok — 1 ton altı","Kayıt eşiği altında. Yıl içinde tonajı izleyin; 1 tona ulaşırsa yükümlülük o anda doğar. GBF devam eder.",IF(Q25="Kayıt yok — eşyada kasıtlı salınım yok","Eşyada kasıtlı salınım yoksa kayıt yok. SVHC ≥ %0,1 ve ≥1 ton ise bildirim doğabilir.",IF(Q25="Bildirim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5" s="26">
        <f>IF(Q25="","",IF(Q25="Kayıt muaf","Muafiyet seçildi: "&amp;I25&amp;".",IF(Q25="Kayıt yok — alt kullanıcı / dağıtıcı","Yurt içi tedarik / dağıtım rolünde kayıt ettiren siz değilsiniz.",IF(Q25="Kayıt yok — tek temsilci sizi kapsar","Yabancı üreticinin tek temsilcisi ithalatçı yükümlülüğünü üstlenir.",IF(Q25="Kayıt yok — eşyada kasıtlı salınım yok","Eşya kaydı yalnızca kasıtlı salınım tasarlanmışsa doğar.",IF(Q25="Bildirim (SVHC / eşya)","Eşyada SVHC ≥ %0,1 ve madde ≥1 ton — bildirim değerlendirmesi.",IF(Q25="Kayıt yok — 1 ton altı","Kayıt eşiği: kayıt ettiren başına yılda 1 ton.",IF(Q25="KAYIT KAPSAMINDA",IF(J25="Evet","Türkiye’de yerleşik kayıt ettiren, madde ≥1 t/yıl. CMR 1A/1B tam kaydı 31.12.2026’ya çeker.",IF(AND(K25="Evet",P25&gt;=100),"Türkiye’de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6" ht="28" customHeight="1">
      <c r="A26" s="18" t="n"/>
      <c r="B26" s="19" t="n"/>
      <c r="C26" s="20" t="n"/>
      <c r="D26" s="20" t="n"/>
      <c r="E26" s="21" t="n"/>
      <c r="F26" s="20" t="n"/>
      <c r="G26" s="21" t="n"/>
      <c r="H26" s="20" t="n"/>
      <c r="I26" s="20" t="n"/>
      <c r="J26" s="20" t="n"/>
      <c r="K26" s="20" t="n"/>
      <c r="L26" s="20" t="n"/>
      <c r="M26" s="20" t="n"/>
      <c r="N26" s="22" t="n"/>
      <c r="O26" s="22" t="n"/>
      <c r="P26" s="22">
        <f>IF(OR(E26="",F26=""),"",IF(F26="kg",E26/1000,E26)*IF(C26="Karışım",IF(G26="",0,G26/100),1))</f>
        <v/>
      </c>
      <c r="Q26" s="31">
        <f>IF(OR(D26="",E26=""),"",IF(AND(I26&lt;&gt;"",I26&lt;&gt;"Yok"),"Kayıt muaf",IF(OR(D26="Alt kullanıcı",D26="Dağıtıcı"),"Kayıt yok — alt kullanıcı / dağıtıcı",IF(AND(D26="İthalatçı",H26="Evet"),"Kayıt yok — tek temsilci sizi kapsar",IF(D26="Eşya üreticisi / ithalatçısı",IF(AND(P26&gt;=1,L26="Evet"),"KAYIT KAPSAMINDA",IF(AND(P26&gt;=1,M26="Evet"),"Bildirim (SVHC / eşya)",IF(P26&gt;=1,"Kayıt yok — eşyada kasıtlı salınım yok","Kayıt yok — 1 ton altı"))),IF(P26&lt;1,"Kayıt yok — 1 ton altı",IF(OR(D26="İmalatçı",D26="İthalatçı",D26="Tek temsilci"),"KAYIT KAPSAMINDA","Rolü kontrol edin")))))))</f>
        <v/>
      </c>
      <c r="R26" s="22">
        <f>IF(Q26&lt;&gt;"KAYIT KAPSAMINDA","",IF(J26="Evet","31.12.2026",IF(AND(K26="Evet",P26&gt;=100),"31.12.2026",IF(P26&gt;=1000,"31.12.2026",IF(P26&gt;=100,"31.12.2028","31.12.2030")))))</f>
        <v/>
      </c>
      <c r="S26" s="22">
        <f>IF(Q26="KAYIT KAPSAMINDA","30.09.2026","")</f>
        <v/>
      </c>
      <c r="T26" s="29">
        <f>IF(Q26="","",IF(Q26="KAYIT KAPSAMINDA","30.09.2026’ya kadar KKS’den geçici kayıt (lider yoksa bireysel + gerekçe). Tam kayıt son tarihi "&amp;R26&amp;". KDU ile dosya, harç ve GBF.",IF(Q26="Kayıt muaf","Kayıt yok. Muafiyet dayanağını (Ek no) dosyada saklayın. GBF / SEA yükümlülüğü ayrı durabilir.",IF(Q26="Kayıt yok — alt kullanıcı / dağıtıcı","Kayıt tedarikçinindir. Türkçe KKDİK GBF isteyin, kullanıma uyun, izin/kısıtlama kontrol edin.",IF(Q26="Kayıt yok — tek temsilci sizi kapsar","Tek temsilci kaydı sizi kapsamalı. Atama yazısını ve sizin ithalatınızın dahil olduğunu teyit edin.",IF(Q26="Kayıt yok — 1 ton altı","Kayıt eşiği altında. Yıl içinde tonajı izleyin; 1 tona ulaşırsa yükümlülük o anda doğar. GBF devam eder.",IF(Q26="Kayıt yok — eşyada kasıtlı salınım yok","Eşyada kasıtlı salınım yoksa kayıt yok. SVHC ≥ %0,1 ve ≥1 ton ise bildirim doğabilir.",IF(Q26="Bildirim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6" s="29">
        <f>IF(Q26="","",IF(Q26="Kayıt muaf","Muafiyet seçildi: "&amp;I26&amp;".",IF(Q26="Kayıt yok — alt kullanıcı / dağıtıcı","Yurt içi tedarik / dağıtım rolünde kayıt ettiren siz değilsiniz.",IF(Q26="Kayıt yok — tek temsilci sizi kapsar","Yabancı üreticinin tek temsilcisi ithalatçı yükümlülüğünü üstlenir.",IF(Q26="Kayıt yok — eşyada kasıtlı salınım yok","Eşya kaydı yalnızca kasıtlı salınım tasarlanmışsa doğar.",IF(Q26="Bildirim (SVHC / eşya)","Eşyada SVHC ≥ %0,1 ve madde ≥1 ton — bildirim değerlendirmesi.",IF(Q26="Kayıt yok — 1 ton altı","Kayıt eşiği: kayıt ettiren başına yılda 1 ton.",IF(Q26="KAYIT KAPSAMINDA",IF(J26="Evet","Türkiye’de yerleşik kayıt ettiren, madde ≥1 t/yıl. CMR 1A/1B tam kaydı 31.12.2026’ya çeker.",IF(AND(K26="Evet",P26&gt;=100),"Türkiye’de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7" ht="28" customHeight="1">
      <c r="A27" s="18" t="n"/>
      <c r="B27" s="19" t="n"/>
      <c r="C27" s="20" t="n"/>
      <c r="D27" s="20" t="n"/>
      <c r="E27" s="21" t="n"/>
      <c r="F27" s="20" t="n"/>
      <c r="G27" s="21" t="n"/>
      <c r="H27" s="20" t="n"/>
      <c r="I27" s="20" t="n"/>
      <c r="J27" s="20" t="n"/>
      <c r="K27" s="20" t="n"/>
      <c r="L27" s="20" t="n"/>
      <c r="M27" s="20" t="n"/>
      <c r="N27" s="22" t="n"/>
      <c r="O27" s="22" t="n"/>
      <c r="P27" s="25">
        <f>IF(OR(E27="",F27=""),"",IF(F27="kg",E27/1000,E27)*IF(C27="Karışım",IF(G27="",0,G27/100),1))</f>
        <v/>
      </c>
      <c r="Q27" s="30">
        <f>IF(OR(D27="",E27=""),"",IF(AND(I27&lt;&gt;"",I27&lt;&gt;"Yok"),"Kayıt muaf",IF(OR(D27="Alt kullanıcı",D27="Dağıtıcı"),"Kayıt yok — alt kullanıcı / dağıtıcı",IF(AND(D27="İthalatçı",H27="Evet"),"Kayıt yok — tek temsilci sizi kapsar",IF(D27="Eşya üreticisi / ithalatçısı",IF(AND(P27&gt;=1,L27="Evet"),"KAYIT KAPSAMINDA",IF(AND(P27&gt;=1,M27="Evet"),"Bildirim (SVHC / eşya)",IF(P27&gt;=1,"Kayıt yok — eşyada kasıtlı salınım yok","Kayıt yok — 1 ton altı"))),IF(P27&lt;1,"Kayıt yok — 1 ton altı",IF(OR(D27="İmalatçı",D27="İthalatçı",D27="Tek temsilci"),"KAYIT KAPSAMINDA","Rolü kontrol edin")))))))</f>
        <v/>
      </c>
      <c r="R27" s="25">
        <f>IF(Q27&lt;&gt;"KAYIT KAPSAMINDA","",IF(J27="Evet","31.12.2026",IF(AND(K27="Evet",P27&gt;=100),"31.12.2026",IF(P27&gt;=1000,"31.12.2026",IF(P27&gt;=100,"31.12.2028","31.12.2030")))))</f>
        <v/>
      </c>
      <c r="S27" s="25">
        <f>IF(Q27="KAYIT KAPSAMINDA","30.09.2026","")</f>
        <v/>
      </c>
      <c r="T27" s="26">
        <f>IF(Q27="","",IF(Q27="KAYIT KAPSAMINDA","30.09.2026’ya kadar KKS’den geçici kayıt (lider yoksa bireysel + gerekçe). Tam kayıt son tarihi "&amp;R27&amp;". KDU ile dosya, harç ve GBF.",IF(Q27="Kayıt muaf","Kayıt yok. Muafiyet dayanağını (Ek no) dosyada saklayın. GBF / SEA yükümlülüğü ayrı durabilir.",IF(Q27="Kayıt yok — alt kullanıcı / dağıtıcı","Kayıt tedarikçinindir. Türkçe KKDİK GBF isteyin, kullanıma uyun, izin/kısıtlama kontrol edin.",IF(Q27="Kayıt yok — tek temsilci sizi kapsar","Tek temsilci kaydı sizi kapsamalı. Atama yazısını ve sizin ithalatınızın dahil olduğunu teyit edin.",IF(Q27="Kayıt yok — 1 ton altı","Kayıt eşiği altında. Yıl içinde tonajı izleyin; 1 tona ulaşırsa yükümlülük o anda doğar. GBF devam eder.",IF(Q27="Kayıt yok — eşyada kasıtlı salınım yok","Eşyada kasıtlı salınım yoksa kayıt yok. SVHC ≥ %0,1 ve ≥1 ton ise bildirim doğabilir.",IF(Q27="Bildirim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7" s="26">
        <f>IF(Q27="","",IF(Q27="Kayıt muaf","Muafiyet seçildi: "&amp;I27&amp;".",IF(Q27="Kayıt yok — alt kullanıcı / dağıtıcı","Yurt içi tedarik / dağıtım rolünde kayıt ettiren siz değilsiniz.",IF(Q27="Kayıt yok — tek temsilci sizi kapsar","Yabancı üreticinin tek temsilcisi ithalatçı yükümlülüğünü üstlenir.",IF(Q27="Kayıt yok — eşyada kasıtlı salınım yok","Eşya kaydı yalnızca kasıtlı salınım tasarlanmışsa doğar.",IF(Q27="Bildirim (SVHC / eşya)","Eşyada SVHC ≥ %0,1 ve madde ≥1 ton — bildirim değerlendirmesi.",IF(Q27="Kayıt yok — 1 ton altı","Kayıt eşiği: kayıt ettiren başına yılda 1 ton.",IF(Q27="KAYIT KAPSAMINDA",IF(J27="Evet","Türkiye’de yerleşik kayıt ettiren, madde ≥1 t/yıl. CMR 1A/1B tam kaydı 31.12.2026’ya çeker.",IF(AND(K27="Evet",P27&gt;=100),"Türkiye’de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8" ht="28" customHeight="1">
      <c r="A28" s="18" t="n"/>
      <c r="B28" s="19" t="n"/>
      <c r="C28" s="20" t="n"/>
      <c r="D28" s="20" t="n"/>
      <c r="E28" s="21" t="n"/>
      <c r="F28" s="20" t="n"/>
      <c r="G28" s="21" t="n"/>
      <c r="H28" s="20" t="n"/>
      <c r="I28" s="20" t="n"/>
      <c r="J28" s="20" t="n"/>
      <c r="K28" s="20" t="n"/>
      <c r="L28" s="20" t="n"/>
      <c r="M28" s="20" t="n"/>
      <c r="N28" s="22" t="n"/>
      <c r="O28" s="22" t="n"/>
      <c r="P28" s="22">
        <f>IF(OR(E28="",F28=""),"",IF(F28="kg",E28/1000,E28)*IF(C28="Karışım",IF(G28="",0,G28/100),1))</f>
        <v/>
      </c>
      <c r="Q28" s="31">
        <f>IF(OR(D28="",E28=""),"",IF(AND(I28&lt;&gt;"",I28&lt;&gt;"Yok"),"Kayıt muaf",IF(OR(D28="Alt kullanıcı",D28="Dağıtıcı"),"Kayıt yok — alt kullanıcı / dağıtıcı",IF(AND(D28="İthalatçı",H28="Evet"),"Kayıt yok — tek temsilci sizi kapsar",IF(D28="Eşya üreticisi / ithalatçısı",IF(AND(P28&gt;=1,L28="Evet"),"KAYIT KAPSAMINDA",IF(AND(P28&gt;=1,M28="Evet"),"Bildirim (SVHC / eşya)",IF(P28&gt;=1,"Kayıt yok — eşyada kasıtlı salınım yok","Kayıt yok — 1 ton altı"))),IF(P28&lt;1,"Kayıt yok — 1 ton altı",IF(OR(D28="İmalatçı",D28="İthalatçı",D28="Tek temsilci"),"KAYIT KAPSAMINDA","Rolü kontrol edin")))))))</f>
        <v/>
      </c>
      <c r="R28" s="22">
        <f>IF(Q28&lt;&gt;"KAYIT KAPSAMINDA","",IF(J28="Evet","31.12.2026",IF(AND(K28="Evet",P28&gt;=100),"31.12.2026",IF(P28&gt;=1000,"31.12.2026",IF(P28&gt;=100,"31.12.2028","31.12.2030")))))</f>
        <v/>
      </c>
      <c r="S28" s="22">
        <f>IF(Q28="KAYIT KAPSAMINDA","30.09.2026","")</f>
        <v/>
      </c>
      <c r="T28" s="29">
        <f>IF(Q28="","",IF(Q28="KAYIT KAPSAMINDA","30.09.2026’ya kadar KKS’den geçici kayıt (lider yoksa bireysel + gerekçe). Tam kayıt son tarihi "&amp;R28&amp;". KDU ile dosya, harç ve GBF.",IF(Q28="Kayıt muaf","Kayıt yok. Muafiyet dayanağını (Ek no) dosyada saklayın. GBF / SEA yükümlülüğü ayrı durabilir.",IF(Q28="Kayıt yok — alt kullanıcı / dağıtıcı","Kayıt tedarikçinindir. Türkçe KKDİK GBF isteyin, kullanıma uyun, izin/kısıtlama kontrol edin.",IF(Q28="Kayıt yok — tek temsilci sizi kapsar","Tek temsilci kaydı sizi kapsamalı. Atama yazısını ve sizin ithalatınızın dahil olduğunu teyit edin.",IF(Q28="Kayıt yok — 1 ton altı","Kayıt eşiği altında. Yıl içinde tonajı izleyin; 1 tona ulaşırsa yükümlülük o anda doğar. GBF devam eder.",IF(Q28="Kayıt yok — eşyada kasıtlı salınım yok","Eşyada kasıtlı salınım yoksa kayıt yok. SVHC ≥ %0,1 ve ≥1 ton ise bildirim doğabilir.",IF(Q28="Bildirim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8" s="29">
        <f>IF(Q28="","",IF(Q28="Kayıt muaf","Muafiyet seçildi: "&amp;I28&amp;".",IF(Q28="Kayıt yok — alt kullanıcı / dağıtıcı","Yurt içi tedarik / dağıtım rolünde kayıt ettiren siz değilsiniz.",IF(Q28="Kayıt yok — tek temsilci sizi kapsar","Yabancı üreticinin tek temsilcisi ithalatçı yükümlülüğünü üstlenir.",IF(Q28="Kayıt yok — eşyada kasıtlı salınım yok","Eşya kaydı yalnızca kasıtlı salınım tasarlanmışsa doğar.",IF(Q28="Bildirim (SVHC / eşya)","Eşyada SVHC ≥ %0,1 ve madde ≥1 ton — bildirim değerlendirmesi.",IF(Q28="Kayıt yok — 1 ton altı","Kayıt eşiği: kayıt ettiren başına yılda 1 ton.",IF(Q28="KAYIT KAPSAMINDA",IF(J28="Evet","Türkiye’de yerleşik kayıt ettiren, madde ≥1 t/yıl. CMR 1A/1B tam kaydı 31.12.2026’ya çeker.",IF(AND(K28="Evet",P28&gt;=100),"Türkiye’de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29" ht="28" customHeight="1">
      <c r="A29" s="18" t="n"/>
      <c r="B29" s="19" t="n"/>
      <c r="C29" s="20" t="n"/>
      <c r="D29" s="20" t="n"/>
      <c r="E29" s="21" t="n"/>
      <c r="F29" s="20" t="n"/>
      <c r="G29" s="21" t="n"/>
      <c r="H29" s="20" t="n"/>
      <c r="I29" s="20" t="n"/>
      <c r="J29" s="20" t="n"/>
      <c r="K29" s="20" t="n"/>
      <c r="L29" s="20" t="n"/>
      <c r="M29" s="20" t="n"/>
      <c r="N29" s="22" t="n"/>
      <c r="O29" s="22" t="n"/>
      <c r="P29" s="25">
        <f>IF(OR(E29="",F29=""),"",IF(F29="kg",E29/1000,E29)*IF(C29="Karışım",IF(G29="",0,G29/100),1))</f>
        <v/>
      </c>
      <c r="Q29" s="30">
        <f>IF(OR(D29="",E29=""),"",IF(AND(I29&lt;&gt;"",I29&lt;&gt;"Yok"),"Kayıt muaf",IF(OR(D29="Alt kullanıcı",D29="Dağıtıcı"),"Kayıt yok — alt kullanıcı / dağıtıcı",IF(AND(D29="İthalatçı",H29="Evet"),"Kayıt yok — tek temsilci sizi kapsar",IF(D29="Eşya üreticisi / ithalatçısı",IF(AND(P29&gt;=1,L29="Evet"),"KAYIT KAPSAMINDA",IF(AND(P29&gt;=1,M29="Evet"),"Bildirim (SVHC / eşya)",IF(P29&gt;=1,"Kayıt yok — eşyada kasıtlı salınım yok","Kayıt yok — 1 ton altı"))),IF(P29&lt;1,"Kayıt yok — 1 ton altı",IF(OR(D29="İmalatçı",D29="İthalatçı",D29="Tek temsilci"),"KAYIT KAPSAMINDA","Rolü kontrol edin")))))))</f>
        <v/>
      </c>
      <c r="R29" s="25">
        <f>IF(Q29&lt;&gt;"KAYIT KAPSAMINDA","",IF(J29="Evet","31.12.2026",IF(AND(K29="Evet",P29&gt;=100),"31.12.2026",IF(P29&gt;=1000,"31.12.2026",IF(P29&gt;=100,"31.12.2028","31.12.2030")))))</f>
        <v/>
      </c>
      <c r="S29" s="25">
        <f>IF(Q29="KAYIT KAPSAMINDA","30.09.2026","")</f>
        <v/>
      </c>
      <c r="T29" s="26">
        <f>IF(Q29="","",IF(Q29="KAYIT KAPSAMINDA","30.09.2026’ya kadar KKS’den geçici kayıt (lider yoksa bireysel + gerekçe). Tam kayıt son tarihi "&amp;R29&amp;". KDU ile dosya, harç ve GBF.",IF(Q29="Kayıt muaf","Kayıt yok. Muafiyet dayanağını (Ek no) dosyada saklayın. GBF / SEA yükümlülüğü ayrı durabilir.",IF(Q29="Kayıt yok — alt kullanıcı / dağıtıcı","Kayıt tedarikçinindir. Türkçe KKDİK GBF isteyin, kullanıma uyun, izin/kısıtlama kontrol edin.",IF(Q29="Kayıt yok — tek temsilci sizi kapsar","Tek temsilci kaydı sizi kapsamalı. Atama yazısını ve sizin ithalatınızın dahil olduğunu teyit edin.",IF(Q29="Kayıt yok — 1 ton altı","Kayıt eşiği altında. Yıl içinde tonajı izleyin; 1 tona ulaşırsa yükümlülük o anda doğar. GBF devam eder.",IF(Q29="Kayıt yok — eşyada kasıtlı salınım yok","Eşyada kasıtlı salınım yoksa kayıt yok. SVHC ≥ %0,1 ve ≥1 ton ise bildirim doğabilir.",IF(Q29="Bildirim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29" s="26">
        <f>IF(Q29="","",IF(Q29="Kayıt muaf","Muafiyet seçildi: "&amp;I29&amp;".",IF(Q29="Kayıt yok — alt kullanıcı / dağıtıcı","Yurt içi tedarik / dağıtım rolünde kayıt ettiren siz değilsiniz.",IF(Q29="Kayıt yok — tek temsilci sizi kapsar","Yabancı üreticinin tek temsilcisi ithalatçı yükümlülüğünü üstlenir.",IF(Q29="Kayıt yok — eşyada kasıtlı salınım yok","Eşya kaydı yalnızca kasıtlı salınım tasarlanmışsa doğar.",IF(Q29="Bildirim (SVHC / eşya)","Eşyada SVHC ≥ %0,1 ve madde ≥1 ton — bildirim değerlendirmesi.",IF(Q29="Kayıt yok — 1 ton altı","Kayıt eşiği: kayıt ettiren başına yılda 1 ton.",IF(Q29="KAYIT KAPSAMINDA",IF(J29="Evet","Türkiye’de yerleşik kayıt ettiren, madde ≥1 t/yıl. CMR 1A/1B tam kaydı 31.12.2026’ya çeker.",IF(AND(K29="Evet",P29&gt;=100),"Türkiye’de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0" ht="28" customHeight="1">
      <c r="A30" s="18" t="n"/>
      <c r="B30" s="19" t="n"/>
      <c r="C30" s="20" t="n"/>
      <c r="D30" s="20" t="n"/>
      <c r="E30" s="21" t="n"/>
      <c r="F30" s="20" t="n"/>
      <c r="G30" s="21" t="n"/>
      <c r="H30" s="20" t="n"/>
      <c r="I30" s="20" t="n"/>
      <c r="J30" s="20" t="n"/>
      <c r="K30" s="20" t="n"/>
      <c r="L30" s="20" t="n"/>
      <c r="M30" s="20" t="n"/>
      <c r="N30" s="22" t="n"/>
      <c r="O30" s="22" t="n"/>
      <c r="P30" s="22">
        <f>IF(OR(E30="",F30=""),"",IF(F30="kg",E30/1000,E30)*IF(C30="Karışım",IF(G30="",0,G30/100),1))</f>
        <v/>
      </c>
      <c r="Q30" s="31">
        <f>IF(OR(D30="",E30=""),"",IF(AND(I30&lt;&gt;"",I30&lt;&gt;"Yok"),"Kayıt muaf",IF(OR(D30="Alt kullanıcı",D30="Dağıtıcı"),"Kayıt yok — alt kullanıcı / dağıtıcı",IF(AND(D30="İthalatçı",H30="Evet"),"Kayıt yok — tek temsilci sizi kapsar",IF(D30="Eşya üreticisi / ithalatçısı",IF(AND(P30&gt;=1,L30="Evet"),"KAYIT KAPSAMINDA",IF(AND(P30&gt;=1,M30="Evet"),"Bildirim (SVHC / eşya)",IF(P30&gt;=1,"Kayıt yok — eşyada kasıtlı salınım yok","Kayıt yok — 1 ton altı"))),IF(P30&lt;1,"Kayıt yok — 1 ton altı",IF(OR(D30="İmalatçı",D30="İthalatçı",D30="Tek temsilci"),"KAYIT KAPSAMINDA","Rolü kontrol edin")))))))</f>
        <v/>
      </c>
      <c r="R30" s="22">
        <f>IF(Q30&lt;&gt;"KAYIT KAPSAMINDA","",IF(J30="Evet","31.12.2026",IF(AND(K30="Evet",P30&gt;=100),"31.12.2026",IF(P30&gt;=1000,"31.12.2026",IF(P30&gt;=100,"31.12.2028","31.12.2030")))))</f>
        <v/>
      </c>
      <c r="S30" s="22">
        <f>IF(Q30="KAYIT KAPSAMINDA","30.09.2026","")</f>
        <v/>
      </c>
      <c r="T30" s="29">
        <f>IF(Q30="","",IF(Q30="KAYIT KAPSAMINDA","30.09.2026’ya kadar KKS’den geçici kayıt (lider yoksa bireysel + gerekçe). Tam kayıt son tarihi "&amp;R30&amp;". KDU ile dosya, harç ve GBF.",IF(Q30="Kayıt muaf","Kayıt yok. Muafiyet dayanağını (Ek no) dosyada saklayın. GBF / SEA yükümlülüğü ayrı durabilir.",IF(Q30="Kayıt yok — alt kullanıcı / dağıtıcı","Kayıt tedarikçinindir. Türkçe KKDİK GBF isteyin, kullanıma uyun, izin/kısıtlama kontrol edin.",IF(Q30="Kayıt yok — tek temsilci sizi kapsar","Tek temsilci kaydı sizi kapsamalı. Atama yazısını ve sizin ithalatınızın dahil olduğunu teyit edin.",IF(Q30="Kayıt yok — 1 ton altı","Kayıt eşiği altında. Yıl içinde tonajı izleyin; 1 tona ulaşırsa yükümlülük o anda doğar. GBF devam eder.",IF(Q30="Kayıt yok — eşyada kasıtlı salınım yok","Eşyada kasıtlı salınım yoksa kayıt yok. SVHC ≥ %0,1 ve ≥1 ton ise bildirim doğabilir.",IF(Q30="Bildirim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0" s="29">
        <f>IF(Q30="","",IF(Q30="Kayıt muaf","Muafiyet seçildi: "&amp;I30&amp;".",IF(Q30="Kayıt yok — alt kullanıcı / dağıtıcı","Yurt içi tedarik / dağıtım rolünde kayıt ettiren siz değilsiniz.",IF(Q30="Kayıt yok — tek temsilci sizi kapsar","Yabancı üreticinin tek temsilcisi ithalatçı yükümlülüğünü üstlenir.",IF(Q30="Kayıt yok — eşyada kasıtlı salınım yok","Eşya kaydı yalnızca kasıtlı salınım tasarlanmışsa doğar.",IF(Q30="Bildirim (SVHC / eşya)","Eşyada SVHC ≥ %0,1 ve madde ≥1 ton — bildirim değerlendirmesi.",IF(Q30="Kayıt yok — 1 ton altı","Kayıt eşiği: kayıt ettiren başına yılda 1 ton.",IF(Q30="KAYIT KAPSAMINDA",IF(J30="Evet","Türkiye’de yerleşik kayıt ettiren, madde ≥1 t/yıl. CMR 1A/1B tam kaydı 31.12.2026’ya çeker.",IF(AND(K30="Evet",P30&gt;=100),"Türkiye’de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1" ht="28" customHeight="1">
      <c r="A31" s="18" t="n"/>
      <c r="B31" s="19" t="n"/>
      <c r="C31" s="20" t="n"/>
      <c r="D31" s="20" t="n"/>
      <c r="E31" s="21" t="n"/>
      <c r="F31" s="20" t="n"/>
      <c r="G31" s="21" t="n"/>
      <c r="H31" s="20" t="n"/>
      <c r="I31" s="20" t="n"/>
      <c r="J31" s="20" t="n"/>
      <c r="K31" s="20" t="n"/>
      <c r="L31" s="20" t="n"/>
      <c r="M31" s="20" t="n"/>
      <c r="N31" s="22" t="n"/>
      <c r="O31" s="22" t="n"/>
      <c r="P31" s="25">
        <f>IF(OR(E31="",F31=""),"",IF(F31="kg",E31/1000,E31)*IF(C31="Karışım",IF(G31="",0,G31/100),1))</f>
        <v/>
      </c>
      <c r="Q31" s="30">
        <f>IF(OR(D31="",E31=""),"",IF(AND(I31&lt;&gt;"",I31&lt;&gt;"Yok"),"Kayıt muaf",IF(OR(D31="Alt kullanıcı",D31="Dağıtıcı"),"Kayıt yok — alt kullanıcı / dağıtıcı",IF(AND(D31="İthalatçı",H31="Evet"),"Kayıt yok — tek temsilci sizi kapsar",IF(D31="Eşya üreticisi / ithalatçısı",IF(AND(P31&gt;=1,L31="Evet"),"KAYIT KAPSAMINDA",IF(AND(P31&gt;=1,M31="Evet"),"Bildirim (SVHC / eşya)",IF(P31&gt;=1,"Kayıt yok — eşyada kasıtlı salınım yok","Kayıt yok — 1 ton altı"))),IF(P31&lt;1,"Kayıt yok — 1 ton altı",IF(OR(D31="İmalatçı",D31="İthalatçı",D31="Tek temsilci"),"KAYIT KAPSAMINDA","Rolü kontrol edin")))))))</f>
        <v/>
      </c>
      <c r="R31" s="25">
        <f>IF(Q31&lt;&gt;"KAYIT KAPSAMINDA","",IF(J31="Evet","31.12.2026",IF(AND(K31="Evet",P31&gt;=100),"31.12.2026",IF(P31&gt;=1000,"31.12.2026",IF(P31&gt;=100,"31.12.2028","31.12.2030")))))</f>
        <v/>
      </c>
      <c r="S31" s="25">
        <f>IF(Q31="KAYIT KAPSAMINDA","30.09.2026","")</f>
        <v/>
      </c>
      <c r="T31" s="26">
        <f>IF(Q31="","",IF(Q31="KAYIT KAPSAMINDA","30.09.2026’ya kadar KKS’den geçici kayıt (lider yoksa bireysel + gerekçe). Tam kayıt son tarihi "&amp;R31&amp;". KDU ile dosya, harç ve GBF.",IF(Q31="Kayıt muaf","Kayıt yok. Muafiyet dayanağını (Ek no) dosyada saklayın. GBF / SEA yükümlülüğü ayrı durabilir.",IF(Q31="Kayıt yok — alt kullanıcı / dağıtıcı","Kayıt tedarikçinindir. Türkçe KKDİK GBF isteyin, kullanıma uyun, izin/kısıtlama kontrol edin.",IF(Q31="Kayıt yok — tek temsilci sizi kapsar","Tek temsilci kaydı sizi kapsamalı. Atama yazısını ve sizin ithalatınızın dahil olduğunu teyit edin.",IF(Q31="Kayıt yok — 1 ton altı","Kayıt eşiği altında. Yıl içinde tonajı izleyin; 1 tona ulaşırsa yükümlülük o anda doğar. GBF devam eder.",IF(Q31="Kayıt yok — eşyada kasıtlı salınım yok","Eşyada kasıtlı salınım yoksa kayıt yok. SVHC ≥ %0,1 ve ≥1 ton ise bildirim doğabilir.",IF(Q31="Bildirim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1" s="26">
        <f>IF(Q31="","",IF(Q31="Kayıt muaf","Muafiyet seçildi: "&amp;I31&amp;".",IF(Q31="Kayıt yok — alt kullanıcı / dağıtıcı","Yurt içi tedarik / dağıtım rolünde kayıt ettiren siz değilsiniz.",IF(Q31="Kayıt yok — tek temsilci sizi kapsar","Yabancı üreticinin tek temsilcisi ithalatçı yükümlülüğünü üstlenir.",IF(Q31="Kayıt yok — eşyada kasıtlı salınım yok","Eşya kaydı yalnızca kasıtlı salınım tasarlanmışsa doğar.",IF(Q31="Bildirim (SVHC / eşya)","Eşyada SVHC ≥ %0,1 ve madde ≥1 ton — bildirim değerlendirmesi.",IF(Q31="Kayıt yok — 1 ton altı","Kayıt eşiği: kayıt ettiren başına yılda 1 ton.",IF(Q31="KAYIT KAPSAMINDA",IF(J31="Evet","Türkiye’de yerleşik kayıt ettiren, madde ≥1 t/yıl. CMR 1A/1B tam kaydı 31.12.2026’ya çeker.",IF(AND(K31="Evet",P31&gt;=100),"Türkiye’de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2" ht="28" customHeight="1">
      <c r="A32" s="18" t="n"/>
      <c r="B32" s="19" t="n"/>
      <c r="C32" s="20" t="n"/>
      <c r="D32" s="20" t="n"/>
      <c r="E32" s="21" t="n"/>
      <c r="F32" s="20" t="n"/>
      <c r="G32" s="21" t="n"/>
      <c r="H32" s="20" t="n"/>
      <c r="I32" s="20" t="n"/>
      <c r="J32" s="20" t="n"/>
      <c r="K32" s="20" t="n"/>
      <c r="L32" s="20" t="n"/>
      <c r="M32" s="20" t="n"/>
      <c r="N32" s="22" t="n"/>
      <c r="O32" s="22" t="n"/>
      <c r="P32" s="22">
        <f>IF(OR(E32="",F32=""),"",IF(F32="kg",E32/1000,E32)*IF(C32="Karışım",IF(G32="",0,G32/100),1))</f>
        <v/>
      </c>
      <c r="Q32" s="31">
        <f>IF(OR(D32="",E32=""),"",IF(AND(I32&lt;&gt;"",I32&lt;&gt;"Yok"),"Kayıt muaf",IF(OR(D32="Alt kullanıcı",D32="Dağıtıcı"),"Kayıt yok — alt kullanıcı / dağıtıcı",IF(AND(D32="İthalatçı",H32="Evet"),"Kayıt yok — tek temsilci sizi kapsar",IF(D32="Eşya üreticisi / ithalatçısı",IF(AND(P32&gt;=1,L32="Evet"),"KAYIT KAPSAMINDA",IF(AND(P32&gt;=1,M32="Evet"),"Bildirim (SVHC / eşya)",IF(P32&gt;=1,"Kayıt yok — eşyada kasıtlı salınım yok","Kayıt yok — 1 ton altı"))),IF(P32&lt;1,"Kayıt yok — 1 ton altı",IF(OR(D32="İmalatçı",D32="İthalatçı",D32="Tek temsilci"),"KAYIT KAPSAMINDA","Rolü kontrol edin")))))))</f>
        <v/>
      </c>
      <c r="R32" s="22">
        <f>IF(Q32&lt;&gt;"KAYIT KAPSAMINDA","",IF(J32="Evet","31.12.2026",IF(AND(K32="Evet",P32&gt;=100),"31.12.2026",IF(P32&gt;=1000,"31.12.2026",IF(P32&gt;=100,"31.12.2028","31.12.2030")))))</f>
        <v/>
      </c>
      <c r="S32" s="22">
        <f>IF(Q32="KAYIT KAPSAMINDA","30.09.2026","")</f>
        <v/>
      </c>
      <c r="T32" s="29">
        <f>IF(Q32="","",IF(Q32="KAYIT KAPSAMINDA","30.09.2026’ya kadar KKS’den geçici kayıt (lider yoksa bireysel + gerekçe). Tam kayıt son tarihi "&amp;R32&amp;". KDU ile dosya, harç ve GBF.",IF(Q32="Kayıt muaf","Kayıt yok. Muafiyet dayanağını (Ek no) dosyada saklayın. GBF / SEA yükümlülüğü ayrı durabilir.",IF(Q32="Kayıt yok — alt kullanıcı / dağıtıcı","Kayıt tedarikçinindir. Türkçe KKDİK GBF isteyin, kullanıma uyun, izin/kısıtlama kontrol edin.",IF(Q32="Kayıt yok — tek temsilci sizi kapsar","Tek temsilci kaydı sizi kapsamalı. Atama yazısını ve sizin ithalatınızın dahil olduğunu teyit edin.",IF(Q32="Kayıt yok — 1 ton altı","Kayıt eşiği altında. Yıl içinde tonajı izleyin; 1 tona ulaşırsa yükümlülük o anda doğar. GBF devam eder.",IF(Q32="Kayıt yok — eşyada kasıtlı salınım yok","Eşyada kasıtlı salınım yoksa kayıt yok. SVHC ≥ %0,1 ve ≥1 ton ise bildirim doğabilir.",IF(Q32="Bildirim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2" s="29">
        <f>IF(Q32="","",IF(Q32="Kayıt muaf","Muafiyet seçildi: "&amp;I32&amp;".",IF(Q32="Kayıt yok — alt kullanıcı / dağıtıcı","Yurt içi tedarik / dağıtım rolünde kayıt ettiren siz değilsiniz.",IF(Q32="Kayıt yok — tek temsilci sizi kapsar","Yabancı üreticinin tek temsilcisi ithalatçı yükümlülüğünü üstlenir.",IF(Q32="Kayıt yok — eşyada kasıtlı salınım yok","Eşya kaydı yalnızca kasıtlı salınım tasarlanmışsa doğar.",IF(Q32="Bildirim (SVHC / eşya)","Eşyada SVHC ≥ %0,1 ve madde ≥1 ton — bildirim değerlendirmesi.",IF(Q32="Kayıt yok — 1 ton altı","Kayıt eşiği: kayıt ettiren başına yılda 1 ton.",IF(Q32="KAYIT KAPSAMINDA",IF(J32="Evet","Türkiye’de yerleşik kayıt ettiren, madde ≥1 t/yıl. CMR 1A/1B tam kaydı 31.12.2026’ya çeker.",IF(AND(K32="Evet",P32&gt;=100),"Türkiye’de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3" ht="28" customHeight="1">
      <c r="A33" s="18" t="n"/>
      <c r="B33" s="19" t="n"/>
      <c r="C33" s="20" t="n"/>
      <c r="D33" s="20" t="n"/>
      <c r="E33" s="21" t="n"/>
      <c r="F33" s="20" t="n"/>
      <c r="G33" s="21" t="n"/>
      <c r="H33" s="20" t="n"/>
      <c r="I33" s="20" t="n"/>
      <c r="J33" s="20" t="n"/>
      <c r="K33" s="20" t="n"/>
      <c r="L33" s="20" t="n"/>
      <c r="M33" s="20" t="n"/>
      <c r="N33" s="22" t="n"/>
      <c r="O33" s="22" t="n"/>
      <c r="P33" s="25">
        <f>IF(OR(E33="",F33=""),"",IF(F33="kg",E33/1000,E33)*IF(C33="Karışım",IF(G33="",0,G33/100),1))</f>
        <v/>
      </c>
      <c r="Q33" s="30">
        <f>IF(OR(D33="",E33=""),"",IF(AND(I33&lt;&gt;"",I33&lt;&gt;"Yok"),"Kayıt muaf",IF(OR(D33="Alt kullanıcı",D33="Dağıtıcı"),"Kayıt yok — alt kullanıcı / dağıtıcı",IF(AND(D33="İthalatçı",H33="Evet"),"Kayıt yok — tek temsilci sizi kapsar",IF(D33="Eşya üreticisi / ithalatçısı",IF(AND(P33&gt;=1,L33="Evet"),"KAYIT KAPSAMINDA",IF(AND(P33&gt;=1,M33="Evet"),"Bildirim (SVHC / eşya)",IF(P33&gt;=1,"Kayıt yok — eşyada kasıtlı salınım yok","Kayıt yok — 1 ton altı"))),IF(P33&lt;1,"Kayıt yok — 1 ton altı",IF(OR(D33="İmalatçı",D33="İthalatçı",D33="Tek temsilci"),"KAYIT KAPSAMINDA","Rolü kontrol edin")))))))</f>
        <v/>
      </c>
      <c r="R33" s="25">
        <f>IF(Q33&lt;&gt;"KAYIT KAPSAMINDA","",IF(J33="Evet","31.12.2026",IF(AND(K33="Evet",P33&gt;=100),"31.12.2026",IF(P33&gt;=1000,"31.12.2026",IF(P33&gt;=100,"31.12.2028","31.12.2030")))))</f>
        <v/>
      </c>
      <c r="S33" s="25">
        <f>IF(Q33="KAYIT KAPSAMINDA","30.09.2026","")</f>
        <v/>
      </c>
      <c r="T33" s="26">
        <f>IF(Q33="","",IF(Q33="KAYIT KAPSAMINDA","30.09.2026’ya kadar KKS’den geçici kayıt (lider yoksa bireysel + gerekçe). Tam kayıt son tarihi "&amp;R33&amp;". KDU ile dosya, harç ve GBF.",IF(Q33="Kayıt muaf","Kayıt yok. Muafiyet dayanağını (Ek no) dosyada saklayın. GBF / SEA yükümlülüğü ayrı durabilir.",IF(Q33="Kayıt yok — alt kullanıcı / dağıtıcı","Kayıt tedarikçinindir. Türkçe KKDİK GBF isteyin, kullanıma uyun, izin/kısıtlama kontrol edin.",IF(Q33="Kayıt yok — tek temsilci sizi kapsar","Tek temsilci kaydı sizi kapsamalı. Atama yazısını ve sizin ithalatınızın dahil olduğunu teyit edin.",IF(Q33="Kayıt yok — 1 ton altı","Kayıt eşiği altında. Yıl içinde tonajı izleyin; 1 tona ulaşırsa yükümlülük o anda doğar. GBF devam eder.",IF(Q33="Kayıt yok — eşyada kasıtlı salınım yok","Eşyada kasıtlı salınım yoksa kayıt yok. SVHC ≥ %0,1 ve ≥1 ton ise bildirim doğabilir.",IF(Q33="Bildirim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3" s="26">
        <f>IF(Q33="","",IF(Q33="Kayıt muaf","Muafiyet seçildi: "&amp;I33&amp;".",IF(Q33="Kayıt yok — alt kullanıcı / dağıtıcı","Yurt içi tedarik / dağıtım rolünde kayıt ettiren siz değilsiniz.",IF(Q33="Kayıt yok — tek temsilci sizi kapsar","Yabancı üreticinin tek temsilcisi ithalatçı yükümlülüğünü üstlenir.",IF(Q33="Kayıt yok — eşyada kasıtlı salınım yok","Eşya kaydı yalnızca kasıtlı salınım tasarlanmışsa doğar.",IF(Q33="Bildirim (SVHC / eşya)","Eşyada SVHC ≥ %0,1 ve madde ≥1 ton — bildirim değerlendirmesi.",IF(Q33="Kayıt yok — 1 ton altı","Kayıt eşiği: kayıt ettiren başına yılda 1 ton.",IF(Q33="KAYIT KAPSAMINDA",IF(J33="Evet","Türkiye’de yerleşik kayıt ettiren, madde ≥1 t/yıl. CMR 1A/1B tam kaydı 31.12.2026’ya çeker.",IF(AND(K33="Evet",P33&gt;=100),"Türkiye’de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4" ht="28" customHeight="1">
      <c r="A34" s="18" t="n"/>
      <c r="B34" s="19" t="n"/>
      <c r="C34" s="20" t="n"/>
      <c r="D34" s="20" t="n"/>
      <c r="E34" s="21" t="n"/>
      <c r="F34" s="20" t="n"/>
      <c r="G34" s="21" t="n"/>
      <c r="H34" s="20" t="n"/>
      <c r="I34" s="20" t="n"/>
      <c r="J34" s="20" t="n"/>
      <c r="K34" s="20" t="n"/>
      <c r="L34" s="20" t="n"/>
      <c r="M34" s="20" t="n"/>
      <c r="N34" s="22" t="n"/>
      <c r="O34" s="22" t="n"/>
      <c r="P34" s="22">
        <f>IF(OR(E34="",F34=""),"",IF(F34="kg",E34/1000,E34)*IF(C34="Karışım",IF(G34="",0,G34/100),1))</f>
        <v/>
      </c>
      <c r="Q34" s="31">
        <f>IF(OR(D34="",E34=""),"",IF(AND(I34&lt;&gt;"",I34&lt;&gt;"Yok"),"Kayıt muaf",IF(OR(D34="Alt kullanıcı",D34="Dağıtıcı"),"Kayıt yok — alt kullanıcı / dağıtıcı",IF(AND(D34="İthalatçı",H34="Evet"),"Kayıt yok — tek temsilci sizi kapsar",IF(D34="Eşya üreticisi / ithalatçısı",IF(AND(P34&gt;=1,L34="Evet"),"KAYIT KAPSAMINDA",IF(AND(P34&gt;=1,M34="Evet"),"Bildirim (SVHC / eşya)",IF(P34&gt;=1,"Kayıt yok — eşyada kasıtlı salınım yok","Kayıt yok — 1 ton altı"))),IF(P34&lt;1,"Kayıt yok — 1 ton altı",IF(OR(D34="İmalatçı",D34="İthalatçı",D34="Tek temsilci"),"KAYIT KAPSAMINDA","Rolü kontrol edin")))))))</f>
        <v/>
      </c>
      <c r="R34" s="22">
        <f>IF(Q34&lt;&gt;"KAYIT KAPSAMINDA","",IF(J34="Evet","31.12.2026",IF(AND(K34="Evet",P34&gt;=100),"31.12.2026",IF(P34&gt;=1000,"31.12.2026",IF(P34&gt;=100,"31.12.2028","31.12.2030")))))</f>
        <v/>
      </c>
      <c r="S34" s="22">
        <f>IF(Q34="KAYIT KAPSAMINDA","30.09.2026","")</f>
        <v/>
      </c>
      <c r="T34" s="29">
        <f>IF(Q34="","",IF(Q34="KAYIT KAPSAMINDA","30.09.2026’ya kadar KKS’den geçici kayıt (lider yoksa bireysel + gerekçe). Tam kayıt son tarihi "&amp;R34&amp;". KDU ile dosya, harç ve GBF.",IF(Q34="Kayıt muaf","Kayıt yok. Muafiyet dayanağını (Ek no) dosyada saklayın. GBF / SEA yükümlülüğü ayrı durabilir.",IF(Q34="Kayıt yok — alt kullanıcı / dağıtıcı","Kayıt tedarikçinindir. Türkçe KKDİK GBF isteyin, kullanıma uyun, izin/kısıtlama kontrol edin.",IF(Q34="Kayıt yok — tek temsilci sizi kapsar","Tek temsilci kaydı sizi kapsamalı. Atama yazısını ve sizin ithalatınızın dahil olduğunu teyit edin.",IF(Q34="Kayıt yok — 1 ton altı","Kayıt eşiği altında. Yıl içinde tonajı izleyin; 1 tona ulaşırsa yükümlülük o anda doğar. GBF devam eder.",IF(Q34="Kayıt yok — eşyada kasıtlı salınım yok","Eşyada kasıtlı salınım yoksa kayıt yok. SVHC ≥ %0,1 ve ≥1 ton ise bildirim doğabilir.",IF(Q34="Bildirim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4" s="29">
        <f>IF(Q34="","",IF(Q34="Kayıt muaf","Muafiyet seçildi: "&amp;I34&amp;".",IF(Q34="Kayıt yok — alt kullanıcı / dağıtıcı","Yurt içi tedarik / dağıtım rolünde kayıt ettiren siz değilsiniz.",IF(Q34="Kayıt yok — tek temsilci sizi kapsar","Yabancı üreticinin tek temsilcisi ithalatçı yükümlülüğünü üstlenir.",IF(Q34="Kayıt yok — eşyada kasıtlı salınım yok","Eşya kaydı yalnızca kasıtlı salınım tasarlanmışsa doğar.",IF(Q34="Bildirim (SVHC / eşya)","Eşyada SVHC ≥ %0,1 ve madde ≥1 ton — bildirim değerlendirmesi.",IF(Q34="Kayıt yok — 1 ton altı","Kayıt eşiği: kayıt ettiren başına yılda 1 ton.",IF(Q34="KAYIT KAPSAMINDA",IF(J34="Evet","Türkiye’de yerleşik kayıt ettiren, madde ≥1 t/yıl. CMR 1A/1B tam kaydı 31.12.2026’ya çeker.",IF(AND(K34="Evet",P34&gt;=100),"Türkiye’de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5" ht="28" customHeight="1">
      <c r="A35" s="18" t="n"/>
      <c r="B35" s="19" t="n"/>
      <c r="C35" s="20" t="n"/>
      <c r="D35" s="20" t="n"/>
      <c r="E35" s="21" t="n"/>
      <c r="F35" s="20" t="n"/>
      <c r="G35" s="21" t="n"/>
      <c r="H35" s="20" t="n"/>
      <c r="I35" s="20" t="n"/>
      <c r="J35" s="20" t="n"/>
      <c r="K35" s="20" t="n"/>
      <c r="L35" s="20" t="n"/>
      <c r="M35" s="20" t="n"/>
      <c r="N35" s="22" t="n"/>
      <c r="O35" s="22" t="n"/>
      <c r="P35" s="25">
        <f>IF(OR(E35="",F35=""),"",IF(F35="kg",E35/1000,E35)*IF(C35="Karışım",IF(G35="",0,G35/100),1))</f>
        <v/>
      </c>
      <c r="Q35" s="30">
        <f>IF(OR(D35="",E35=""),"",IF(AND(I35&lt;&gt;"",I35&lt;&gt;"Yok"),"Kayıt muaf",IF(OR(D35="Alt kullanıcı",D35="Dağıtıcı"),"Kayıt yok — alt kullanıcı / dağıtıcı",IF(AND(D35="İthalatçı",H35="Evet"),"Kayıt yok — tek temsilci sizi kapsar",IF(D35="Eşya üreticisi / ithalatçısı",IF(AND(P35&gt;=1,L35="Evet"),"KAYIT KAPSAMINDA",IF(AND(P35&gt;=1,M35="Evet"),"Bildirim (SVHC / eşya)",IF(P35&gt;=1,"Kayıt yok — eşyada kasıtlı salınım yok","Kayıt yok — 1 ton altı"))),IF(P35&lt;1,"Kayıt yok — 1 ton altı",IF(OR(D35="İmalatçı",D35="İthalatçı",D35="Tek temsilci"),"KAYIT KAPSAMINDA","Rolü kontrol edin")))))))</f>
        <v/>
      </c>
      <c r="R35" s="25">
        <f>IF(Q35&lt;&gt;"KAYIT KAPSAMINDA","",IF(J35="Evet","31.12.2026",IF(AND(K35="Evet",P35&gt;=100),"31.12.2026",IF(P35&gt;=1000,"31.12.2026",IF(P35&gt;=100,"31.12.2028","31.12.2030")))))</f>
        <v/>
      </c>
      <c r="S35" s="25">
        <f>IF(Q35="KAYIT KAPSAMINDA","30.09.2026","")</f>
        <v/>
      </c>
      <c r="T35" s="26">
        <f>IF(Q35="","",IF(Q35="KAYIT KAPSAMINDA","30.09.2026’ya kadar KKS’den geçici kayıt (lider yoksa bireysel + gerekçe). Tam kayıt son tarihi "&amp;R35&amp;". KDU ile dosya, harç ve GBF.",IF(Q35="Kayıt muaf","Kayıt yok. Muafiyet dayanağını (Ek no) dosyada saklayın. GBF / SEA yükümlülüğü ayrı durabilir.",IF(Q35="Kayıt yok — alt kullanıcı / dağıtıcı","Kayıt tedarikçinindir. Türkçe KKDİK GBF isteyin, kullanıma uyun, izin/kısıtlama kontrol edin.",IF(Q35="Kayıt yok — tek temsilci sizi kapsar","Tek temsilci kaydı sizi kapsamalı. Atama yazısını ve sizin ithalatınızın dahil olduğunu teyit edin.",IF(Q35="Kayıt yok — 1 ton altı","Kayıt eşiği altında. Yıl içinde tonajı izleyin; 1 tona ulaşırsa yükümlülük o anda doğar. GBF devam eder.",IF(Q35="Kayıt yok — eşyada kasıtlı salınım yok","Eşyada kasıtlı salınım yoksa kayıt yok. SVHC ≥ %0,1 ve ≥1 ton ise bildirim doğabilir.",IF(Q35="Bildirim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5" s="26">
        <f>IF(Q35="","",IF(Q35="Kayıt muaf","Muafiyet seçildi: "&amp;I35&amp;".",IF(Q35="Kayıt yok — alt kullanıcı / dağıtıcı","Yurt içi tedarik / dağıtım rolünde kayıt ettiren siz değilsiniz.",IF(Q35="Kayıt yok — tek temsilci sizi kapsar","Yabancı üreticinin tek temsilcisi ithalatçı yükümlülüğünü üstlenir.",IF(Q35="Kayıt yok — eşyada kasıtlı salınım yok","Eşya kaydı yalnızca kasıtlı salınım tasarlanmışsa doğar.",IF(Q35="Bildirim (SVHC / eşya)","Eşyada SVHC ≥ %0,1 ve madde ≥1 ton — bildirim değerlendirmesi.",IF(Q35="Kayıt yok — 1 ton altı","Kayıt eşiği: kayıt ettiren başına yılda 1 ton.",IF(Q35="KAYIT KAPSAMINDA",IF(J35="Evet","Türkiye’de yerleşik kayıt ettiren, madde ≥1 t/yıl. CMR 1A/1B tam kaydı 31.12.2026’ya çeker.",IF(AND(K35="Evet",P35&gt;=100),"Türkiye’de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6" ht="28" customHeight="1">
      <c r="A36" s="18" t="n"/>
      <c r="B36" s="19" t="n"/>
      <c r="C36" s="20" t="n"/>
      <c r="D36" s="20" t="n"/>
      <c r="E36" s="21" t="n"/>
      <c r="F36" s="20" t="n"/>
      <c r="G36" s="21" t="n"/>
      <c r="H36" s="20" t="n"/>
      <c r="I36" s="20" t="n"/>
      <c r="J36" s="20" t="n"/>
      <c r="K36" s="20" t="n"/>
      <c r="L36" s="20" t="n"/>
      <c r="M36" s="20" t="n"/>
      <c r="N36" s="22" t="n"/>
      <c r="O36" s="22" t="n"/>
      <c r="P36" s="22">
        <f>IF(OR(E36="",F36=""),"",IF(F36="kg",E36/1000,E36)*IF(C36="Karışım",IF(G36="",0,G36/100),1))</f>
        <v/>
      </c>
      <c r="Q36" s="31">
        <f>IF(OR(D36="",E36=""),"",IF(AND(I36&lt;&gt;"",I36&lt;&gt;"Yok"),"Kayıt muaf",IF(OR(D36="Alt kullanıcı",D36="Dağıtıcı"),"Kayıt yok — alt kullanıcı / dağıtıcı",IF(AND(D36="İthalatçı",H36="Evet"),"Kayıt yok — tek temsilci sizi kapsar",IF(D36="Eşya üreticisi / ithalatçısı",IF(AND(P36&gt;=1,L36="Evet"),"KAYIT KAPSAMINDA",IF(AND(P36&gt;=1,M36="Evet"),"Bildirim (SVHC / eşya)",IF(P36&gt;=1,"Kayıt yok — eşyada kasıtlı salınım yok","Kayıt yok — 1 ton altı"))),IF(P36&lt;1,"Kayıt yok — 1 ton altı",IF(OR(D36="İmalatçı",D36="İthalatçı",D36="Tek temsilci"),"KAYIT KAPSAMINDA","Rolü kontrol edin")))))))</f>
        <v/>
      </c>
      <c r="R36" s="22">
        <f>IF(Q36&lt;&gt;"KAYIT KAPSAMINDA","",IF(J36="Evet","31.12.2026",IF(AND(K36="Evet",P36&gt;=100),"31.12.2026",IF(P36&gt;=1000,"31.12.2026",IF(P36&gt;=100,"31.12.2028","31.12.2030")))))</f>
        <v/>
      </c>
      <c r="S36" s="22">
        <f>IF(Q36="KAYIT KAPSAMINDA","30.09.2026","")</f>
        <v/>
      </c>
      <c r="T36" s="29">
        <f>IF(Q36="","",IF(Q36="KAYIT KAPSAMINDA","30.09.2026’ya kadar KKS’den geçici kayıt (lider yoksa bireysel + gerekçe). Tam kayıt son tarihi "&amp;R36&amp;". KDU ile dosya, harç ve GBF.",IF(Q36="Kayıt muaf","Kayıt yok. Muafiyet dayanağını (Ek no) dosyada saklayın. GBF / SEA yükümlülüğü ayrı durabilir.",IF(Q36="Kayıt yok — alt kullanıcı / dağıtıcı","Kayıt tedarikçinindir. Türkçe KKDİK GBF isteyin, kullanıma uyun, izin/kısıtlama kontrol edin.",IF(Q36="Kayıt yok — tek temsilci sizi kapsar","Tek temsilci kaydı sizi kapsamalı. Atama yazısını ve sizin ithalatınızın dahil olduğunu teyit edin.",IF(Q36="Kayıt yok — 1 ton altı","Kayıt eşiği altında. Yıl içinde tonajı izleyin; 1 tona ulaşırsa yükümlülük o anda doğar. GBF devam eder.",IF(Q36="Kayıt yok — eşyada kasıtlı salınım yok","Eşyada kasıtlı salınım yoksa kayıt yok. SVHC ≥ %0,1 ve ≥1 ton ise bildirim doğabilir.",IF(Q36="Bildirim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6" s="29">
        <f>IF(Q36="","",IF(Q36="Kayıt muaf","Muafiyet seçildi: "&amp;I36&amp;".",IF(Q36="Kayıt yok — alt kullanıcı / dağıtıcı","Yurt içi tedarik / dağıtım rolünde kayıt ettiren siz değilsiniz.",IF(Q36="Kayıt yok — tek temsilci sizi kapsar","Yabancı üreticinin tek temsilcisi ithalatçı yükümlülüğünü üstlenir.",IF(Q36="Kayıt yok — eşyada kasıtlı salınım yok","Eşya kaydı yalnızca kasıtlı salınım tasarlanmışsa doğar.",IF(Q36="Bildirim (SVHC / eşya)","Eşyada SVHC ≥ %0,1 ve madde ≥1 ton — bildirim değerlendirmesi.",IF(Q36="Kayıt yok — 1 ton altı","Kayıt eşiği: kayıt ettiren başına yılda 1 ton.",IF(Q36="KAYIT KAPSAMINDA",IF(J36="Evet","Türkiye’de yerleşik kayıt ettiren, madde ≥1 t/yıl. CMR 1A/1B tam kaydı 31.12.2026’ya çeker.",IF(AND(K36="Evet",P36&gt;=100),"Türkiye’de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7" ht="28" customHeight="1">
      <c r="A37" s="18" t="n"/>
      <c r="B37" s="19" t="n"/>
      <c r="C37" s="20" t="n"/>
      <c r="D37" s="20" t="n"/>
      <c r="E37" s="21" t="n"/>
      <c r="F37" s="20" t="n"/>
      <c r="G37" s="21" t="n"/>
      <c r="H37" s="20" t="n"/>
      <c r="I37" s="20" t="n"/>
      <c r="J37" s="20" t="n"/>
      <c r="K37" s="20" t="n"/>
      <c r="L37" s="20" t="n"/>
      <c r="M37" s="20" t="n"/>
      <c r="N37" s="22" t="n"/>
      <c r="O37" s="22" t="n"/>
      <c r="P37" s="25">
        <f>IF(OR(E37="",F37=""),"",IF(F37="kg",E37/1000,E37)*IF(C37="Karışım",IF(G37="",0,G37/100),1))</f>
        <v/>
      </c>
      <c r="Q37" s="30">
        <f>IF(OR(D37="",E37=""),"",IF(AND(I37&lt;&gt;"",I37&lt;&gt;"Yok"),"Kayıt muaf",IF(OR(D37="Alt kullanıcı",D37="Dağıtıcı"),"Kayıt yok — alt kullanıcı / dağıtıcı",IF(AND(D37="İthalatçı",H37="Evet"),"Kayıt yok — tek temsilci sizi kapsar",IF(D37="Eşya üreticisi / ithalatçısı",IF(AND(P37&gt;=1,L37="Evet"),"KAYIT KAPSAMINDA",IF(AND(P37&gt;=1,M37="Evet"),"Bildirim (SVHC / eşya)",IF(P37&gt;=1,"Kayıt yok — eşyada kasıtlı salınım yok","Kayıt yok — 1 ton altı"))),IF(P37&lt;1,"Kayıt yok — 1 ton altı",IF(OR(D37="İmalatçı",D37="İthalatçı",D37="Tek temsilci"),"KAYIT KAPSAMINDA","Rolü kontrol edin")))))))</f>
        <v/>
      </c>
      <c r="R37" s="25">
        <f>IF(Q37&lt;&gt;"KAYIT KAPSAMINDA","",IF(J37="Evet","31.12.2026",IF(AND(K37="Evet",P37&gt;=100),"31.12.2026",IF(P37&gt;=1000,"31.12.2026",IF(P37&gt;=100,"31.12.2028","31.12.2030")))))</f>
        <v/>
      </c>
      <c r="S37" s="25">
        <f>IF(Q37="KAYIT KAPSAMINDA","30.09.2026","")</f>
        <v/>
      </c>
      <c r="T37" s="26">
        <f>IF(Q37="","",IF(Q37="KAYIT KAPSAMINDA","30.09.2026’ya kadar KKS’den geçici kayıt (lider yoksa bireysel + gerekçe). Tam kayıt son tarihi "&amp;R37&amp;". KDU ile dosya, harç ve GBF.",IF(Q37="Kayıt muaf","Kayıt yok. Muafiyet dayanağını (Ek no) dosyada saklayın. GBF / SEA yükümlülüğü ayrı durabilir.",IF(Q37="Kayıt yok — alt kullanıcı / dağıtıcı","Kayıt tedarikçinindir. Türkçe KKDİK GBF isteyin, kullanıma uyun, izin/kısıtlama kontrol edin.",IF(Q37="Kayıt yok — tek temsilci sizi kapsar","Tek temsilci kaydı sizi kapsamalı. Atama yazısını ve sizin ithalatınızın dahil olduğunu teyit edin.",IF(Q37="Kayıt yok — 1 ton altı","Kayıt eşiği altında. Yıl içinde tonajı izleyin; 1 tona ulaşırsa yükümlülük o anda doğar. GBF devam eder.",IF(Q37="Kayıt yok — eşyada kasıtlı salınım yok","Eşyada kasıtlı salınım yoksa kayıt yok. SVHC ≥ %0,1 ve ≥1 ton ise bildirim doğabilir.",IF(Q37="Bildirim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7" s="26">
        <f>IF(Q37="","",IF(Q37="Kayıt muaf","Muafiyet seçildi: "&amp;I37&amp;".",IF(Q37="Kayıt yok — alt kullanıcı / dağıtıcı","Yurt içi tedarik / dağıtım rolünde kayıt ettiren siz değilsiniz.",IF(Q37="Kayıt yok — tek temsilci sizi kapsar","Yabancı üreticinin tek temsilcisi ithalatçı yükümlülüğünü üstlenir.",IF(Q37="Kayıt yok — eşyada kasıtlı salınım yok","Eşya kaydı yalnızca kasıtlı salınım tasarlanmışsa doğar.",IF(Q37="Bildirim (SVHC / eşya)","Eşyada SVHC ≥ %0,1 ve madde ≥1 ton — bildirim değerlendirmesi.",IF(Q37="Kayıt yok — 1 ton altı","Kayıt eşiği: kayıt ettiren başına yılda 1 ton.",IF(Q37="KAYIT KAPSAMINDA",IF(J37="Evet","Türkiye’de yerleşik kayıt ettiren, madde ≥1 t/yıl. CMR 1A/1B tam kaydı 31.12.2026’ya çeker.",IF(AND(K37="Evet",P37&gt;=100),"Türkiye’de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8" ht="28" customHeight="1">
      <c r="A38" s="18" t="n"/>
      <c r="B38" s="19" t="n"/>
      <c r="C38" s="20" t="n"/>
      <c r="D38" s="20" t="n"/>
      <c r="E38" s="21" t="n"/>
      <c r="F38" s="20" t="n"/>
      <c r="G38" s="21" t="n"/>
      <c r="H38" s="20" t="n"/>
      <c r="I38" s="20" t="n"/>
      <c r="J38" s="20" t="n"/>
      <c r="K38" s="20" t="n"/>
      <c r="L38" s="20" t="n"/>
      <c r="M38" s="20" t="n"/>
      <c r="N38" s="22" t="n"/>
      <c r="O38" s="22" t="n"/>
      <c r="P38" s="22">
        <f>IF(OR(E38="",F38=""),"",IF(F38="kg",E38/1000,E38)*IF(C38="Karışım",IF(G38="",0,G38/100),1))</f>
        <v/>
      </c>
      <c r="Q38" s="31">
        <f>IF(OR(D38="",E38=""),"",IF(AND(I38&lt;&gt;"",I38&lt;&gt;"Yok"),"Kayıt muaf",IF(OR(D38="Alt kullanıcı",D38="Dağıtıcı"),"Kayıt yok — alt kullanıcı / dağıtıcı",IF(AND(D38="İthalatçı",H38="Evet"),"Kayıt yok — tek temsilci sizi kapsar",IF(D38="Eşya üreticisi / ithalatçısı",IF(AND(P38&gt;=1,L38="Evet"),"KAYIT KAPSAMINDA",IF(AND(P38&gt;=1,M38="Evet"),"Bildirim (SVHC / eşya)",IF(P38&gt;=1,"Kayıt yok — eşyada kasıtlı salınım yok","Kayıt yok — 1 ton altı"))),IF(P38&lt;1,"Kayıt yok — 1 ton altı",IF(OR(D38="İmalatçı",D38="İthalatçı",D38="Tek temsilci"),"KAYIT KAPSAMINDA","Rolü kontrol edin")))))))</f>
        <v/>
      </c>
      <c r="R38" s="22">
        <f>IF(Q38&lt;&gt;"KAYIT KAPSAMINDA","",IF(J38="Evet","31.12.2026",IF(AND(K38="Evet",P38&gt;=100),"31.12.2026",IF(P38&gt;=1000,"31.12.2026",IF(P38&gt;=100,"31.12.2028","31.12.2030")))))</f>
        <v/>
      </c>
      <c r="S38" s="22">
        <f>IF(Q38="KAYIT KAPSAMINDA","30.09.2026","")</f>
        <v/>
      </c>
      <c r="T38" s="29">
        <f>IF(Q38="","",IF(Q38="KAYIT KAPSAMINDA","30.09.2026’ya kadar KKS’den geçici kayıt (lider yoksa bireysel + gerekçe). Tam kayıt son tarihi "&amp;R38&amp;". KDU ile dosya, harç ve GBF.",IF(Q38="Kayıt muaf","Kayıt yok. Muafiyet dayanağını (Ek no) dosyada saklayın. GBF / SEA yükümlülüğü ayrı durabilir.",IF(Q38="Kayıt yok — alt kullanıcı / dağıtıcı","Kayıt tedarikçinindir. Türkçe KKDİK GBF isteyin, kullanıma uyun, izin/kısıtlama kontrol edin.",IF(Q38="Kayıt yok — tek temsilci sizi kapsar","Tek temsilci kaydı sizi kapsamalı. Atama yazısını ve sizin ithalatınızın dahil olduğunu teyit edin.",IF(Q38="Kayıt yok — 1 ton altı","Kayıt eşiği altında. Yıl içinde tonajı izleyin; 1 tona ulaşırsa yükümlülük o anda doğar. GBF devam eder.",IF(Q38="Kayıt yok — eşyada kasıtlı salınım yok","Eşyada kasıtlı salınım yoksa kayıt yok. SVHC ≥ %0,1 ve ≥1 ton ise bildirim doğabilir.",IF(Q38="Bildirim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8" s="29">
        <f>IF(Q38="","",IF(Q38="Kayıt muaf","Muafiyet seçildi: "&amp;I38&amp;".",IF(Q38="Kayıt yok — alt kullanıcı / dağıtıcı","Yurt içi tedarik / dağıtım rolünde kayıt ettiren siz değilsiniz.",IF(Q38="Kayıt yok — tek temsilci sizi kapsar","Yabancı üreticinin tek temsilcisi ithalatçı yükümlülüğünü üstlenir.",IF(Q38="Kayıt yok — eşyada kasıtlı salınım yok","Eşya kaydı yalnızca kasıtlı salınım tasarlanmışsa doğar.",IF(Q38="Bildirim (SVHC / eşya)","Eşyada SVHC ≥ %0,1 ve madde ≥1 ton — bildirim değerlendirmesi.",IF(Q38="Kayıt yok — 1 ton altı","Kayıt eşiği: kayıt ettiren başına yılda 1 ton.",IF(Q38="KAYIT KAPSAMINDA",IF(J38="Evet","Türkiye’de yerleşik kayıt ettiren, madde ≥1 t/yıl. CMR 1A/1B tam kaydı 31.12.2026’ya çeker.",IF(AND(K38="Evet",P38&gt;=100),"Türkiye’de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39" ht="28" customHeight="1">
      <c r="A39" s="18" t="n"/>
      <c r="B39" s="19" t="n"/>
      <c r="C39" s="20" t="n"/>
      <c r="D39" s="20" t="n"/>
      <c r="E39" s="21" t="n"/>
      <c r="F39" s="20" t="n"/>
      <c r="G39" s="21" t="n"/>
      <c r="H39" s="20" t="n"/>
      <c r="I39" s="20" t="n"/>
      <c r="J39" s="20" t="n"/>
      <c r="K39" s="20" t="n"/>
      <c r="L39" s="20" t="n"/>
      <c r="M39" s="20" t="n"/>
      <c r="N39" s="22" t="n"/>
      <c r="O39" s="22" t="n"/>
      <c r="P39" s="25">
        <f>IF(OR(E39="",F39=""),"",IF(F39="kg",E39/1000,E39)*IF(C39="Karışım",IF(G39="",0,G39/100),1))</f>
        <v/>
      </c>
      <c r="Q39" s="30">
        <f>IF(OR(D39="",E39=""),"",IF(AND(I39&lt;&gt;"",I39&lt;&gt;"Yok"),"Kayıt muaf",IF(OR(D39="Alt kullanıcı",D39="Dağıtıcı"),"Kayıt yok — alt kullanıcı / dağıtıcı",IF(AND(D39="İthalatçı",H39="Evet"),"Kayıt yok — tek temsilci sizi kapsar",IF(D39="Eşya üreticisi / ithalatçısı",IF(AND(P39&gt;=1,L39="Evet"),"KAYIT KAPSAMINDA",IF(AND(P39&gt;=1,M39="Evet"),"Bildirim (SVHC / eşya)",IF(P39&gt;=1,"Kayıt yok — eşyada kasıtlı salınım yok","Kayıt yok — 1 ton altı"))),IF(P39&lt;1,"Kayıt yok — 1 ton altı",IF(OR(D39="İmalatçı",D39="İthalatçı",D39="Tek temsilci"),"KAYIT KAPSAMINDA","Rolü kontrol edin")))))))</f>
        <v/>
      </c>
      <c r="R39" s="25">
        <f>IF(Q39&lt;&gt;"KAYIT KAPSAMINDA","",IF(J39="Evet","31.12.2026",IF(AND(K39="Evet",P39&gt;=100),"31.12.2026",IF(P39&gt;=1000,"31.12.2026",IF(P39&gt;=100,"31.12.2028","31.12.2030")))))</f>
        <v/>
      </c>
      <c r="S39" s="25">
        <f>IF(Q39="KAYIT KAPSAMINDA","30.09.2026","")</f>
        <v/>
      </c>
      <c r="T39" s="26">
        <f>IF(Q39="","",IF(Q39="KAYIT KAPSAMINDA","30.09.2026’ya kadar KKS’den geçici kayıt (lider yoksa bireysel + gerekçe). Tam kayıt son tarihi "&amp;R39&amp;". KDU ile dosya, harç ve GBF.",IF(Q39="Kayıt muaf","Kayıt yok. Muafiyet dayanağını (Ek no) dosyada saklayın. GBF / SEA yükümlülüğü ayrı durabilir.",IF(Q39="Kayıt yok — alt kullanıcı / dağıtıcı","Kayıt tedarikçinindir. Türkçe KKDİK GBF isteyin, kullanıma uyun, izin/kısıtlama kontrol edin.",IF(Q39="Kayıt yok — tek temsilci sizi kapsar","Tek temsilci kaydı sizi kapsamalı. Atama yazısını ve sizin ithalatınızın dahil olduğunu teyit edin.",IF(Q39="Kayıt yok — 1 ton altı","Kayıt eşiği altında. Yıl içinde tonajı izleyin; 1 tona ulaşırsa yükümlülük o anda doğar. GBF devam eder.",IF(Q39="Kayıt yok — eşyada kasıtlı salınım yok","Eşyada kasıtlı salınım yoksa kayıt yok. SVHC ≥ %0,1 ve ≥1 ton ise bildirim doğabilir.",IF(Q39="Bildirim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39" s="26">
        <f>IF(Q39="","",IF(Q39="Kayıt muaf","Muafiyet seçildi: "&amp;I39&amp;".",IF(Q39="Kayıt yok — alt kullanıcı / dağıtıcı","Yurt içi tedarik / dağıtım rolünde kayıt ettiren siz değilsiniz.",IF(Q39="Kayıt yok — tek temsilci sizi kapsar","Yabancı üreticinin tek temsilcisi ithalatçı yükümlülüğünü üstlenir.",IF(Q39="Kayıt yok — eşyada kasıtlı salınım yok","Eşya kaydı yalnızca kasıtlı salınım tasarlanmışsa doğar.",IF(Q39="Bildirim (SVHC / eşya)","Eşyada SVHC ≥ %0,1 ve madde ≥1 ton — bildirim değerlendirmesi.",IF(Q39="Kayıt yok — 1 ton altı","Kayıt eşiği: kayıt ettiren başına yılda 1 ton.",IF(Q39="KAYIT KAPSAMINDA",IF(J39="Evet","Türkiye’de yerleşik kayıt ettiren, madde ≥1 t/yıl. CMR 1A/1B tam kaydı 31.12.2026’ya çeker.",IF(AND(K39="Evet",P39&gt;=100),"Türkiye’de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0" ht="28" customHeight="1">
      <c r="A40" s="18" t="n"/>
      <c r="B40" s="19" t="n"/>
      <c r="C40" s="20" t="n"/>
      <c r="D40" s="20" t="n"/>
      <c r="E40" s="21" t="n"/>
      <c r="F40" s="20" t="n"/>
      <c r="G40" s="21" t="n"/>
      <c r="H40" s="20" t="n"/>
      <c r="I40" s="20" t="n"/>
      <c r="J40" s="20" t="n"/>
      <c r="K40" s="20" t="n"/>
      <c r="L40" s="20" t="n"/>
      <c r="M40" s="20" t="n"/>
      <c r="N40" s="22" t="n"/>
      <c r="O40" s="22" t="n"/>
      <c r="P40" s="22">
        <f>IF(OR(E40="",F40=""),"",IF(F40="kg",E40/1000,E40)*IF(C40="Karışım",IF(G40="",0,G40/100),1))</f>
        <v/>
      </c>
      <c r="Q40" s="31">
        <f>IF(OR(D40="",E40=""),"",IF(AND(I40&lt;&gt;"",I40&lt;&gt;"Yok"),"Kayıt muaf",IF(OR(D40="Alt kullanıcı",D40="Dağıtıcı"),"Kayıt yok — alt kullanıcı / dağıtıcı",IF(AND(D40="İthalatçı",H40="Evet"),"Kayıt yok — tek temsilci sizi kapsar",IF(D40="Eşya üreticisi / ithalatçısı",IF(AND(P40&gt;=1,L40="Evet"),"KAYIT KAPSAMINDA",IF(AND(P40&gt;=1,M40="Evet"),"Bildirim (SVHC / eşya)",IF(P40&gt;=1,"Kayıt yok — eşyada kasıtlı salınım yok","Kayıt yok — 1 ton altı"))),IF(P40&lt;1,"Kayıt yok — 1 ton altı",IF(OR(D40="İmalatçı",D40="İthalatçı",D40="Tek temsilci"),"KAYIT KAPSAMINDA","Rolü kontrol edin")))))))</f>
        <v/>
      </c>
      <c r="R40" s="22">
        <f>IF(Q40&lt;&gt;"KAYIT KAPSAMINDA","",IF(J40="Evet","31.12.2026",IF(AND(K40="Evet",P40&gt;=100),"31.12.2026",IF(P40&gt;=1000,"31.12.2026",IF(P40&gt;=100,"31.12.2028","31.12.2030")))))</f>
        <v/>
      </c>
      <c r="S40" s="22">
        <f>IF(Q40="KAYIT KAPSAMINDA","30.09.2026","")</f>
        <v/>
      </c>
      <c r="T40" s="29">
        <f>IF(Q40="","",IF(Q40="KAYIT KAPSAMINDA","30.09.2026’ya kadar KKS’den geçici kayıt (lider yoksa bireysel + gerekçe). Tam kayıt son tarihi "&amp;R40&amp;". KDU ile dosya, harç ve GBF.",IF(Q40="Kayıt muaf","Kayıt yok. Muafiyet dayanağını (Ek no) dosyada saklayın. GBF / SEA yükümlülüğü ayrı durabilir.",IF(Q40="Kayıt yok — alt kullanıcı / dağıtıcı","Kayıt tedarikçinindir. Türkçe KKDİK GBF isteyin, kullanıma uyun, izin/kısıtlama kontrol edin.",IF(Q40="Kayıt yok — tek temsilci sizi kapsar","Tek temsilci kaydı sizi kapsamalı. Atama yazısını ve sizin ithalatınızın dahil olduğunu teyit edin.",IF(Q40="Kayıt yok — 1 ton altı","Kayıt eşiği altında. Yıl içinde tonajı izleyin; 1 tona ulaşırsa yükümlülük o anda doğar. GBF devam eder.",IF(Q40="Kayıt yok — eşyada kasıtlı salınım yok","Eşyada kasıtlı salınım yoksa kayıt yok. SVHC ≥ %0,1 ve ≥1 ton ise bildirim doğabilir.",IF(Q40="Bildirim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0" s="29">
        <f>IF(Q40="","",IF(Q40="Kayıt muaf","Muafiyet seçildi: "&amp;I40&amp;".",IF(Q40="Kayıt yok — alt kullanıcı / dağıtıcı","Yurt içi tedarik / dağıtım rolünde kayıt ettiren siz değilsiniz.",IF(Q40="Kayıt yok — tek temsilci sizi kapsar","Yabancı üreticinin tek temsilcisi ithalatçı yükümlülüğünü üstlenir.",IF(Q40="Kayıt yok — eşyada kasıtlı salınım yok","Eşya kaydı yalnızca kasıtlı salınım tasarlanmışsa doğar.",IF(Q40="Bildirim (SVHC / eşya)","Eşyada SVHC ≥ %0,1 ve madde ≥1 ton — bildirim değerlendirmesi.",IF(Q40="Kayıt yok — 1 ton altı","Kayıt eşiği: kayıt ettiren başına yılda 1 ton.",IF(Q40="KAYIT KAPSAMINDA",IF(J40="Evet","Türkiye’de yerleşik kayıt ettiren, madde ≥1 t/yıl. CMR 1A/1B tam kaydı 31.12.2026’ya çeker.",IF(AND(K40="Evet",P40&gt;=100),"Türkiye’de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1" ht="28" customHeight="1">
      <c r="A41" s="18" t="n"/>
      <c r="B41" s="19" t="n"/>
      <c r="C41" s="20" t="n"/>
      <c r="D41" s="20" t="n"/>
      <c r="E41" s="21" t="n"/>
      <c r="F41" s="20" t="n"/>
      <c r="G41" s="21" t="n"/>
      <c r="H41" s="20" t="n"/>
      <c r="I41" s="20" t="n"/>
      <c r="J41" s="20" t="n"/>
      <c r="K41" s="20" t="n"/>
      <c r="L41" s="20" t="n"/>
      <c r="M41" s="20" t="n"/>
      <c r="N41" s="22" t="n"/>
      <c r="O41" s="22" t="n"/>
      <c r="P41" s="25">
        <f>IF(OR(E41="",F41=""),"",IF(F41="kg",E41/1000,E41)*IF(C41="Karışım",IF(G41="",0,G41/100),1))</f>
        <v/>
      </c>
      <c r="Q41" s="30">
        <f>IF(OR(D41="",E41=""),"",IF(AND(I41&lt;&gt;"",I41&lt;&gt;"Yok"),"Kayıt muaf",IF(OR(D41="Alt kullanıcı",D41="Dağıtıcı"),"Kayıt yok — alt kullanıcı / dağıtıcı",IF(AND(D41="İthalatçı",H41="Evet"),"Kayıt yok — tek temsilci sizi kapsar",IF(D41="Eşya üreticisi / ithalatçısı",IF(AND(P41&gt;=1,L41="Evet"),"KAYIT KAPSAMINDA",IF(AND(P41&gt;=1,M41="Evet"),"Bildirim (SVHC / eşya)",IF(P41&gt;=1,"Kayıt yok — eşyada kasıtlı salınım yok","Kayıt yok — 1 ton altı"))),IF(P41&lt;1,"Kayıt yok — 1 ton altı",IF(OR(D41="İmalatçı",D41="İthalatçı",D41="Tek temsilci"),"KAYIT KAPSAMINDA","Rolü kontrol edin")))))))</f>
        <v/>
      </c>
      <c r="R41" s="25">
        <f>IF(Q41&lt;&gt;"KAYIT KAPSAMINDA","",IF(J41="Evet","31.12.2026",IF(AND(K41="Evet",P41&gt;=100),"31.12.2026",IF(P41&gt;=1000,"31.12.2026",IF(P41&gt;=100,"31.12.2028","31.12.2030")))))</f>
        <v/>
      </c>
      <c r="S41" s="25">
        <f>IF(Q41="KAYIT KAPSAMINDA","30.09.2026","")</f>
        <v/>
      </c>
      <c r="T41" s="26">
        <f>IF(Q41="","",IF(Q41="KAYIT KAPSAMINDA","30.09.2026’ya kadar KKS’den geçici kayıt (lider yoksa bireysel + gerekçe). Tam kayıt son tarihi "&amp;R41&amp;". KDU ile dosya, harç ve GBF.",IF(Q41="Kayıt muaf","Kayıt yok. Muafiyet dayanağını (Ek no) dosyada saklayın. GBF / SEA yükümlülüğü ayrı durabilir.",IF(Q41="Kayıt yok — alt kullanıcı / dağıtıcı","Kayıt tedarikçinindir. Türkçe KKDİK GBF isteyin, kullanıma uyun, izin/kısıtlama kontrol edin.",IF(Q41="Kayıt yok — tek temsilci sizi kapsar","Tek temsilci kaydı sizi kapsamalı. Atama yazısını ve sizin ithalatınızın dahil olduğunu teyit edin.",IF(Q41="Kayıt yok — 1 ton altı","Kayıt eşiği altında. Yıl içinde tonajı izleyin; 1 tona ulaşırsa yükümlülük o anda doğar. GBF devam eder.",IF(Q41="Kayıt yok — eşyada kasıtlı salınım yok","Eşyada kasıtlı salınım yoksa kayıt yok. SVHC ≥ %0,1 ve ≥1 ton ise bildirim doğabilir.",IF(Q41="Bildirim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1" s="26">
        <f>IF(Q41="","",IF(Q41="Kayıt muaf","Muafiyet seçildi: "&amp;I41&amp;".",IF(Q41="Kayıt yok — alt kullanıcı / dağıtıcı","Yurt içi tedarik / dağıtım rolünde kayıt ettiren siz değilsiniz.",IF(Q41="Kayıt yok — tek temsilci sizi kapsar","Yabancı üreticinin tek temsilcisi ithalatçı yükümlülüğünü üstlenir.",IF(Q41="Kayıt yok — eşyada kasıtlı salınım yok","Eşya kaydı yalnızca kasıtlı salınım tasarlanmışsa doğar.",IF(Q41="Bildirim (SVHC / eşya)","Eşyada SVHC ≥ %0,1 ve madde ≥1 ton — bildirim değerlendirmesi.",IF(Q41="Kayıt yok — 1 ton altı","Kayıt eşiği: kayıt ettiren başına yılda 1 ton.",IF(Q41="KAYIT KAPSAMINDA",IF(J41="Evet","Türkiye’de yerleşik kayıt ettiren, madde ≥1 t/yıl. CMR 1A/1B tam kaydı 31.12.2026’ya çeker.",IF(AND(K41="Evet",P41&gt;=100),"Türkiye’de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2" ht="28" customHeight="1">
      <c r="A42" s="18" t="n"/>
      <c r="B42" s="19" t="n"/>
      <c r="C42" s="20" t="n"/>
      <c r="D42" s="20" t="n"/>
      <c r="E42" s="21" t="n"/>
      <c r="F42" s="20" t="n"/>
      <c r="G42" s="21" t="n"/>
      <c r="H42" s="20" t="n"/>
      <c r="I42" s="20" t="n"/>
      <c r="J42" s="20" t="n"/>
      <c r="K42" s="20" t="n"/>
      <c r="L42" s="20" t="n"/>
      <c r="M42" s="20" t="n"/>
      <c r="N42" s="22" t="n"/>
      <c r="O42" s="22" t="n"/>
      <c r="P42" s="22">
        <f>IF(OR(E42="",F42=""),"",IF(F42="kg",E42/1000,E42)*IF(C42="Karışım",IF(G42="",0,G42/100),1))</f>
        <v/>
      </c>
      <c r="Q42" s="31">
        <f>IF(OR(D42="",E42=""),"",IF(AND(I42&lt;&gt;"",I42&lt;&gt;"Yok"),"Kayıt muaf",IF(OR(D42="Alt kullanıcı",D42="Dağıtıcı"),"Kayıt yok — alt kullanıcı / dağıtıcı",IF(AND(D42="İthalatçı",H42="Evet"),"Kayıt yok — tek temsilci sizi kapsar",IF(D42="Eşya üreticisi / ithalatçısı",IF(AND(P42&gt;=1,L42="Evet"),"KAYIT KAPSAMINDA",IF(AND(P42&gt;=1,M42="Evet"),"Bildirim (SVHC / eşya)",IF(P42&gt;=1,"Kayıt yok — eşyada kasıtlı salınım yok","Kayıt yok — 1 ton altı"))),IF(P42&lt;1,"Kayıt yok — 1 ton altı",IF(OR(D42="İmalatçı",D42="İthalatçı",D42="Tek temsilci"),"KAYIT KAPSAMINDA","Rolü kontrol edin")))))))</f>
        <v/>
      </c>
      <c r="R42" s="22">
        <f>IF(Q42&lt;&gt;"KAYIT KAPSAMINDA","",IF(J42="Evet","31.12.2026",IF(AND(K42="Evet",P42&gt;=100),"31.12.2026",IF(P42&gt;=1000,"31.12.2026",IF(P42&gt;=100,"31.12.2028","31.12.2030")))))</f>
        <v/>
      </c>
      <c r="S42" s="22">
        <f>IF(Q42="KAYIT KAPSAMINDA","30.09.2026","")</f>
        <v/>
      </c>
      <c r="T42" s="29">
        <f>IF(Q42="","",IF(Q42="KAYIT KAPSAMINDA","30.09.2026’ya kadar KKS’den geçici kayıt (lider yoksa bireysel + gerekçe). Tam kayıt son tarihi "&amp;R42&amp;". KDU ile dosya, harç ve GBF.",IF(Q42="Kayıt muaf","Kayıt yok. Muafiyet dayanağını (Ek no) dosyada saklayın. GBF / SEA yükümlülüğü ayrı durabilir.",IF(Q42="Kayıt yok — alt kullanıcı / dağıtıcı","Kayıt tedarikçinindir. Türkçe KKDİK GBF isteyin, kullanıma uyun, izin/kısıtlama kontrol edin.",IF(Q42="Kayıt yok — tek temsilci sizi kapsar","Tek temsilci kaydı sizi kapsamalı. Atama yazısını ve sizin ithalatınızın dahil olduğunu teyit edin.",IF(Q42="Kayıt yok — 1 ton altı","Kayıt eşiği altında. Yıl içinde tonajı izleyin; 1 tona ulaşırsa yükümlülük o anda doğar. GBF devam eder.",IF(Q42="Kayıt yok — eşyada kasıtlı salınım yok","Eşyada kasıtlı salınım yoksa kayıt yok. SVHC ≥ %0,1 ve ≥1 ton ise bildirim doğabilir.",IF(Q42="Bildirim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2" s="29">
        <f>IF(Q42="","",IF(Q42="Kayıt muaf","Muafiyet seçildi: "&amp;I42&amp;".",IF(Q42="Kayıt yok — alt kullanıcı / dağıtıcı","Yurt içi tedarik / dağıtım rolünde kayıt ettiren siz değilsiniz.",IF(Q42="Kayıt yok — tek temsilci sizi kapsar","Yabancı üreticinin tek temsilcisi ithalatçı yükümlülüğünü üstlenir.",IF(Q42="Kayıt yok — eşyada kasıtlı salınım yok","Eşya kaydı yalnızca kasıtlı salınım tasarlanmışsa doğar.",IF(Q42="Bildirim (SVHC / eşya)","Eşyada SVHC ≥ %0,1 ve madde ≥1 ton — bildirim değerlendirmesi.",IF(Q42="Kayıt yok — 1 ton altı","Kayıt eşiği: kayıt ettiren başına yılda 1 ton.",IF(Q42="KAYIT KAPSAMINDA",IF(J42="Evet","Türkiye’de yerleşik kayıt ettiren, madde ≥1 t/yıl. CMR 1A/1B tam kaydı 31.12.2026’ya çeker.",IF(AND(K42="Evet",P42&gt;=100),"Türkiye’de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3" ht="28" customHeight="1">
      <c r="A43" s="18" t="n"/>
      <c r="B43" s="19" t="n"/>
      <c r="C43" s="20" t="n"/>
      <c r="D43" s="20" t="n"/>
      <c r="E43" s="21" t="n"/>
      <c r="F43" s="20" t="n"/>
      <c r="G43" s="21" t="n"/>
      <c r="H43" s="20" t="n"/>
      <c r="I43" s="20" t="n"/>
      <c r="J43" s="20" t="n"/>
      <c r="K43" s="20" t="n"/>
      <c r="L43" s="20" t="n"/>
      <c r="M43" s="20" t="n"/>
      <c r="N43" s="22" t="n"/>
      <c r="O43" s="22" t="n"/>
      <c r="P43" s="25">
        <f>IF(OR(E43="",F43=""),"",IF(F43="kg",E43/1000,E43)*IF(C43="Karışım",IF(G43="",0,G43/100),1))</f>
        <v/>
      </c>
      <c r="Q43" s="30">
        <f>IF(OR(D43="",E43=""),"",IF(AND(I43&lt;&gt;"",I43&lt;&gt;"Yok"),"Kayıt muaf",IF(OR(D43="Alt kullanıcı",D43="Dağıtıcı"),"Kayıt yok — alt kullanıcı / dağıtıcı",IF(AND(D43="İthalatçı",H43="Evet"),"Kayıt yok — tek temsilci sizi kapsar",IF(D43="Eşya üreticisi / ithalatçısı",IF(AND(P43&gt;=1,L43="Evet"),"KAYIT KAPSAMINDA",IF(AND(P43&gt;=1,M43="Evet"),"Bildirim (SVHC / eşya)",IF(P43&gt;=1,"Kayıt yok — eşyada kasıtlı salınım yok","Kayıt yok — 1 ton altı"))),IF(P43&lt;1,"Kayıt yok — 1 ton altı",IF(OR(D43="İmalatçı",D43="İthalatçı",D43="Tek temsilci"),"KAYIT KAPSAMINDA","Rolü kontrol edin")))))))</f>
        <v/>
      </c>
      <c r="R43" s="25">
        <f>IF(Q43&lt;&gt;"KAYIT KAPSAMINDA","",IF(J43="Evet","31.12.2026",IF(AND(K43="Evet",P43&gt;=100),"31.12.2026",IF(P43&gt;=1000,"31.12.2026",IF(P43&gt;=100,"31.12.2028","31.12.2030")))))</f>
        <v/>
      </c>
      <c r="S43" s="25">
        <f>IF(Q43="KAYIT KAPSAMINDA","30.09.2026","")</f>
        <v/>
      </c>
      <c r="T43" s="26">
        <f>IF(Q43="","",IF(Q43="KAYIT KAPSAMINDA","30.09.2026’ya kadar KKS’den geçici kayıt (lider yoksa bireysel + gerekçe). Tam kayıt son tarihi "&amp;R43&amp;". KDU ile dosya, harç ve GBF.",IF(Q43="Kayıt muaf","Kayıt yok. Muafiyet dayanağını (Ek no) dosyada saklayın. GBF / SEA yükümlülüğü ayrı durabilir.",IF(Q43="Kayıt yok — alt kullanıcı / dağıtıcı","Kayıt tedarikçinindir. Türkçe KKDİK GBF isteyin, kullanıma uyun, izin/kısıtlama kontrol edin.",IF(Q43="Kayıt yok — tek temsilci sizi kapsar","Tek temsilci kaydı sizi kapsamalı. Atama yazısını ve sizin ithalatınızın dahil olduğunu teyit edin.",IF(Q43="Kayıt yok — 1 ton altı","Kayıt eşiği altında. Yıl içinde tonajı izleyin; 1 tona ulaşırsa yükümlülük o anda doğar. GBF devam eder.",IF(Q43="Kayıt yok — eşyada kasıtlı salınım yok","Eşyada kasıtlı salınım yoksa kayıt yok. SVHC ≥ %0,1 ve ≥1 ton ise bildirim doğabilir.",IF(Q43="Bildirim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3" s="26">
        <f>IF(Q43="","",IF(Q43="Kayıt muaf","Muafiyet seçildi: "&amp;I43&amp;".",IF(Q43="Kayıt yok — alt kullanıcı / dağıtıcı","Yurt içi tedarik / dağıtım rolünde kayıt ettiren siz değilsiniz.",IF(Q43="Kayıt yok — tek temsilci sizi kapsar","Yabancı üreticinin tek temsilcisi ithalatçı yükümlülüğünü üstlenir.",IF(Q43="Kayıt yok — eşyada kasıtlı salınım yok","Eşya kaydı yalnızca kasıtlı salınım tasarlanmışsa doğar.",IF(Q43="Bildirim (SVHC / eşya)","Eşyada SVHC ≥ %0,1 ve madde ≥1 ton — bildirim değerlendirmesi.",IF(Q43="Kayıt yok — 1 ton altı","Kayıt eşiği: kayıt ettiren başına yılda 1 ton.",IF(Q43="KAYIT KAPSAMINDA",IF(J43="Evet","Türkiye’de yerleşik kayıt ettiren, madde ≥1 t/yıl. CMR 1A/1B tam kaydı 31.12.2026’ya çeker.",IF(AND(K43="Evet",P43&gt;=100),"Türkiye’de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4" ht="28" customHeight="1">
      <c r="A44" s="18" t="n"/>
      <c r="B44" s="19" t="n"/>
      <c r="C44" s="20" t="n"/>
      <c r="D44" s="20" t="n"/>
      <c r="E44" s="21" t="n"/>
      <c r="F44" s="20" t="n"/>
      <c r="G44" s="21" t="n"/>
      <c r="H44" s="20" t="n"/>
      <c r="I44" s="20" t="n"/>
      <c r="J44" s="20" t="n"/>
      <c r="K44" s="20" t="n"/>
      <c r="L44" s="20" t="n"/>
      <c r="M44" s="20" t="n"/>
      <c r="N44" s="22" t="n"/>
      <c r="O44" s="22" t="n"/>
      <c r="P44" s="22">
        <f>IF(OR(E44="",F44=""),"",IF(F44="kg",E44/1000,E44)*IF(C44="Karışım",IF(G44="",0,G44/100),1))</f>
        <v/>
      </c>
      <c r="Q44" s="31">
        <f>IF(OR(D44="",E44=""),"",IF(AND(I44&lt;&gt;"",I44&lt;&gt;"Yok"),"Kayıt muaf",IF(OR(D44="Alt kullanıcı",D44="Dağıtıcı"),"Kayıt yok — alt kullanıcı / dağıtıcı",IF(AND(D44="İthalatçı",H44="Evet"),"Kayıt yok — tek temsilci sizi kapsar",IF(D44="Eşya üreticisi / ithalatçısı",IF(AND(P44&gt;=1,L44="Evet"),"KAYIT KAPSAMINDA",IF(AND(P44&gt;=1,M44="Evet"),"Bildirim (SVHC / eşya)",IF(P44&gt;=1,"Kayıt yok — eşyada kasıtlı salınım yok","Kayıt yok — 1 ton altı"))),IF(P44&lt;1,"Kayıt yok — 1 ton altı",IF(OR(D44="İmalatçı",D44="İthalatçı",D44="Tek temsilci"),"KAYIT KAPSAMINDA","Rolü kontrol edin")))))))</f>
        <v/>
      </c>
      <c r="R44" s="22">
        <f>IF(Q44&lt;&gt;"KAYIT KAPSAMINDA","",IF(J44="Evet","31.12.2026",IF(AND(K44="Evet",P44&gt;=100),"31.12.2026",IF(P44&gt;=1000,"31.12.2026",IF(P44&gt;=100,"31.12.2028","31.12.2030")))))</f>
        <v/>
      </c>
      <c r="S44" s="22">
        <f>IF(Q44="KAYIT KAPSAMINDA","30.09.2026","")</f>
        <v/>
      </c>
      <c r="T44" s="29">
        <f>IF(Q44="","",IF(Q44="KAYIT KAPSAMINDA","30.09.2026’ya kadar KKS’den geçici kayıt (lider yoksa bireysel + gerekçe). Tam kayıt son tarihi "&amp;R44&amp;". KDU ile dosya, harç ve GBF.",IF(Q44="Kayıt muaf","Kayıt yok. Muafiyet dayanağını (Ek no) dosyada saklayın. GBF / SEA yükümlülüğü ayrı durabilir.",IF(Q44="Kayıt yok — alt kullanıcı / dağıtıcı","Kayıt tedarikçinindir. Türkçe KKDİK GBF isteyin, kullanıma uyun, izin/kısıtlama kontrol edin.",IF(Q44="Kayıt yok — tek temsilci sizi kapsar","Tek temsilci kaydı sizi kapsamalı. Atama yazısını ve sizin ithalatınızın dahil olduğunu teyit edin.",IF(Q44="Kayıt yok — 1 ton altı","Kayıt eşiği altında. Yıl içinde tonajı izleyin; 1 tona ulaşırsa yükümlülük o anda doğar. GBF devam eder.",IF(Q44="Kayıt yok — eşyada kasıtlı salınım yok","Eşyada kasıtlı salınım yoksa kayıt yok. SVHC ≥ %0,1 ve ≥1 ton ise bildirim doğabilir.",IF(Q44="Bildirim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4" s="29">
        <f>IF(Q44="","",IF(Q44="Kayıt muaf","Muafiyet seçildi: "&amp;I44&amp;".",IF(Q44="Kayıt yok — alt kullanıcı / dağıtıcı","Yurt içi tedarik / dağıtım rolünde kayıt ettiren siz değilsiniz.",IF(Q44="Kayıt yok — tek temsilci sizi kapsar","Yabancı üreticinin tek temsilcisi ithalatçı yükümlülüğünü üstlenir.",IF(Q44="Kayıt yok — eşyada kasıtlı salınım yok","Eşya kaydı yalnızca kasıtlı salınım tasarlanmışsa doğar.",IF(Q44="Bildirim (SVHC / eşya)","Eşyada SVHC ≥ %0,1 ve madde ≥1 ton — bildirim değerlendirmesi.",IF(Q44="Kayıt yok — 1 ton altı","Kayıt eşiği: kayıt ettiren başına yılda 1 ton.",IF(Q44="KAYIT KAPSAMINDA",IF(J44="Evet","Türkiye’de yerleşik kayıt ettiren, madde ≥1 t/yıl. CMR 1A/1B tam kaydı 31.12.2026’ya çeker.",IF(AND(K44="Evet",P44&gt;=100),"Türkiye’de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5" ht="28" customHeight="1">
      <c r="A45" s="18" t="n"/>
      <c r="B45" s="19" t="n"/>
      <c r="C45" s="20" t="n"/>
      <c r="D45" s="20" t="n"/>
      <c r="E45" s="21" t="n"/>
      <c r="F45" s="20" t="n"/>
      <c r="G45" s="21" t="n"/>
      <c r="H45" s="20" t="n"/>
      <c r="I45" s="20" t="n"/>
      <c r="J45" s="20" t="n"/>
      <c r="K45" s="20" t="n"/>
      <c r="L45" s="20" t="n"/>
      <c r="M45" s="20" t="n"/>
      <c r="N45" s="22" t="n"/>
      <c r="O45" s="22" t="n"/>
      <c r="P45" s="25">
        <f>IF(OR(E45="",F45=""),"",IF(F45="kg",E45/1000,E45)*IF(C45="Karışım",IF(G45="",0,G45/100),1))</f>
        <v/>
      </c>
      <c r="Q45" s="30">
        <f>IF(OR(D45="",E45=""),"",IF(AND(I45&lt;&gt;"",I45&lt;&gt;"Yok"),"Kayıt muaf",IF(OR(D45="Alt kullanıcı",D45="Dağıtıcı"),"Kayıt yok — alt kullanıcı / dağıtıcı",IF(AND(D45="İthalatçı",H45="Evet"),"Kayıt yok — tek temsilci sizi kapsar",IF(D45="Eşya üreticisi / ithalatçısı",IF(AND(P45&gt;=1,L45="Evet"),"KAYIT KAPSAMINDA",IF(AND(P45&gt;=1,M45="Evet"),"Bildirim (SVHC / eşya)",IF(P45&gt;=1,"Kayıt yok — eşyada kasıtlı salınım yok","Kayıt yok — 1 ton altı"))),IF(P45&lt;1,"Kayıt yok — 1 ton altı",IF(OR(D45="İmalatçı",D45="İthalatçı",D45="Tek temsilci"),"KAYIT KAPSAMINDA","Rolü kontrol edin")))))))</f>
        <v/>
      </c>
      <c r="R45" s="25">
        <f>IF(Q45&lt;&gt;"KAYIT KAPSAMINDA","",IF(J45="Evet","31.12.2026",IF(AND(K45="Evet",P45&gt;=100),"31.12.2026",IF(P45&gt;=1000,"31.12.2026",IF(P45&gt;=100,"31.12.2028","31.12.2030")))))</f>
        <v/>
      </c>
      <c r="S45" s="25">
        <f>IF(Q45="KAYIT KAPSAMINDA","30.09.2026","")</f>
        <v/>
      </c>
      <c r="T45" s="26">
        <f>IF(Q45="","",IF(Q45="KAYIT KAPSAMINDA","30.09.2026’ya kadar KKS’den geçici kayıt (lider yoksa bireysel + gerekçe). Tam kayıt son tarihi "&amp;R45&amp;". KDU ile dosya, harç ve GBF.",IF(Q45="Kayıt muaf","Kayıt yok. Muafiyet dayanağını (Ek no) dosyada saklayın. GBF / SEA yükümlülüğü ayrı durabilir.",IF(Q45="Kayıt yok — alt kullanıcı / dağıtıcı","Kayıt tedarikçinindir. Türkçe KKDİK GBF isteyin, kullanıma uyun, izin/kısıtlama kontrol edin.",IF(Q45="Kayıt yok — tek temsilci sizi kapsar","Tek temsilci kaydı sizi kapsamalı. Atama yazısını ve sizin ithalatınızın dahil olduğunu teyit edin.",IF(Q45="Kayıt yok — 1 ton altı","Kayıt eşiği altında. Yıl içinde tonajı izleyin; 1 tona ulaşırsa yükümlülük o anda doğar. GBF devam eder.",IF(Q45="Kayıt yok — eşyada kasıtlı salınım yok","Eşyada kasıtlı salınım yoksa kayıt yok. SVHC ≥ %0,1 ve ≥1 ton ise bildirim doğabilir.",IF(Q45="Bildirim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5" s="26">
        <f>IF(Q45="","",IF(Q45="Kayıt muaf","Muafiyet seçildi: "&amp;I45&amp;".",IF(Q45="Kayıt yok — alt kullanıcı / dağıtıcı","Yurt içi tedarik / dağıtım rolünde kayıt ettiren siz değilsiniz.",IF(Q45="Kayıt yok — tek temsilci sizi kapsar","Yabancı üreticinin tek temsilcisi ithalatçı yükümlülüğünü üstlenir.",IF(Q45="Kayıt yok — eşyada kasıtlı salınım yok","Eşya kaydı yalnızca kasıtlı salınım tasarlanmışsa doğar.",IF(Q45="Bildirim (SVHC / eşya)","Eşyada SVHC ≥ %0,1 ve madde ≥1 ton — bildirim değerlendirmesi.",IF(Q45="Kayıt yok — 1 ton altı","Kayıt eşiği: kayıt ettiren başına yılda 1 ton.",IF(Q45="KAYIT KAPSAMINDA",IF(J45="Evet","Türkiye’de yerleşik kayıt ettiren, madde ≥1 t/yıl. CMR 1A/1B tam kaydı 31.12.2026’ya çeker.",IF(AND(K45="Evet",P45&gt;=100),"Türkiye’de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6" ht="28" customHeight="1">
      <c r="A46" s="18" t="n"/>
      <c r="B46" s="19" t="n"/>
      <c r="C46" s="20" t="n"/>
      <c r="D46" s="20" t="n"/>
      <c r="E46" s="21" t="n"/>
      <c r="F46" s="20" t="n"/>
      <c r="G46" s="21" t="n"/>
      <c r="H46" s="20" t="n"/>
      <c r="I46" s="20" t="n"/>
      <c r="J46" s="20" t="n"/>
      <c r="K46" s="20" t="n"/>
      <c r="L46" s="20" t="n"/>
      <c r="M46" s="20" t="n"/>
      <c r="N46" s="22" t="n"/>
      <c r="O46" s="22" t="n"/>
      <c r="P46" s="22">
        <f>IF(OR(E46="",F46=""),"",IF(F46="kg",E46/1000,E46)*IF(C46="Karışım",IF(G46="",0,G46/100),1))</f>
        <v/>
      </c>
      <c r="Q46" s="31">
        <f>IF(OR(D46="",E46=""),"",IF(AND(I46&lt;&gt;"",I46&lt;&gt;"Yok"),"Kayıt muaf",IF(OR(D46="Alt kullanıcı",D46="Dağıtıcı"),"Kayıt yok — alt kullanıcı / dağıtıcı",IF(AND(D46="İthalatçı",H46="Evet"),"Kayıt yok — tek temsilci sizi kapsar",IF(D46="Eşya üreticisi / ithalatçısı",IF(AND(P46&gt;=1,L46="Evet"),"KAYIT KAPSAMINDA",IF(AND(P46&gt;=1,M46="Evet"),"Bildirim (SVHC / eşya)",IF(P46&gt;=1,"Kayıt yok — eşyada kasıtlı salınım yok","Kayıt yok — 1 ton altı"))),IF(P46&lt;1,"Kayıt yok — 1 ton altı",IF(OR(D46="İmalatçı",D46="İthalatçı",D46="Tek temsilci"),"KAYIT KAPSAMINDA","Rolü kontrol edin")))))))</f>
        <v/>
      </c>
      <c r="R46" s="22">
        <f>IF(Q46&lt;&gt;"KAYIT KAPSAMINDA","",IF(J46="Evet","31.12.2026",IF(AND(K46="Evet",P46&gt;=100),"31.12.2026",IF(P46&gt;=1000,"31.12.2026",IF(P46&gt;=100,"31.12.2028","31.12.2030")))))</f>
        <v/>
      </c>
      <c r="S46" s="22">
        <f>IF(Q46="KAYIT KAPSAMINDA","30.09.2026","")</f>
        <v/>
      </c>
      <c r="T46" s="29">
        <f>IF(Q46="","",IF(Q46="KAYIT KAPSAMINDA","30.09.2026’ya kadar KKS’den geçici kayıt (lider yoksa bireysel + gerekçe). Tam kayıt son tarihi "&amp;R46&amp;". KDU ile dosya, harç ve GBF.",IF(Q46="Kayıt muaf","Kayıt yok. Muafiyet dayanağını (Ek no) dosyada saklayın. GBF / SEA yükümlülüğü ayrı durabilir.",IF(Q46="Kayıt yok — alt kullanıcı / dağıtıcı","Kayıt tedarikçinindir. Türkçe KKDİK GBF isteyin, kullanıma uyun, izin/kısıtlama kontrol edin.",IF(Q46="Kayıt yok — tek temsilci sizi kapsar","Tek temsilci kaydı sizi kapsamalı. Atama yazısını ve sizin ithalatınızın dahil olduğunu teyit edin.",IF(Q46="Kayıt yok — 1 ton altı","Kayıt eşiği altında. Yıl içinde tonajı izleyin; 1 tona ulaşırsa yükümlülük o anda doğar. GBF devam eder.",IF(Q46="Kayıt yok — eşyada kasıtlı salınım yok","Eşyada kasıtlı salınım yoksa kayıt yok. SVHC ≥ %0,1 ve ≥1 ton ise bildirim doğabilir.",IF(Q46="Bildirim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6" s="29">
        <f>IF(Q46="","",IF(Q46="Kayıt muaf","Muafiyet seçildi: "&amp;I46&amp;".",IF(Q46="Kayıt yok — alt kullanıcı / dağıtıcı","Yurt içi tedarik / dağıtım rolünde kayıt ettiren siz değilsiniz.",IF(Q46="Kayıt yok — tek temsilci sizi kapsar","Yabancı üreticinin tek temsilcisi ithalatçı yükümlülüğünü üstlenir.",IF(Q46="Kayıt yok — eşyada kasıtlı salınım yok","Eşya kaydı yalnızca kasıtlı salınım tasarlanmışsa doğar.",IF(Q46="Bildirim (SVHC / eşya)","Eşyada SVHC ≥ %0,1 ve madde ≥1 ton — bildirim değerlendirmesi.",IF(Q46="Kayıt yok — 1 ton altı","Kayıt eşiği: kayıt ettiren başına yılda 1 ton.",IF(Q46="KAYIT KAPSAMINDA",IF(J46="Evet","Türkiye’de yerleşik kayıt ettiren, madde ≥1 t/yıl. CMR 1A/1B tam kaydı 31.12.2026’ya çeker.",IF(AND(K46="Evet",P46&gt;=100),"Türkiye’de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7" ht="28" customHeight="1">
      <c r="A47" s="18" t="n"/>
      <c r="B47" s="19" t="n"/>
      <c r="C47" s="20" t="n"/>
      <c r="D47" s="20" t="n"/>
      <c r="E47" s="21" t="n"/>
      <c r="F47" s="20" t="n"/>
      <c r="G47" s="21" t="n"/>
      <c r="H47" s="20" t="n"/>
      <c r="I47" s="20" t="n"/>
      <c r="J47" s="20" t="n"/>
      <c r="K47" s="20" t="n"/>
      <c r="L47" s="20" t="n"/>
      <c r="M47" s="20" t="n"/>
      <c r="N47" s="22" t="n"/>
      <c r="O47" s="22" t="n"/>
      <c r="P47" s="25">
        <f>IF(OR(E47="",F47=""),"",IF(F47="kg",E47/1000,E47)*IF(C47="Karışım",IF(G47="",0,G47/100),1))</f>
        <v/>
      </c>
      <c r="Q47" s="30">
        <f>IF(OR(D47="",E47=""),"",IF(AND(I47&lt;&gt;"",I47&lt;&gt;"Yok"),"Kayıt muaf",IF(OR(D47="Alt kullanıcı",D47="Dağıtıcı"),"Kayıt yok — alt kullanıcı / dağıtıcı",IF(AND(D47="İthalatçı",H47="Evet"),"Kayıt yok — tek temsilci sizi kapsar",IF(D47="Eşya üreticisi / ithalatçısı",IF(AND(P47&gt;=1,L47="Evet"),"KAYIT KAPSAMINDA",IF(AND(P47&gt;=1,M47="Evet"),"Bildirim (SVHC / eşya)",IF(P47&gt;=1,"Kayıt yok — eşyada kasıtlı salınım yok","Kayıt yok — 1 ton altı"))),IF(P47&lt;1,"Kayıt yok — 1 ton altı",IF(OR(D47="İmalatçı",D47="İthalatçı",D47="Tek temsilci"),"KAYIT KAPSAMINDA","Rolü kontrol edin")))))))</f>
        <v/>
      </c>
      <c r="R47" s="25">
        <f>IF(Q47&lt;&gt;"KAYIT KAPSAMINDA","",IF(J47="Evet","31.12.2026",IF(AND(K47="Evet",P47&gt;=100),"31.12.2026",IF(P47&gt;=1000,"31.12.2026",IF(P47&gt;=100,"31.12.2028","31.12.2030")))))</f>
        <v/>
      </c>
      <c r="S47" s="25">
        <f>IF(Q47="KAYIT KAPSAMINDA","30.09.2026","")</f>
        <v/>
      </c>
      <c r="T47" s="26">
        <f>IF(Q47="","",IF(Q47="KAYIT KAPSAMINDA","30.09.2026’ya kadar KKS’den geçici kayıt (lider yoksa bireysel + gerekçe). Tam kayıt son tarihi "&amp;R47&amp;". KDU ile dosya, harç ve GBF.",IF(Q47="Kayıt muaf","Kayıt yok. Muafiyet dayanağını (Ek no) dosyada saklayın. GBF / SEA yükümlülüğü ayrı durabilir.",IF(Q47="Kayıt yok — alt kullanıcı / dağıtıcı","Kayıt tedarikçinindir. Türkçe KKDİK GBF isteyin, kullanıma uyun, izin/kısıtlama kontrol edin.",IF(Q47="Kayıt yok — tek temsilci sizi kapsar","Tek temsilci kaydı sizi kapsamalı. Atama yazısını ve sizin ithalatınızın dahil olduğunu teyit edin.",IF(Q47="Kayıt yok — 1 ton altı","Kayıt eşiği altında. Yıl içinde tonajı izleyin; 1 tona ulaşırsa yükümlülük o anda doğar. GBF devam eder.",IF(Q47="Kayıt yok — eşyada kasıtlı salınım yok","Eşyada kasıtlı salınım yoksa kayıt yok. SVHC ≥ %0,1 ve ≥1 ton ise bildirim doğabilir.",IF(Q47="Bildirim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7" s="26">
        <f>IF(Q47="","",IF(Q47="Kayıt muaf","Muafiyet seçildi: "&amp;I47&amp;".",IF(Q47="Kayıt yok — alt kullanıcı / dağıtıcı","Yurt içi tedarik / dağıtım rolünde kayıt ettiren siz değilsiniz.",IF(Q47="Kayıt yok — tek temsilci sizi kapsar","Yabancı üreticinin tek temsilcisi ithalatçı yükümlülüğünü üstlenir.",IF(Q47="Kayıt yok — eşyada kasıtlı salınım yok","Eşya kaydı yalnızca kasıtlı salınım tasarlanmışsa doğar.",IF(Q47="Bildirim (SVHC / eşya)","Eşyada SVHC ≥ %0,1 ve madde ≥1 ton — bildirim değerlendirmesi.",IF(Q47="Kayıt yok — 1 ton altı","Kayıt eşiği: kayıt ettiren başına yılda 1 ton.",IF(Q47="KAYIT KAPSAMINDA",IF(J47="Evet","Türkiye’de yerleşik kayıt ettiren, madde ≥1 t/yıl. CMR 1A/1B tam kaydı 31.12.2026’ya çeker.",IF(AND(K47="Evet",P47&gt;=100),"Türkiye’de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8" ht="28" customHeight="1">
      <c r="A48" s="18" t="n"/>
      <c r="B48" s="19" t="n"/>
      <c r="C48" s="20" t="n"/>
      <c r="D48" s="20" t="n"/>
      <c r="E48" s="21" t="n"/>
      <c r="F48" s="20" t="n"/>
      <c r="G48" s="21" t="n"/>
      <c r="H48" s="20" t="n"/>
      <c r="I48" s="20" t="n"/>
      <c r="J48" s="20" t="n"/>
      <c r="K48" s="20" t="n"/>
      <c r="L48" s="20" t="n"/>
      <c r="M48" s="20" t="n"/>
      <c r="N48" s="22" t="n"/>
      <c r="O48" s="22" t="n"/>
      <c r="P48" s="22">
        <f>IF(OR(E48="",F48=""),"",IF(F48="kg",E48/1000,E48)*IF(C48="Karışım",IF(G48="",0,G48/100),1))</f>
        <v/>
      </c>
      <c r="Q48" s="31">
        <f>IF(OR(D48="",E48=""),"",IF(AND(I48&lt;&gt;"",I48&lt;&gt;"Yok"),"Kayıt muaf",IF(OR(D48="Alt kullanıcı",D48="Dağıtıcı"),"Kayıt yok — alt kullanıcı / dağıtıcı",IF(AND(D48="İthalatçı",H48="Evet"),"Kayıt yok — tek temsilci sizi kapsar",IF(D48="Eşya üreticisi / ithalatçısı",IF(AND(P48&gt;=1,L48="Evet"),"KAYIT KAPSAMINDA",IF(AND(P48&gt;=1,M48="Evet"),"Bildirim (SVHC / eşya)",IF(P48&gt;=1,"Kayıt yok — eşyada kasıtlı salınım yok","Kayıt yok — 1 ton altı"))),IF(P48&lt;1,"Kayıt yok — 1 ton altı",IF(OR(D48="İmalatçı",D48="İthalatçı",D48="Tek temsilci"),"KAYIT KAPSAMINDA","Rolü kontrol edin")))))))</f>
        <v/>
      </c>
      <c r="R48" s="22">
        <f>IF(Q48&lt;&gt;"KAYIT KAPSAMINDA","",IF(J48="Evet","31.12.2026",IF(AND(K48="Evet",P48&gt;=100),"31.12.2026",IF(P48&gt;=1000,"31.12.2026",IF(P48&gt;=100,"31.12.2028","31.12.2030")))))</f>
        <v/>
      </c>
      <c r="S48" s="22">
        <f>IF(Q48="KAYIT KAPSAMINDA","30.09.2026","")</f>
        <v/>
      </c>
      <c r="T48" s="29">
        <f>IF(Q48="","",IF(Q48="KAYIT KAPSAMINDA","30.09.2026’ya kadar KKS’den geçici kayıt (lider yoksa bireysel + gerekçe). Tam kayıt son tarihi "&amp;R48&amp;". KDU ile dosya, harç ve GBF.",IF(Q48="Kayıt muaf","Kayıt yok. Muafiyet dayanağını (Ek no) dosyada saklayın. GBF / SEA yükümlülüğü ayrı durabilir.",IF(Q48="Kayıt yok — alt kullanıcı / dağıtıcı","Kayıt tedarikçinindir. Türkçe KKDİK GBF isteyin, kullanıma uyun, izin/kısıtlama kontrol edin.",IF(Q48="Kayıt yok — tek temsilci sizi kapsar","Tek temsilci kaydı sizi kapsamalı. Atama yazısını ve sizin ithalatınızın dahil olduğunu teyit edin.",IF(Q48="Kayıt yok — 1 ton altı","Kayıt eşiği altında. Yıl içinde tonajı izleyin; 1 tona ulaşırsa yükümlülük o anda doğar. GBF devam eder.",IF(Q48="Kayıt yok — eşyada kasıtlı salınım yok","Eşyada kasıtlı salınım yoksa kayıt yok. SVHC ≥ %0,1 ve ≥1 ton ise bildirim doğabilir.",IF(Q48="Bildirim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8" s="29">
        <f>IF(Q48="","",IF(Q48="Kayıt muaf","Muafiyet seçildi: "&amp;I48&amp;".",IF(Q48="Kayıt yok — alt kullanıcı / dağıtıcı","Yurt içi tedarik / dağıtım rolünde kayıt ettiren siz değilsiniz.",IF(Q48="Kayıt yok — tek temsilci sizi kapsar","Yabancı üreticinin tek temsilcisi ithalatçı yükümlülüğünü üstlenir.",IF(Q48="Kayıt yok — eşyada kasıtlı salınım yok","Eşya kaydı yalnızca kasıtlı salınım tasarlanmışsa doğar.",IF(Q48="Bildirim (SVHC / eşya)","Eşyada SVHC ≥ %0,1 ve madde ≥1 ton — bildirim değerlendirmesi.",IF(Q48="Kayıt yok — 1 ton altı","Kayıt eşiği: kayıt ettiren başına yılda 1 ton.",IF(Q48="KAYIT KAPSAMINDA",IF(J48="Evet","Türkiye’de yerleşik kayıt ettiren, madde ≥1 t/yıl. CMR 1A/1B tam kaydı 31.12.2026’ya çeker.",IF(AND(K48="Evet",P48&gt;=100),"Türkiye’de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49" ht="28" customHeight="1">
      <c r="A49" s="18" t="n"/>
      <c r="B49" s="19" t="n"/>
      <c r="C49" s="20" t="n"/>
      <c r="D49" s="20" t="n"/>
      <c r="E49" s="21" t="n"/>
      <c r="F49" s="20" t="n"/>
      <c r="G49" s="21" t="n"/>
      <c r="H49" s="20" t="n"/>
      <c r="I49" s="20" t="n"/>
      <c r="J49" s="20" t="n"/>
      <c r="K49" s="20" t="n"/>
      <c r="L49" s="20" t="n"/>
      <c r="M49" s="20" t="n"/>
      <c r="N49" s="22" t="n"/>
      <c r="O49" s="22" t="n"/>
      <c r="P49" s="25">
        <f>IF(OR(E49="",F49=""),"",IF(F49="kg",E49/1000,E49)*IF(C49="Karışım",IF(G49="",0,G49/100),1))</f>
        <v/>
      </c>
      <c r="Q49" s="30">
        <f>IF(OR(D49="",E49=""),"",IF(AND(I49&lt;&gt;"",I49&lt;&gt;"Yok"),"Kayıt muaf",IF(OR(D49="Alt kullanıcı",D49="Dağıtıcı"),"Kayıt yok — alt kullanıcı / dağıtıcı",IF(AND(D49="İthalatçı",H49="Evet"),"Kayıt yok — tek temsilci sizi kapsar",IF(D49="Eşya üreticisi / ithalatçısı",IF(AND(P49&gt;=1,L49="Evet"),"KAYIT KAPSAMINDA",IF(AND(P49&gt;=1,M49="Evet"),"Bildirim (SVHC / eşya)",IF(P49&gt;=1,"Kayıt yok — eşyada kasıtlı salınım yok","Kayıt yok — 1 ton altı"))),IF(P49&lt;1,"Kayıt yok — 1 ton altı",IF(OR(D49="İmalatçı",D49="İthalatçı",D49="Tek temsilci"),"KAYIT KAPSAMINDA","Rolü kontrol edin")))))))</f>
        <v/>
      </c>
      <c r="R49" s="25">
        <f>IF(Q49&lt;&gt;"KAYIT KAPSAMINDA","",IF(J49="Evet","31.12.2026",IF(AND(K49="Evet",P49&gt;=100),"31.12.2026",IF(P49&gt;=1000,"31.12.2026",IF(P49&gt;=100,"31.12.2028","31.12.2030")))))</f>
        <v/>
      </c>
      <c r="S49" s="25">
        <f>IF(Q49="KAYIT KAPSAMINDA","30.09.2026","")</f>
        <v/>
      </c>
      <c r="T49" s="26">
        <f>IF(Q49="","",IF(Q49="KAYIT KAPSAMINDA","30.09.2026’ya kadar KKS’den geçici kayıt (lider yoksa bireysel + gerekçe). Tam kayıt son tarihi "&amp;R49&amp;". KDU ile dosya, harç ve GBF.",IF(Q49="Kayıt muaf","Kayıt yok. Muafiyet dayanağını (Ek no) dosyada saklayın. GBF / SEA yükümlülüğü ayrı durabilir.",IF(Q49="Kayıt yok — alt kullanıcı / dağıtıcı","Kayıt tedarikçinindir. Türkçe KKDİK GBF isteyin, kullanıma uyun, izin/kısıtlama kontrol edin.",IF(Q49="Kayıt yok — tek temsilci sizi kapsar","Tek temsilci kaydı sizi kapsamalı. Atama yazısını ve sizin ithalatınızın dahil olduğunu teyit edin.",IF(Q49="Kayıt yok — 1 ton altı","Kayıt eşiği altında. Yıl içinde tonajı izleyin; 1 tona ulaşırsa yükümlülük o anda doğar. GBF devam eder.",IF(Q49="Kayıt yok — eşyada kasıtlı salınım yok","Eşyada kasıtlı salınım yoksa kayıt yok. SVHC ≥ %0,1 ve ≥1 ton ise bildirim doğabilir.",IF(Q49="Bildirim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49" s="26">
        <f>IF(Q49="","",IF(Q49="Kayıt muaf","Muafiyet seçildi: "&amp;I49&amp;".",IF(Q49="Kayıt yok — alt kullanıcı / dağıtıcı","Yurt içi tedarik / dağıtım rolünde kayıt ettiren siz değilsiniz.",IF(Q49="Kayıt yok — tek temsilci sizi kapsar","Yabancı üreticinin tek temsilcisi ithalatçı yükümlülüğünü üstlenir.",IF(Q49="Kayıt yok — eşyada kasıtlı salınım yok","Eşya kaydı yalnızca kasıtlı salınım tasarlanmışsa doğar.",IF(Q49="Bildirim (SVHC / eşya)","Eşyada SVHC ≥ %0,1 ve madde ≥1 ton — bildirim değerlendirmesi.",IF(Q49="Kayıt yok — 1 ton altı","Kayıt eşiği: kayıt ettiren başına yılda 1 ton.",IF(Q49="KAYIT KAPSAMINDA",IF(J49="Evet","Türkiye’de yerleşik kayıt ettiren, madde ≥1 t/yıl. CMR 1A/1B tam kaydı 31.12.2026’ya çeker.",IF(AND(K49="Evet",P49&gt;=100),"Türkiye’de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0" ht="28" customHeight="1">
      <c r="A50" s="18" t="n"/>
      <c r="B50" s="19" t="n"/>
      <c r="C50" s="20" t="n"/>
      <c r="D50" s="20" t="n"/>
      <c r="E50" s="21" t="n"/>
      <c r="F50" s="20" t="n"/>
      <c r="G50" s="21" t="n"/>
      <c r="H50" s="20" t="n"/>
      <c r="I50" s="20" t="n"/>
      <c r="J50" s="20" t="n"/>
      <c r="K50" s="20" t="n"/>
      <c r="L50" s="20" t="n"/>
      <c r="M50" s="20" t="n"/>
      <c r="N50" s="22" t="n"/>
      <c r="O50" s="22" t="n"/>
      <c r="P50" s="22">
        <f>IF(OR(E50="",F50=""),"",IF(F50="kg",E50/1000,E50)*IF(C50="Karışım",IF(G50="",0,G50/100),1))</f>
        <v/>
      </c>
      <c r="Q50" s="31">
        <f>IF(OR(D50="",E50=""),"",IF(AND(I50&lt;&gt;"",I50&lt;&gt;"Yok"),"Kayıt muaf",IF(OR(D50="Alt kullanıcı",D50="Dağıtıcı"),"Kayıt yok — alt kullanıcı / dağıtıcı",IF(AND(D50="İthalatçı",H50="Evet"),"Kayıt yok — tek temsilci sizi kapsar",IF(D50="Eşya üreticisi / ithalatçısı",IF(AND(P50&gt;=1,L50="Evet"),"KAYIT KAPSAMINDA",IF(AND(P50&gt;=1,M50="Evet"),"Bildirim (SVHC / eşya)",IF(P50&gt;=1,"Kayıt yok — eşyada kasıtlı salınım yok","Kayıt yok — 1 ton altı"))),IF(P50&lt;1,"Kayıt yok — 1 ton altı",IF(OR(D50="İmalatçı",D50="İthalatçı",D50="Tek temsilci"),"KAYIT KAPSAMINDA","Rolü kontrol edin")))))))</f>
        <v/>
      </c>
      <c r="R50" s="22">
        <f>IF(Q50&lt;&gt;"KAYIT KAPSAMINDA","",IF(J50="Evet","31.12.2026",IF(AND(K50="Evet",P50&gt;=100),"31.12.2026",IF(P50&gt;=1000,"31.12.2026",IF(P50&gt;=100,"31.12.2028","31.12.2030")))))</f>
        <v/>
      </c>
      <c r="S50" s="22">
        <f>IF(Q50="KAYIT KAPSAMINDA","30.09.2026","")</f>
        <v/>
      </c>
      <c r="T50" s="29">
        <f>IF(Q50="","",IF(Q50="KAYIT KAPSAMINDA","30.09.2026’ya kadar KKS’den geçici kayıt (lider yoksa bireysel + gerekçe). Tam kayıt son tarihi "&amp;R50&amp;". KDU ile dosya, harç ve GBF.",IF(Q50="Kayıt muaf","Kayıt yok. Muafiyet dayanağını (Ek no) dosyada saklayın. GBF / SEA yükümlülüğü ayrı durabilir.",IF(Q50="Kayıt yok — alt kullanıcı / dağıtıcı","Kayıt tedarikçinindir. Türkçe KKDİK GBF isteyin, kullanıma uyun, izin/kısıtlama kontrol edin.",IF(Q50="Kayıt yok — tek temsilci sizi kapsar","Tek temsilci kaydı sizi kapsamalı. Atama yazısını ve sizin ithalatınızın dahil olduğunu teyit edin.",IF(Q50="Kayıt yok — 1 ton altı","Kayıt eşiği altında. Yıl içinde tonajı izleyin; 1 tona ulaşırsa yükümlülük o anda doğar. GBF devam eder.",IF(Q50="Kayıt yok — eşyada kasıtlı salınım yok","Eşyada kasıtlı salınım yoksa kayıt yok. SVHC ≥ %0,1 ve ≥1 ton ise bildirim doğabilir.",IF(Q50="Bildirim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0" s="29">
        <f>IF(Q50="","",IF(Q50="Kayıt muaf","Muafiyet seçildi: "&amp;I50&amp;".",IF(Q50="Kayıt yok — alt kullanıcı / dağıtıcı","Yurt içi tedarik / dağıtım rolünde kayıt ettiren siz değilsiniz.",IF(Q50="Kayıt yok — tek temsilci sizi kapsar","Yabancı üreticinin tek temsilcisi ithalatçı yükümlülüğünü üstlenir.",IF(Q50="Kayıt yok — eşyada kasıtlı salınım yok","Eşya kaydı yalnızca kasıtlı salınım tasarlanmışsa doğar.",IF(Q50="Bildirim (SVHC / eşya)","Eşyada SVHC ≥ %0,1 ve madde ≥1 ton — bildirim değerlendirmesi.",IF(Q50="Kayıt yok — 1 ton altı","Kayıt eşiği: kayıt ettiren başına yılda 1 ton.",IF(Q50="KAYIT KAPSAMINDA",IF(J50="Evet","Türkiye’de yerleşik kayıt ettiren, madde ≥1 t/yıl. CMR 1A/1B tam kaydı 31.12.2026’ya çeker.",IF(AND(K50="Evet",P50&gt;=100),"Türkiye’de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1" ht="28" customHeight="1">
      <c r="A51" s="18" t="n"/>
      <c r="B51" s="19" t="n"/>
      <c r="C51" s="20" t="n"/>
      <c r="D51" s="20" t="n"/>
      <c r="E51" s="21" t="n"/>
      <c r="F51" s="20" t="n"/>
      <c r="G51" s="21" t="n"/>
      <c r="H51" s="20" t="n"/>
      <c r="I51" s="20" t="n"/>
      <c r="J51" s="20" t="n"/>
      <c r="K51" s="20" t="n"/>
      <c r="L51" s="20" t="n"/>
      <c r="M51" s="20" t="n"/>
      <c r="N51" s="22" t="n"/>
      <c r="O51" s="22" t="n"/>
      <c r="P51" s="25">
        <f>IF(OR(E51="",F51=""),"",IF(F51="kg",E51/1000,E51)*IF(C51="Karışım",IF(G51="",0,G51/100),1))</f>
        <v/>
      </c>
      <c r="Q51" s="30">
        <f>IF(OR(D51="",E51=""),"",IF(AND(I51&lt;&gt;"",I51&lt;&gt;"Yok"),"Kayıt muaf",IF(OR(D51="Alt kullanıcı",D51="Dağıtıcı"),"Kayıt yok — alt kullanıcı / dağıtıcı",IF(AND(D51="İthalatçı",H51="Evet"),"Kayıt yok — tek temsilci sizi kapsar",IF(D51="Eşya üreticisi / ithalatçısı",IF(AND(P51&gt;=1,L51="Evet"),"KAYIT KAPSAMINDA",IF(AND(P51&gt;=1,M51="Evet"),"Bildirim (SVHC / eşya)",IF(P51&gt;=1,"Kayıt yok — eşyada kasıtlı salınım yok","Kayıt yok — 1 ton altı"))),IF(P51&lt;1,"Kayıt yok — 1 ton altı",IF(OR(D51="İmalatçı",D51="İthalatçı",D51="Tek temsilci"),"KAYIT KAPSAMINDA","Rolü kontrol edin")))))))</f>
        <v/>
      </c>
      <c r="R51" s="25">
        <f>IF(Q51&lt;&gt;"KAYIT KAPSAMINDA","",IF(J51="Evet","31.12.2026",IF(AND(K51="Evet",P51&gt;=100),"31.12.2026",IF(P51&gt;=1000,"31.12.2026",IF(P51&gt;=100,"31.12.2028","31.12.2030")))))</f>
        <v/>
      </c>
      <c r="S51" s="25">
        <f>IF(Q51="KAYIT KAPSAMINDA","30.09.2026","")</f>
        <v/>
      </c>
      <c r="T51" s="26">
        <f>IF(Q51="","",IF(Q51="KAYIT KAPSAMINDA","30.09.2026’ya kadar KKS’den geçici kayıt (lider yoksa bireysel + gerekçe). Tam kayıt son tarihi "&amp;R51&amp;". KDU ile dosya, harç ve GBF.",IF(Q51="Kayıt muaf","Kayıt yok. Muafiyet dayanağını (Ek no) dosyada saklayın. GBF / SEA yükümlülüğü ayrı durabilir.",IF(Q51="Kayıt yok — alt kullanıcı / dağıtıcı","Kayıt tedarikçinindir. Türkçe KKDİK GBF isteyin, kullanıma uyun, izin/kısıtlama kontrol edin.",IF(Q51="Kayıt yok — tek temsilci sizi kapsar","Tek temsilci kaydı sizi kapsamalı. Atama yazısını ve sizin ithalatınızın dahil olduğunu teyit edin.",IF(Q51="Kayıt yok — 1 ton altı","Kayıt eşiği altında. Yıl içinde tonajı izleyin; 1 tona ulaşırsa yükümlülük o anda doğar. GBF devam eder.",IF(Q51="Kayıt yok — eşyada kasıtlı salınım yok","Eşyada kasıtlı salınım yoksa kayıt yok. SVHC ≥ %0,1 ve ≥1 ton ise bildirim doğabilir.",IF(Q51="Bildirim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1" s="26">
        <f>IF(Q51="","",IF(Q51="Kayıt muaf","Muafiyet seçildi: "&amp;I51&amp;".",IF(Q51="Kayıt yok — alt kullanıcı / dağıtıcı","Yurt içi tedarik / dağıtım rolünde kayıt ettiren siz değilsiniz.",IF(Q51="Kayıt yok — tek temsilci sizi kapsar","Yabancı üreticinin tek temsilcisi ithalatçı yükümlülüğünü üstlenir.",IF(Q51="Kayıt yok — eşyada kasıtlı salınım yok","Eşya kaydı yalnızca kasıtlı salınım tasarlanmışsa doğar.",IF(Q51="Bildirim (SVHC / eşya)","Eşyada SVHC ≥ %0,1 ve madde ≥1 ton — bildirim değerlendirmesi.",IF(Q51="Kayıt yok — 1 ton altı","Kayıt eşiği: kayıt ettiren başına yılda 1 ton.",IF(Q51="KAYIT KAPSAMINDA",IF(J51="Evet","Türkiye’de yerleşik kayıt ettiren, madde ≥1 t/yıl. CMR 1A/1B tam kaydı 31.12.2026’ya çeker.",IF(AND(K51="Evet",P51&gt;=100),"Türkiye’de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2" ht="28" customHeight="1">
      <c r="A52" s="18" t="n"/>
      <c r="B52" s="19" t="n"/>
      <c r="C52" s="20" t="n"/>
      <c r="D52" s="20" t="n"/>
      <c r="E52" s="21" t="n"/>
      <c r="F52" s="20" t="n"/>
      <c r="G52" s="21" t="n"/>
      <c r="H52" s="20" t="n"/>
      <c r="I52" s="20" t="n"/>
      <c r="J52" s="20" t="n"/>
      <c r="K52" s="20" t="n"/>
      <c r="L52" s="20" t="n"/>
      <c r="M52" s="20" t="n"/>
      <c r="N52" s="22" t="n"/>
      <c r="O52" s="22" t="n"/>
      <c r="P52" s="22">
        <f>IF(OR(E52="",F52=""),"",IF(F52="kg",E52/1000,E52)*IF(C52="Karışım",IF(G52="",0,G52/100),1))</f>
        <v/>
      </c>
      <c r="Q52" s="31">
        <f>IF(OR(D52="",E52=""),"",IF(AND(I52&lt;&gt;"",I52&lt;&gt;"Yok"),"Kayıt muaf",IF(OR(D52="Alt kullanıcı",D52="Dağıtıcı"),"Kayıt yok — alt kullanıcı / dağıtıcı",IF(AND(D52="İthalatçı",H52="Evet"),"Kayıt yok — tek temsilci sizi kapsar",IF(D52="Eşya üreticisi / ithalatçısı",IF(AND(P52&gt;=1,L52="Evet"),"KAYIT KAPSAMINDA",IF(AND(P52&gt;=1,M52="Evet"),"Bildirim (SVHC / eşya)",IF(P52&gt;=1,"Kayıt yok — eşyada kasıtlı salınım yok","Kayıt yok — 1 ton altı"))),IF(P52&lt;1,"Kayıt yok — 1 ton altı",IF(OR(D52="İmalatçı",D52="İthalatçı",D52="Tek temsilci"),"KAYIT KAPSAMINDA","Rolü kontrol edin")))))))</f>
        <v/>
      </c>
      <c r="R52" s="22">
        <f>IF(Q52&lt;&gt;"KAYIT KAPSAMINDA","",IF(J52="Evet","31.12.2026",IF(AND(K52="Evet",P52&gt;=100),"31.12.2026",IF(P52&gt;=1000,"31.12.2026",IF(P52&gt;=100,"31.12.2028","31.12.2030")))))</f>
        <v/>
      </c>
      <c r="S52" s="22">
        <f>IF(Q52="KAYIT KAPSAMINDA","30.09.2026","")</f>
        <v/>
      </c>
      <c r="T52" s="29">
        <f>IF(Q52="","",IF(Q52="KAYIT KAPSAMINDA","30.09.2026’ya kadar KKS’den geçici kayıt (lider yoksa bireysel + gerekçe). Tam kayıt son tarihi "&amp;R52&amp;". KDU ile dosya, harç ve GBF.",IF(Q52="Kayıt muaf","Kayıt yok. Muafiyet dayanağını (Ek no) dosyada saklayın. GBF / SEA yükümlülüğü ayrı durabilir.",IF(Q52="Kayıt yok — alt kullanıcı / dağıtıcı","Kayıt tedarikçinindir. Türkçe KKDİK GBF isteyin, kullanıma uyun, izin/kısıtlama kontrol edin.",IF(Q52="Kayıt yok — tek temsilci sizi kapsar","Tek temsilci kaydı sizi kapsamalı. Atama yazısını ve sizin ithalatınızın dahil olduğunu teyit edin.",IF(Q52="Kayıt yok — 1 ton altı","Kayıt eşiği altında. Yıl içinde tonajı izleyin; 1 tona ulaşırsa yükümlülük o anda doğar. GBF devam eder.",IF(Q52="Kayıt yok — eşyada kasıtlı salınım yok","Eşyada kasıtlı salınım yoksa kayıt yok. SVHC ≥ %0,1 ve ≥1 ton ise bildirim doğabilir.",IF(Q52="Bildirim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2" s="29">
        <f>IF(Q52="","",IF(Q52="Kayıt muaf","Muafiyet seçildi: "&amp;I52&amp;".",IF(Q52="Kayıt yok — alt kullanıcı / dağıtıcı","Yurt içi tedarik / dağıtım rolünde kayıt ettiren siz değilsiniz.",IF(Q52="Kayıt yok — tek temsilci sizi kapsar","Yabancı üreticinin tek temsilcisi ithalatçı yükümlülüğünü üstlenir.",IF(Q52="Kayıt yok — eşyada kasıtlı salınım yok","Eşya kaydı yalnızca kasıtlı salınım tasarlanmışsa doğar.",IF(Q52="Bildirim (SVHC / eşya)","Eşyada SVHC ≥ %0,1 ve madde ≥1 ton — bildirim değerlendirmesi.",IF(Q52="Kayıt yok — 1 ton altı","Kayıt eşiği: kayıt ettiren başına yılda 1 ton.",IF(Q52="KAYIT KAPSAMINDA",IF(J52="Evet","Türkiye’de yerleşik kayıt ettiren, madde ≥1 t/yıl. CMR 1A/1B tam kaydı 31.12.2026’ya çeker.",IF(AND(K52="Evet",P52&gt;=100),"Türkiye’de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3" ht="28" customHeight="1">
      <c r="A53" s="18" t="n"/>
      <c r="B53" s="19" t="n"/>
      <c r="C53" s="20" t="n"/>
      <c r="D53" s="20" t="n"/>
      <c r="E53" s="21" t="n"/>
      <c r="F53" s="20" t="n"/>
      <c r="G53" s="21" t="n"/>
      <c r="H53" s="20" t="n"/>
      <c r="I53" s="20" t="n"/>
      <c r="J53" s="20" t="n"/>
      <c r="K53" s="20" t="n"/>
      <c r="L53" s="20" t="n"/>
      <c r="M53" s="20" t="n"/>
      <c r="N53" s="22" t="n"/>
      <c r="O53" s="22" t="n"/>
      <c r="P53" s="25">
        <f>IF(OR(E53="",F53=""),"",IF(F53="kg",E53/1000,E53)*IF(C53="Karışım",IF(G53="",0,G53/100),1))</f>
        <v/>
      </c>
      <c r="Q53" s="30">
        <f>IF(OR(D53="",E53=""),"",IF(AND(I53&lt;&gt;"",I53&lt;&gt;"Yok"),"Kayıt muaf",IF(OR(D53="Alt kullanıcı",D53="Dağıtıcı"),"Kayıt yok — alt kullanıcı / dağıtıcı",IF(AND(D53="İthalatçı",H53="Evet"),"Kayıt yok — tek temsilci sizi kapsar",IF(D53="Eşya üreticisi / ithalatçısı",IF(AND(P53&gt;=1,L53="Evet"),"KAYIT KAPSAMINDA",IF(AND(P53&gt;=1,M53="Evet"),"Bildirim (SVHC / eşya)",IF(P53&gt;=1,"Kayıt yok — eşyada kasıtlı salınım yok","Kayıt yok — 1 ton altı"))),IF(P53&lt;1,"Kayıt yok — 1 ton altı",IF(OR(D53="İmalatçı",D53="İthalatçı",D53="Tek temsilci"),"KAYIT KAPSAMINDA","Rolü kontrol edin")))))))</f>
        <v/>
      </c>
      <c r="R53" s="25">
        <f>IF(Q53&lt;&gt;"KAYIT KAPSAMINDA","",IF(J53="Evet","31.12.2026",IF(AND(K53="Evet",P53&gt;=100),"31.12.2026",IF(P53&gt;=1000,"31.12.2026",IF(P53&gt;=100,"31.12.2028","31.12.2030")))))</f>
        <v/>
      </c>
      <c r="S53" s="25">
        <f>IF(Q53="KAYIT KAPSAMINDA","30.09.2026","")</f>
        <v/>
      </c>
      <c r="T53" s="26">
        <f>IF(Q53="","",IF(Q53="KAYIT KAPSAMINDA","30.09.2026’ya kadar KKS’den geçici kayıt (lider yoksa bireysel + gerekçe). Tam kayıt son tarihi "&amp;R53&amp;". KDU ile dosya, harç ve GBF.",IF(Q53="Kayıt muaf","Kayıt yok. Muafiyet dayanağını (Ek no) dosyada saklayın. GBF / SEA yükümlülüğü ayrı durabilir.",IF(Q53="Kayıt yok — alt kullanıcı / dağıtıcı","Kayıt tedarikçinindir. Türkçe KKDİK GBF isteyin, kullanıma uyun, izin/kısıtlama kontrol edin.",IF(Q53="Kayıt yok — tek temsilci sizi kapsar","Tek temsilci kaydı sizi kapsamalı. Atama yazısını ve sizin ithalatınızın dahil olduğunu teyit edin.",IF(Q53="Kayıt yok — 1 ton altı","Kayıt eşiği altında. Yıl içinde tonajı izleyin; 1 tona ulaşırsa yükümlülük o anda doğar. GBF devam eder.",IF(Q53="Kayıt yok — eşyada kasıtlı salınım yok","Eşyada kasıtlı salınım yoksa kayıt yok. SVHC ≥ %0,1 ve ≥1 ton ise bildirim doğabilir.",IF(Q53="Bildirim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3" s="26">
        <f>IF(Q53="","",IF(Q53="Kayıt muaf","Muafiyet seçildi: "&amp;I53&amp;".",IF(Q53="Kayıt yok — alt kullanıcı / dağıtıcı","Yurt içi tedarik / dağıtım rolünde kayıt ettiren siz değilsiniz.",IF(Q53="Kayıt yok — tek temsilci sizi kapsar","Yabancı üreticinin tek temsilcisi ithalatçı yükümlülüğünü üstlenir.",IF(Q53="Kayıt yok — eşyada kasıtlı salınım yok","Eşya kaydı yalnızca kasıtlı salınım tasarlanmışsa doğar.",IF(Q53="Bildirim (SVHC / eşya)","Eşyada SVHC ≥ %0,1 ve madde ≥1 ton — bildirim değerlendirmesi.",IF(Q53="Kayıt yok — 1 ton altı","Kayıt eşiği: kayıt ettiren başına yılda 1 ton.",IF(Q53="KAYIT KAPSAMINDA",IF(J53="Evet","Türkiye’de yerleşik kayıt ettiren, madde ≥1 t/yıl. CMR 1A/1B tam kaydı 31.12.2026’ya çeker.",IF(AND(K53="Evet",P53&gt;=100),"Türkiye’de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4" ht="28" customHeight="1">
      <c r="A54" s="18" t="n"/>
      <c r="B54" s="19" t="n"/>
      <c r="C54" s="20" t="n"/>
      <c r="D54" s="20" t="n"/>
      <c r="E54" s="21" t="n"/>
      <c r="F54" s="20" t="n"/>
      <c r="G54" s="21" t="n"/>
      <c r="H54" s="20" t="n"/>
      <c r="I54" s="20" t="n"/>
      <c r="J54" s="20" t="n"/>
      <c r="K54" s="20" t="n"/>
      <c r="L54" s="20" t="n"/>
      <c r="M54" s="20" t="n"/>
      <c r="N54" s="22" t="n"/>
      <c r="O54" s="22" t="n"/>
      <c r="P54" s="22">
        <f>IF(OR(E54="",F54=""),"",IF(F54="kg",E54/1000,E54)*IF(C54="Karışım",IF(G54="",0,G54/100),1))</f>
        <v/>
      </c>
      <c r="Q54" s="31">
        <f>IF(OR(D54="",E54=""),"",IF(AND(I54&lt;&gt;"",I54&lt;&gt;"Yok"),"Kayıt muaf",IF(OR(D54="Alt kullanıcı",D54="Dağıtıcı"),"Kayıt yok — alt kullanıcı / dağıtıcı",IF(AND(D54="İthalatçı",H54="Evet"),"Kayıt yok — tek temsilci sizi kapsar",IF(D54="Eşya üreticisi / ithalatçısı",IF(AND(P54&gt;=1,L54="Evet"),"KAYIT KAPSAMINDA",IF(AND(P54&gt;=1,M54="Evet"),"Bildirim (SVHC / eşya)",IF(P54&gt;=1,"Kayıt yok — eşyada kasıtlı salınım yok","Kayıt yok — 1 ton altı"))),IF(P54&lt;1,"Kayıt yok — 1 ton altı",IF(OR(D54="İmalatçı",D54="İthalatçı",D54="Tek temsilci"),"KAYIT KAPSAMINDA","Rolü kontrol edin")))))))</f>
        <v/>
      </c>
      <c r="R54" s="22">
        <f>IF(Q54&lt;&gt;"KAYIT KAPSAMINDA","",IF(J54="Evet","31.12.2026",IF(AND(K54="Evet",P54&gt;=100),"31.12.2026",IF(P54&gt;=1000,"31.12.2026",IF(P54&gt;=100,"31.12.2028","31.12.2030")))))</f>
        <v/>
      </c>
      <c r="S54" s="22">
        <f>IF(Q54="KAYIT KAPSAMINDA","30.09.2026","")</f>
        <v/>
      </c>
      <c r="T54" s="29">
        <f>IF(Q54="","",IF(Q54="KAYIT KAPSAMINDA","30.09.2026’ya kadar KKS’den geçici kayıt (lider yoksa bireysel + gerekçe). Tam kayıt son tarihi "&amp;R54&amp;". KDU ile dosya, harç ve GBF.",IF(Q54="Kayıt muaf","Kayıt yok. Muafiyet dayanağını (Ek no) dosyada saklayın. GBF / SEA yükümlülüğü ayrı durabilir.",IF(Q54="Kayıt yok — alt kullanıcı / dağıtıcı","Kayıt tedarikçinindir. Türkçe KKDİK GBF isteyin, kullanıma uyun, izin/kısıtlama kontrol edin.",IF(Q54="Kayıt yok — tek temsilci sizi kapsar","Tek temsilci kaydı sizi kapsamalı. Atama yazısını ve sizin ithalatınızın dahil olduğunu teyit edin.",IF(Q54="Kayıt yok — 1 ton altı","Kayıt eşiği altında. Yıl içinde tonajı izleyin; 1 tona ulaşırsa yükümlülük o anda doğar. GBF devam eder.",IF(Q54="Kayıt yok — eşyada kasıtlı salınım yok","Eşyada kasıtlı salınım yoksa kayıt yok. SVHC ≥ %0,1 ve ≥1 ton ise bildirim doğabilir.",IF(Q54="Bildirim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4" s="29">
        <f>IF(Q54="","",IF(Q54="Kayıt muaf","Muafiyet seçildi: "&amp;I54&amp;".",IF(Q54="Kayıt yok — alt kullanıcı / dağıtıcı","Yurt içi tedarik / dağıtım rolünde kayıt ettiren siz değilsiniz.",IF(Q54="Kayıt yok — tek temsilci sizi kapsar","Yabancı üreticinin tek temsilcisi ithalatçı yükümlülüğünü üstlenir.",IF(Q54="Kayıt yok — eşyada kasıtlı salınım yok","Eşya kaydı yalnızca kasıtlı salınım tasarlanmışsa doğar.",IF(Q54="Bildirim (SVHC / eşya)","Eşyada SVHC ≥ %0,1 ve madde ≥1 ton — bildirim değerlendirmesi.",IF(Q54="Kayıt yok — 1 ton altı","Kayıt eşiği: kayıt ettiren başına yılda 1 ton.",IF(Q54="KAYIT KAPSAMINDA",IF(J54="Evet","Türkiye’de yerleşik kayıt ettiren, madde ≥1 t/yıl. CMR 1A/1B tam kaydı 31.12.2026’ya çeker.",IF(AND(K54="Evet",P54&gt;=100),"Türkiye’de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5" ht="28" customHeight="1">
      <c r="A55" s="18" t="n"/>
      <c r="B55" s="19" t="n"/>
      <c r="C55" s="20" t="n"/>
      <c r="D55" s="20" t="n"/>
      <c r="E55" s="21" t="n"/>
      <c r="F55" s="20" t="n"/>
      <c r="G55" s="21" t="n"/>
      <c r="H55" s="20" t="n"/>
      <c r="I55" s="20" t="n"/>
      <c r="J55" s="20" t="n"/>
      <c r="K55" s="20" t="n"/>
      <c r="L55" s="20" t="n"/>
      <c r="M55" s="20" t="n"/>
      <c r="N55" s="22" t="n"/>
      <c r="O55" s="22" t="n"/>
      <c r="P55" s="25">
        <f>IF(OR(E55="",F55=""),"",IF(F55="kg",E55/1000,E55)*IF(C55="Karışım",IF(G55="",0,G55/100),1))</f>
        <v/>
      </c>
      <c r="Q55" s="30">
        <f>IF(OR(D55="",E55=""),"",IF(AND(I55&lt;&gt;"",I55&lt;&gt;"Yok"),"Kayıt muaf",IF(OR(D55="Alt kullanıcı",D55="Dağıtıcı"),"Kayıt yok — alt kullanıcı / dağıtıcı",IF(AND(D55="İthalatçı",H55="Evet"),"Kayıt yok — tek temsilci sizi kapsar",IF(D55="Eşya üreticisi / ithalatçısı",IF(AND(P55&gt;=1,L55="Evet"),"KAYIT KAPSAMINDA",IF(AND(P55&gt;=1,M55="Evet"),"Bildirim (SVHC / eşya)",IF(P55&gt;=1,"Kayıt yok — eşyada kasıtlı salınım yok","Kayıt yok — 1 ton altı"))),IF(P55&lt;1,"Kayıt yok — 1 ton altı",IF(OR(D55="İmalatçı",D55="İthalatçı",D55="Tek temsilci"),"KAYIT KAPSAMINDA","Rolü kontrol edin")))))))</f>
        <v/>
      </c>
      <c r="R55" s="25">
        <f>IF(Q55&lt;&gt;"KAYIT KAPSAMINDA","",IF(J55="Evet","31.12.2026",IF(AND(K55="Evet",P55&gt;=100),"31.12.2026",IF(P55&gt;=1000,"31.12.2026",IF(P55&gt;=100,"31.12.2028","31.12.2030")))))</f>
        <v/>
      </c>
      <c r="S55" s="25">
        <f>IF(Q55="KAYIT KAPSAMINDA","30.09.2026","")</f>
        <v/>
      </c>
      <c r="T55" s="26">
        <f>IF(Q55="","",IF(Q55="KAYIT KAPSAMINDA","30.09.2026’ya kadar KKS’den geçici kayıt (lider yoksa bireysel + gerekçe). Tam kayıt son tarihi "&amp;R55&amp;". KDU ile dosya, harç ve GBF.",IF(Q55="Kayıt muaf","Kayıt yok. Muafiyet dayanağını (Ek no) dosyada saklayın. GBF / SEA yükümlülüğü ayrı durabilir.",IF(Q55="Kayıt yok — alt kullanıcı / dağıtıcı","Kayıt tedarikçinindir. Türkçe KKDİK GBF isteyin, kullanıma uyun, izin/kısıtlama kontrol edin.",IF(Q55="Kayıt yok — tek temsilci sizi kapsar","Tek temsilci kaydı sizi kapsamalı. Atama yazısını ve sizin ithalatınızın dahil olduğunu teyit edin.",IF(Q55="Kayıt yok — 1 ton altı","Kayıt eşiği altında. Yıl içinde tonajı izleyin; 1 tona ulaşırsa yükümlülük o anda doğar. GBF devam eder.",IF(Q55="Kayıt yok — eşyada kasıtlı salınım yok","Eşyada kasıtlı salınım yoksa kayıt yok. SVHC ≥ %0,1 ve ≥1 ton ise bildirim doğabilir.",IF(Q55="Bildirim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5" s="26">
        <f>IF(Q55="","",IF(Q55="Kayıt muaf","Muafiyet seçildi: "&amp;I55&amp;".",IF(Q55="Kayıt yok — alt kullanıcı / dağıtıcı","Yurt içi tedarik / dağıtım rolünde kayıt ettiren siz değilsiniz.",IF(Q55="Kayıt yok — tek temsilci sizi kapsar","Yabancı üreticinin tek temsilcisi ithalatçı yükümlülüğünü üstlenir.",IF(Q55="Kayıt yok — eşyada kasıtlı salınım yok","Eşya kaydı yalnızca kasıtlı salınım tasarlanmışsa doğar.",IF(Q55="Bildirim (SVHC / eşya)","Eşyada SVHC ≥ %0,1 ve madde ≥1 ton — bildirim değerlendirmesi.",IF(Q55="Kayıt yok — 1 ton altı","Kayıt eşiği: kayıt ettiren başına yılda 1 ton.",IF(Q55="KAYIT KAPSAMINDA",IF(J55="Evet","Türkiye’de yerleşik kayıt ettiren, madde ≥1 t/yıl. CMR 1A/1B tam kaydı 31.12.2026’ya çeker.",IF(AND(K55="Evet",P55&gt;=100),"Türkiye’de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6" ht="28" customHeight="1">
      <c r="A56" s="18" t="n"/>
      <c r="B56" s="19" t="n"/>
      <c r="C56" s="20" t="n"/>
      <c r="D56" s="20" t="n"/>
      <c r="E56" s="21" t="n"/>
      <c r="F56" s="20" t="n"/>
      <c r="G56" s="21" t="n"/>
      <c r="H56" s="20" t="n"/>
      <c r="I56" s="20" t="n"/>
      <c r="J56" s="20" t="n"/>
      <c r="K56" s="20" t="n"/>
      <c r="L56" s="20" t="n"/>
      <c r="M56" s="20" t="n"/>
      <c r="N56" s="22" t="n"/>
      <c r="O56" s="22" t="n"/>
      <c r="P56" s="22">
        <f>IF(OR(E56="",F56=""),"",IF(F56="kg",E56/1000,E56)*IF(C56="Karışım",IF(G56="",0,G56/100),1))</f>
        <v/>
      </c>
      <c r="Q56" s="31">
        <f>IF(OR(D56="",E56=""),"",IF(AND(I56&lt;&gt;"",I56&lt;&gt;"Yok"),"Kayıt muaf",IF(OR(D56="Alt kullanıcı",D56="Dağıtıcı"),"Kayıt yok — alt kullanıcı / dağıtıcı",IF(AND(D56="İthalatçı",H56="Evet"),"Kayıt yok — tek temsilci sizi kapsar",IF(D56="Eşya üreticisi / ithalatçısı",IF(AND(P56&gt;=1,L56="Evet"),"KAYIT KAPSAMINDA",IF(AND(P56&gt;=1,M56="Evet"),"Bildirim (SVHC / eşya)",IF(P56&gt;=1,"Kayıt yok — eşyada kasıtlı salınım yok","Kayıt yok — 1 ton altı"))),IF(P56&lt;1,"Kayıt yok — 1 ton altı",IF(OR(D56="İmalatçı",D56="İthalatçı",D56="Tek temsilci"),"KAYIT KAPSAMINDA","Rolü kontrol edin")))))))</f>
        <v/>
      </c>
      <c r="R56" s="22">
        <f>IF(Q56&lt;&gt;"KAYIT KAPSAMINDA","",IF(J56="Evet","31.12.2026",IF(AND(K56="Evet",P56&gt;=100),"31.12.2026",IF(P56&gt;=1000,"31.12.2026",IF(P56&gt;=100,"31.12.2028","31.12.2030")))))</f>
        <v/>
      </c>
      <c r="S56" s="22">
        <f>IF(Q56="KAYIT KAPSAMINDA","30.09.2026","")</f>
        <v/>
      </c>
      <c r="T56" s="29">
        <f>IF(Q56="","",IF(Q56="KAYIT KAPSAMINDA","30.09.2026’ya kadar KKS’den geçici kayıt (lider yoksa bireysel + gerekçe). Tam kayıt son tarihi "&amp;R56&amp;". KDU ile dosya, harç ve GBF.",IF(Q56="Kayıt muaf","Kayıt yok. Muafiyet dayanağını (Ek no) dosyada saklayın. GBF / SEA yükümlülüğü ayrı durabilir.",IF(Q56="Kayıt yok — alt kullanıcı / dağıtıcı","Kayıt tedarikçinindir. Türkçe KKDİK GBF isteyin, kullanıma uyun, izin/kısıtlama kontrol edin.",IF(Q56="Kayıt yok — tek temsilci sizi kapsar","Tek temsilci kaydı sizi kapsamalı. Atama yazısını ve sizin ithalatınızın dahil olduğunu teyit edin.",IF(Q56="Kayıt yok — 1 ton altı","Kayıt eşiği altında. Yıl içinde tonajı izleyin; 1 tona ulaşırsa yükümlülük o anda doğar. GBF devam eder.",IF(Q56="Kayıt yok — eşyada kasıtlı salınım yok","Eşyada kasıtlı salınım yoksa kayıt yok. SVHC ≥ %0,1 ve ≥1 ton ise bildirim doğabilir.",IF(Q56="Bildirim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6" s="29">
        <f>IF(Q56="","",IF(Q56="Kayıt muaf","Muafiyet seçildi: "&amp;I56&amp;".",IF(Q56="Kayıt yok — alt kullanıcı / dağıtıcı","Yurt içi tedarik / dağıtım rolünde kayıt ettiren siz değilsiniz.",IF(Q56="Kayıt yok — tek temsilci sizi kapsar","Yabancı üreticinin tek temsilcisi ithalatçı yükümlülüğünü üstlenir.",IF(Q56="Kayıt yok — eşyada kasıtlı salınım yok","Eşya kaydı yalnızca kasıtlı salınım tasarlanmışsa doğar.",IF(Q56="Bildirim (SVHC / eşya)","Eşyada SVHC ≥ %0,1 ve madde ≥1 ton — bildirim değerlendirmesi.",IF(Q56="Kayıt yok — 1 ton altı","Kayıt eşiği: kayıt ettiren başına yılda 1 ton.",IF(Q56="KAYIT KAPSAMINDA",IF(J56="Evet","Türkiye’de yerleşik kayıt ettiren, madde ≥1 t/yıl. CMR 1A/1B tam kaydı 31.12.2026’ya çeker.",IF(AND(K56="Evet",P56&gt;=100),"Türkiye’de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7" ht="28" customHeight="1">
      <c r="A57" s="18" t="n"/>
      <c r="B57" s="19" t="n"/>
      <c r="C57" s="20" t="n"/>
      <c r="D57" s="20" t="n"/>
      <c r="E57" s="21" t="n"/>
      <c r="F57" s="20" t="n"/>
      <c r="G57" s="21" t="n"/>
      <c r="H57" s="20" t="n"/>
      <c r="I57" s="20" t="n"/>
      <c r="J57" s="20" t="n"/>
      <c r="K57" s="20" t="n"/>
      <c r="L57" s="20" t="n"/>
      <c r="M57" s="20" t="n"/>
      <c r="N57" s="22" t="n"/>
      <c r="O57" s="22" t="n"/>
      <c r="P57" s="25">
        <f>IF(OR(E57="",F57=""),"",IF(F57="kg",E57/1000,E57)*IF(C57="Karışım",IF(G57="",0,G57/100),1))</f>
        <v/>
      </c>
      <c r="Q57" s="30">
        <f>IF(OR(D57="",E57=""),"",IF(AND(I57&lt;&gt;"",I57&lt;&gt;"Yok"),"Kayıt muaf",IF(OR(D57="Alt kullanıcı",D57="Dağıtıcı"),"Kayıt yok — alt kullanıcı / dağıtıcı",IF(AND(D57="İthalatçı",H57="Evet"),"Kayıt yok — tek temsilci sizi kapsar",IF(D57="Eşya üreticisi / ithalatçısı",IF(AND(P57&gt;=1,L57="Evet"),"KAYIT KAPSAMINDA",IF(AND(P57&gt;=1,M57="Evet"),"Bildirim (SVHC / eşya)",IF(P57&gt;=1,"Kayıt yok — eşyada kasıtlı salınım yok","Kayıt yok — 1 ton altı"))),IF(P57&lt;1,"Kayıt yok — 1 ton altı",IF(OR(D57="İmalatçı",D57="İthalatçı",D57="Tek temsilci"),"KAYIT KAPSAMINDA","Rolü kontrol edin")))))))</f>
        <v/>
      </c>
      <c r="R57" s="25">
        <f>IF(Q57&lt;&gt;"KAYIT KAPSAMINDA","",IF(J57="Evet","31.12.2026",IF(AND(K57="Evet",P57&gt;=100),"31.12.2026",IF(P57&gt;=1000,"31.12.2026",IF(P57&gt;=100,"31.12.2028","31.12.2030")))))</f>
        <v/>
      </c>
      <c r="S57" s="25">
        <f>IF(Q57="KAYIT KAPSAMINDA","30.09.2026","")</f>
        <v/>
      </c>
      <c r="T57" s="26">
        <f>IF(Q57="","",IF(Q57="KAYIT KAPSAMINDA","30.09.2026’ya kadar KKS’den geçici kayıt (lider yoksa bireysel + gerekçe). Tam kayıt son tarihi "&amp;R57&amp;". KDU ile dosya, harç ve GBF.",IF(Q57="Kayıt muaf","Kayıt yok. Muafiyet dayanağını (Ek no) dosyada saklayın. GBF / SEA yükümlülüğü ayrı durabilir.",IF(Q57="Kayıt yok — alt kullanıcı / dağıtıcı","Kayıt tedarikçinindir. Türkçe KKDİK GBF isteyin, kullanıma uyun, izin/kısıtlama kontrol edin.",IF(Q57="Kayıt yok — tek temsilci sizi kapsar","Tek temsilci kaydı sizi kapsamalı. Atama yazısını ve sizin ithalatınızın dahil olduğunu teyit edin.",IF(Q57="Kayıt yok — 1 ton altı","Kayıt eşiği altında. Yıl içinde tonajı izleyin; 1 tona ulaşırsa yükümlülük o anda doğar. GBF devam eder.",IF(Q57="Kayıt yok — eşyada kasıtlı salınım yok","Eşyada kasıtlı salınım yoksa kayıt yok. SVHC ≥ %0,1 ve ≥1 ton ise bildirim doğabilir.",IF(Q57="Bildirim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7" s="26">
        <f>IF(Q57="","",IF(Q57="Kayıt muaf","Muafiyet seçildi: "&amp;I57&amp;".",IF(Q57="Kayıt yok — alt kullanıcı / dağıtıcı","Yurt içi tedarik / dağıtım rolünde kayıt ettiren siz değilsiniz.",IF(Q57="Kayıt yok — tek temsilci sizi kapsar","Yabancı üreticinin tek temsilcisi ithalatçı yükümlülüğünü üstlenir.",IF(Q57="Kayıt yok — eşyada kasıtlı salınım yok","Eşya kaydı yalnızca kasıtlı salınım tasarlanmışsa doğar.",IF(Q57="Bildirim (SVHC / eşya)","Eşyada SVHC ≥ %0,1 ve madde ≥1 ton — bildirim değerlendirmesi.",IF(Q57="Kayıt yok — 1 ton altı","Kayıt eşiği: kayıt ettiren başına yılda 1 ton.",IF(Q57="KAYIT KAPSAMINDA",IF(J57="Evet","Türkiye’de yerleşik kayıt ettiren, madde ≥1 t/yıl. CMR 1A/1B tam kaydı 31.12.2026’ya çeker.",IF(AND(K57="Evet",P57&gt;=100),"Türkiye’de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8" ht="28" customHeight="1">
      <c r="A58" s="18" t="n"/>
      <c r="B58" s="19" t="n"/>
      <c r="C58" s="20" t="n"/>
      <c r="D58" s="20" t="n"/>
      <c r="E58" s="21" t="n"/>
      <c r="F58" s="20" t="n"/>
      <c r="G58" s="21" t="n"/>
      <c r="H58" s="20" t="n"/>
      <c r="I58" s="20" t="n"/>
      <c r="J58" s="20" t="n"/>
      <c r="K58" s="20" t="n"/>
      <c r="L58" s="20" t="n"/>
      <c r="M58" s="20" t="n"/>
      <c r="N58" s="22" t="n"/>
      <c r="O58" s="22" t="n"/>
      <c r="P58" s="22">
        <f>IF(OR(E58="",F58=""),"",IF(F58="kg",E58/1000,E58)*IF(C58="Karışım",IF(G58="",0,G58/100),1))</f>
        <v/>
      </c>
      <c r="Q58" s="31">
        <f>IF(OR(D58="",E58=""),"",IF(AND(I58&lt;&gt;"",I58&lt;&gt;"Yok"),"Kayıt muaf",IF(OR(D58="Alt kullanıcı",D58="Dağıtıcı"),"Kayıt yok — alt kullanıcı / dağıtıcı",IF(AND(D58="İthalatçı",H58="Evet"),"Kayıt yok — tek temsilci sizi kapsar",IF(D58="Eşya üreticisi / ithalatçısı",IF(AND(P58&gt;=1,L58="Evet"),"KAYIT KAPSAMINDA",IF(AND(P58&gt;=1,M58="Evet"),"Bildirim (SVHC / eşya)",IF(P58&gt;=1,"Kayıt yok — eşyada kasıtlı salınım yok","Kayıt yok — 1 ton altı"))),IF(P58&lt;1,"Kayıt yok — 1 ton altı",IF(OR(D58="İmalatçı",D58="İthalatçı",D58="Tek temsilci"),"KAYIT KAPSAMINDA","Rolü kontrol edin")))))))</f>
        <v/>
      </c>
      <c r="R58" s="22">
        <f>IF(Q58&lt;&gt;"KAYIT KAPSAMINDA","",IF(J58="Evet","31.12.2026",IF(AND(K58="Evet",P58&gt;=100),"31.12.2026",IF(P58&gt;=1000,"31.12.2026",IF(P58&gt;=100,"31.12.2028","31.12.2030")))))</f>
        <v/>
      </c>
      <c r="S58" s="22">
        <f>IF(Q58="KAYIT KAPSAMINDA","30.09.2026","")</f>
        <v/>
      </c>
      <c r="T58" s="29">
        <f>IF(Q58="","",IF(Q58="KAYIT KAPSAMINDA","30.09.2026’ya kadar KKS’den geçici kayıt (lider yoksa bireysel + gerekçe). Tam kayıt son tarihi "&amp;R58&amp;". KDU ile dosya, harç ve GBF.",IF(Q58="Kayıt muaf","Kayıt yok. Muafiyet dayanağını (Ek no) dosyada saklayın. GBF / SEA yükümlülüğü ayrı durabilir.",IF(Q58="Kayıt yok — alt kullanıcı / dağıtıcı","Kayıt tedarikçinindir. Türkçe KKDİK GBF isteyin, kullanıma uyun, izin/kısıtlama kontrol edin.",IF(Q58="Kayıt yok — tek temsilci sizi kapsar","Tek temsilci kaydı sizi kapsamalı. Atama yazısını ve sizin ithalatınızın dahil olduğunu teyit edin.",IF(Q58="Kayıt yok — 1 ton altı","Kayıt eşiği altında. Yıl içinde tonajı izleyin; 1 tona ulaşırsa yükümlülük o anda doğar. GBF devam eder.",IF(Q58="Kayıt yok — eşyada kasıtlı salınım yok","Eşyada kasıtlı salınım yoksa kayıt yok. SVHC ≥ %0,1 ve ≥1 ton ise bildirim doğabilir.",IF(Q58="Bildirim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8" s="29">
        <f>IF(Q58="","",IF(Q58="Kayıt muaf","Muafiyet seçildi: "&amp;I58&amp;".",IF(Q58="Kayıt yok — alt kullanıcı / dağıtıcı","Yurt içi tedarik / dağıtım rolünde kayıt ettiren siz değilsiniz.",IF(Q58="Kayıt yok — tek temsilci sizi kapsar","Yabancı üreticinin tek temsilcisi ithalatçı yükümlülüğünü üstlenir.",IF(Q58="Kayıt yok — eşyada kasıtlı salınım yok","Eşya kaydı yalnızca kasıtlı salınım tasarlanmışsa doğar.",IF(Q58="Bildirim (SVHC / eşya)","Eşyada SVHC ≥ %0,1 ve madde ≥1 ton — bildirim değerlendirmesi.",IF(Q58="Kayıt yok — 1 ton altı","Kayıt eşiği: kayıt ettiren başına yılda 1 ton.",IF(Q58="KAYIT KAPSAMINDA",IF(J58="Evet","Türkiye’de yerleşik kayıt ettiren, madde ≥1 t/yıl. CMR 1A/1B tam kaydı 31.12.2026’ya çeker.",IF(AND(K58="Evet",P58&gt;=100),"Türkiye’de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59" ht="28" customHeight="1">
      <c r="A59" s="18" t="n"/>
      <c r="B59" s="19" t="n"/>
      <c r="C59" s="20" t="n"/>
      <c r="D59" s="20" t="n"/>
      <c r="E59" s="21" t="n"/>
      <c r="F59" s="20" t="n"/>
      <c r="G59" s="21" t="n"/>
      <c r="H59" s="20" t="n"/>
      <c r="I59" s="20" t="n"/>
      <c r="J59" s="20" t="n"/>
      <c r="K59" s="20" t="n"/>
      <c r="L59" s="20" t="n"/>
      <c r="M59" s="20" t="n"/>
      <c r="N59" s="22" t="n"/>
      <c r="O59" s="22" t="n"/>
      <c r="P59" s="25">
        <f>IF(OR(E59="",F59=""),"",IF(F59="kg",E59/1000,E59)*IF(C59="Karışım",IF(G59="",0,G59/100),1))</f>
        <v/>
      </c>
      <c r="Q59" s="30">
        <f>IF(OR(D59="",E59=""),"",IF(AND(I59&lt;&gt;"",I59&lt;&gt;"Yok"),"Kayıt muaf",IF(OR(D59="Alt kullanıcı",D59="Dağıtıcı"),"Kayıt yok — alt kullanıcı / dağıtıcı",IF(AND(D59="İthalatçı",H59="Evet"),"Kayıt yok — tek temsilci sizi kapsar",IF(D59="Eşya üreticisi / ithalatçısı",IF(AND(P59&gt;=1,L59="Evet"),"KAYIT KAPSAMINDA",IF(AND(P59&gt;=1,M59="Evet"),"Bildirim (SVHC / eşya)",IF(P59&gt;=1,"Kayıt yok — eşyada kasıtlı salınım yok","Kayıt yok — 1 ton altı"))),IF(P59&lt;1,"Kayıt yok — 1 ton altı",IF(OR(D59="İmalatçı",D59="İthalatçı",D59="Tek temsilci"),"KAYIT KAPSAMINDA","Rolü kontrol edin")))))))</f>
        <v/>
      </c>
      <c r="R59" s="25">
        <f>IF(Q59&lt;&gt;"KAYIT KAPSAMINDA","",IF(J59="Evet","31.12.2026",IF(AND(K59="Evet",P59&gt;=100),"31.12.2026",IF(P59&gt;=1000,"31.12.2026",IF(P59&gt;=100,"31.12.2028","31.12.2030")))))</f>
        <v/>
      </c>
      <c r="S59" s="25">
        <f>IF(Q59="KAYIT KAPSAMINDA","30.09.2026","")</f>
        <v/>
      </c>
      <c r="T59" s="26">
        <f>IF(Q59="","",IF(Q59="KAYIT KAPSAMINDA","30.09.2026’ya kadar KKS’den geçici kayıt (lider yoksa bireysel + gerekçe). Tam kayıt son tarihi "&amp;R59&amp;". KDU ile dosya, harç ve GBF.",IF(Q59="Kayıt muaf","Kayıt yok. Muafiyet dayanağını (Ek no) dosyada saklayın. GBF / SEA yükümlülüğü ayrı durabilir.",IF(Q59="Kayıt yok — alt kullanıcı / dağıtıcı","Kayıt tedarikçinindir. Türkçe KKDİK GBF isteyin, kullanıma uyun, izin/kısıtlama kontrol edin.",IF(Q59="Kayıt yok — tek temsilci sizi kapsar","Tek temsilci kaydı sizi kapsamalı. Atama yazısını ve sizin ithalatınızın dahil olduğunu teyit edin.",IF(Q59="Kayıt yok — 1 ton altı","Kayıt eşiği altında. Yıl içinde tonajı izleyin; 1 tona ulaşırsa yükümlülük o anda doğar. GBF devam eder.",IF(Q59="Kayıt yok — eşyada kasıtlı salınım yok","Eşyada kasıtlı salınım yoksa kayıt yok. SVHC ≥ %0,1 ve ≥1 ton ise bildirim doğabilir.",IF(Q59="Bildirim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59" s="26">
        <f>IF(Q59="","",IF(Q59="Kayıt muaf","Muafiyet seçildi: "&amp;I59&amp;".",IF(Q59="Kayıt yok — alt kullanıcı / dağıtıcı","Yurt içi tedarik / dağıtım rolünde kayıt ettiren siz değilsiniz.",IF(Q59="Kayıt yok — tek temsilci sizi kapsar","Yabancı üreticinin tek temsilcisi ithalatçı yükümlülüğünü üstlenir.",IF(Q59="Kayıt yok — eşyada kasıtlı salınım yok","Eşya kaydı yalnızca kasıtlı salınım tasarlanmışsa doğar.",IF(Q59="Bildirim (SVHC / eşya)","Eşyada SVHC ≥ %0,1 ve madde ≥1 ton — bildirim değerlendirmesi.",IF(Q59="Kayıt yok — 1 ton altı","Kayıt eşiği: kayıt ettiren başına yılda 1 ton.",IF(Q59="KAYIT KAPSAMINDA",IF(J59="Evet","Türkiye’de yerleşik kayıt ettiren, madde ≥1 t/yıl. CMR 1A/1B tam kaydı 31.12.2026’ya çeker.",IF(AND(K59="Evet",P59&gt;=100),"Türkiye’de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  <row r="60" ht="28" customHeight="1">
      <c r="A60" s="18" t="n"/>
      <c r="B60" s="19" t="n"/>
      <c r="C60" s="20" t="n"/>
      <c r="D60" s="20" t="n"/>
      <c r="E60" s="21" t="n"/>
      <c r="F60" s="20" t="n"/>
      <c r="G60" s="21" t="n"/>
      <c r="H60" s="20" t="n"/>
      <c r="I60" s="20" t="n"/>
      <c r="J60" s="20" t="n"/>
      <c r="K60" s="20" t="n"/>
      <c r="L60" s="20" t="n"/>
      <c r="M60" s="20" t="n"/>
      <c r="N60" s="22" t="n"/>
      <c r="O60" s="22" t="n"/>
      <c r="P60" s="22">
        <f>IF(OR(E60="",F60=""),"",IF(F60="kg",E60/1000,E60)*IF(C60="Karışım",IF(G60="",0,G60/100),1))</f>
        <v/>
      </c>
      <c r="Q60" s="31">
        <f>IF(OR(D60="",E60=""),"",IF(AND(I60&lt;&gt;"",I60&lt;&gt;"Yok"),"Kayıt muaf",IF(OR(D60="Alt kullanıcı",D60="Dağıtıcı"),"Kayıt yok — alt kullanıcı / dağıtıcı",IF(AND(D60="İthalatçı",H60="Evet"),"Kayıt yok — tek temsilci sizi kapsar",IF(D60="Eşya üreticisi / ithalatçısı",IF(AND(P60&gt;=1,L60="Evet"),"KAYIT KAPSAMINDA",IF(AND(P60&gt;=1,M60="Evet"),"Bildirim (SVHC / eşya)",IF(P60&gt;=1,"Kayıt yok — eşyada kasıtlı salınım yok","Kayıt yok — 1 ton altı"))),IF(P60&lt;1,"Kayıt yok — 1 ton altı",IF(OR(D60="İmalatçı",D60="İthalatçı",D60="Tek temsilci"),"KAYIT KAPSAMINDA","Rolü kontrol edin")))))))</f>
        <v/>
      </c>
      <c r="R60" s="22">
        <f>IF(Q60&lt;&gt;"KAYIT KAPSAMINDA","",IF(J60="Evet","31.12.2026",IF(AND(K60="Evet",P60&gt;=100),"31.12.2026",IF(P60&gt;=1000,"31.12.2026",IF(P60&gt;=100,"31.12.2028","31.12.2030")))))</f>
        <v/>
      </c>
      <c r="S60" s="22">
        <f>IF(Q60="KAYIT KAPSAMINDA","30.09.2026","")</f>
        <v/>
      </c>
      <c r="T60" s="29">
        <f>IF(Q60="","",IF(Q60="KAYIT KAPSAMINDA","30.09.2026’ya kadar KKS’den geçici kayıt (lider yoksa bireysel + gerekçe). Tam kayıt son tarihi "&amp;R60&amp;". KDU ile dosya, harç ve GBF.",IF(Q60="Kayıt muaf","Kayıt yok. Muafiyet dayanağını (Ek no) dosyada saklayın. GBF / SEA yükümlülüğü ayrı durabilir.",IF(Q60="Kayıt yok — alt kullanıcı / dağıtıcı","Kayıt tedarikçinindir. Türkçe KKDİK GBF isteyin, kullanıma uyun, izin/kısıtlama kontrol edin.",IF(Q60="Kayıt yok — tek temsilci sizi kapsar","Tek temsilci kaydı sizi kapsamalı. Atama yazısını ve sizin ithalatınızın dahil olduğunu teyit edin.",IF(Q60="Kayıt yok — 1 ton altı","Kayıt eşiği altında. Yıl içinde tonajı izleyin; 1 tona ulaşırsa yükümlülük o anda doğar. GBF devam eder.",IF(Q60="Kayıt yok — eşyada kasıtlı salınım yok","Eşyada kasıtlı salınım yoksa kayıt yok. SVHC ≥ %0,1 ve ≥1 ton ise bildirim doğabilir.",IF(Q60="Bildirim (SVHC / eşya)","Eşya içi SVHC bildirimi değerlendirin (Madde 8). Müşteriye güvenli kullanım bilgisini verin.","Rol net değil. Gümrük beyannamesi, fatura ve tek temsilci yazısıyla ithalatçı mısınız bakın."))))))))</f>
        <v/>
      </c>
      <c r="U60" s="29">
        <f>IF(Q60="","",IF(Q60="Kayıt muaf","Muafiyet seçildi: "&amp;I60&amp;".",IF(Q60="Kayıt yok — alt kullanıcı / dağıtıcı","Yurt içi tedarik / dağıtım rolünde kayıt ettiren siz değilsiniz.",IF(Q60="Kayıt yok — tek temsilci sizi kapsar","Yabancı üreticinin tek temsilcisi ithalatçı yükümlülüğünü üstlenir.",IF(Q60="Kayıt yok — eşyada kasıtlı salınım yok","Eşya kaydı yalnızca kasıtlı salınım tasarlanmışsa doğar.",IF(Q60="Bildirim (SVHC / eşya)","Eşyada SVHC ≥ %0,1 ve madde ≥1 ton — bildirim değerlendirmesi.",IF(Q60="Kayıt yok — 1 ton altı","Kayıt eşiği: kayıt ettiren başına yılda 1 ton.",IF(Q60="KAYIT KAPSAMINDA",IF(J60="Evet","Türkiye’de yerleşik kayıt ettiren, madde ≥1 t/yıl. CMR 1A/1B tam kaydı 31.12.2026’ya çeker.",IF(AND(K60="Evet",P60&gt;=100),"Türkiye’de yerleşik kayıt ettiren, madde ≥1 t/yıl. Sucul Akut/Kronik 1 ve ≥100 t tam kaydı 31.12.2026’ya çeker.","Türkiye’de yerleşik imalatçı / ithalatçı / tek temsilci ve madde ≥1 t/yıl.")),"Rol listeden seçilmedi veya beklenmeyen değer.")))))))))</f>
        <v/>
      </c>
    </row>
  </sheetData>
  <autoFilter ref="A10:U60"/>
  <mergeCells count="18">
    <mergeCell ref="Q5:R6"/>
    <mergeCell ref="E4:F4"/>
    <mergeCell ref="A8:U8"/>
    <mergeCell ref="Q9:U9"/>
    <mergeCell ref="N4:O4"/>
    <mergeCell ref="A9:M9"/>
    <mergeCell ref="T5:U6"/>
    <mergeCell ref="N5:O6"/>
    <mergeCell ref="E5:F6"/>
    <mergeCell ref="K5:L6"/>
    <mergeCell ref="H4:I4"/>
    <mergeCell ref="H5:I6"/>
    <mergeCell ref="K4:L4"/>
    <mergeCell ref="N9:P9"/>
    <mergeCell ref="A1:U2"/>
    <mergeCell ref="Q4:R4"/>
    <mergeCell ref="A3:U3"/>
    <mergeCell ref="T4:U4"/>
  </mergeCells>
  <conditionalFormatting sqref="Q11:Q60">
    <cfRule type="cellIs" priority="1" operator="equal" dxfId="0">
      <formula>"KAYIT KAPSAMINDA"</formula>
    </cfRule>
    <cfRule type="cellIs" priority="2" operator="equal" dxfId="1">
      <formula>"Bildirim (SVHC / eşya)"</formula>
    </cfRule>
    <cfRule type="cellIs" priority="3" operator="equal" dxfId="2">
      <formula>"Kayıt muaf"</formula>
    </cfRule>
    <cfRule type="cellIs" priority="4" operator="equal" dxfId="2">
      <formula>"Kayıt yok — alt kullanıcı / dağıtıcı"</formula>
    </cfRule>
    <cfRule type="cellIs" priority="5" operator="equal" dxfId="2">
      <formula>"Kayıt yok — tek temsilci sizi kapsar"</formula>
    </cfRule>
    <cfRule type="cellIs" priority="6" operator="equal" dxfId="2">
      <formula>"Kayıt yok — 1 ton altı"</formula>
    </cfRule>
    <cfRule type="cellIs" priority="7" operator="equal" dxfId="2">
      <formula>"Kayıt yok — eşyada kasıtlı salınım yok"</formula>
    </cfRule>
    <cfRule type="cellIs" priority="8" operator="equal" dxfId="2">
      <formula>"Rolü kontrol edin"</formula>
    </cfRule>
  </conditionalFormatting>
  <conditionalFormatting sqref="S11:S60">
    <cfRule type="cellIs" priority="9" operator="equal" dxfId="3">
      <formula>"30.09.2026"</formula>
    </cfRule>
  </conditionalFormatting>
  <dataValidations count="9">
    <dataValidation sqref="C11:C60" showDropDown="0" showInputMessage="1" showErrorMessage="0" allowBlank="1" promptTitle="Ürün tipi" prompt="Madde, karışım veya eşya." type="list">
      <formula1>"Madde,Karışım,Eşya"</formula1>
    </dataValidation>
    <dataValidation sqref="D11:D60" showDropDown="0" showInputMessage="1" showErrorMessage="0" allowBlank="1" promptTitle="Rol" prompt="Tedarik zincirindeki konumunuz." type="list">
      <formula1>"İmalatçı,İthalatçı,Tek temsilci,Alt kullanıcı,Dağıtıcı,Eşya üreticisi / ithalatçısı"</formula1>
    </dataValidation>
    <dataValidation sqref="F11:F60" showDropDown="0" showInputMessage="1" showErrorMessage="0" allowBlank="1" promptTitle="Birim" prompt="Yıllık miktarın birimi." type="list">
      <formula1>"ton,kg"</formula1>
    </dataValidation>
    <dataValidation sqref="H11:H60" showDropDown="0" showInputMessage="1" showErrorMessage="0" allowBlank="1" promptTitle="Tek temsilci" prompt="Yabancı üretici sizi kapsayan TT atadı mı?" type="list">
      <formula1>"Evet,Hayır"</formula1>
    </dataValidation>
    <dataValidation sqref="I11:I60" showDropDown="0" showInputMessage="1" showErrorMessage="0" allowBlank="1" promptTitle="Muafiyet" prompt="Yok ise kayıt kuralları işler." type="list">
      <formula1>='Muafiyetler'!$D$4:$D$14</formula1>
    </dataValidation>
    <dataValidation sqref="J11:J60" showDropDown="0" showInputMessage="1" showErrorMessage="0" allowBlank="1" promptTitle="CMR" prompt="GBF / SEA bilgisine göre." type="list">
      <formula1>"Evet,Hayır"</formula1>
    </dataValidation>
    <dataValidation sqref="K11:K60" showDropDown="0" showInputMessage="1" showErrorMessage="0" allowBlank="1" promptTitle="Sucul" prompt="GBF / SEA bilgisine göre." type="list">
      <formula1>"Evet,Hayır"</formula1>
    </dataValidation>
    <dataValidation sqref="L11:L60" showDropDown="0" showInputMessage="1" showErrorMessage="0" allowBlank="1" promptTitle="Salınım" prompt="GBF / SEA bilgisine göre." type="list">
      <formula1>"Evet,Hayır"</formula1>
    </dataValidation>
    <dataValidation sqref="M11:M60" showDropDown="0" showInputMessage="1" showErrorMessage="0" allowBlank="1" promptTitle="SVHC" prompt="GBF / SEA bilgisine göre." type="list">
      <formula1>"Evet,Hayır"</formula1>
    </dataValidation>
  </dataValidations>
  <pageMargins left="0.75" right="0.75" top="1" bottom="1" header="0.5" footer="0.5"/>
  <pageSetup orientation="landscape" paperSize="8" fitToHeight="1" fitToWidth="1"/>
  <headerFooter>
    <oddHeader>&amp;LKKDİK madde kapsam kontrolü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478C4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2" customWidth="1" min="2" max="2"/>
    <col width="55" customWidth="1" min="3" max="3"/>
  </cols>
  <sheetData>
    <row r="1" ht="32" customHeight="1">
      <c r="A1" s="32" t="inlineStr">
        <is>
          <t>Rolünüze göre yapılacaklar</t>
        </is>
      </c>
    </row>
    <row r="3">
      <c r="A3" s="33" t="inlineStr">
        <is>
          <t>Rol</t>
        </is>
      </c>
      <c r="B3" s="33" t="inlineStr">
        <is>
          <t>Kapsama girer misiniz?</t>
        </is>
      </c>
      <c r="C3" s="33" t="inlineStr">
        <is>
          <t>Kapsamdaysanız / değilseniz ne yapmalısınız</t>
        </is>
      </c>
    </row>
    <row r="4" ht="52" customHeight="1">
      <c r="A4" s="34" t="inlineStr">
        <is>
          <t>İmalatçı</t>
        </is>
      </c>
      <c r="B4" s="35" t="inlineStr">
        <is>
          <t>Türkiye’de madde ≥1 t/yıl üretiliyorsa evet (muaf değilse).</t>
        </is>
      </c>
      <c r="C4" s="35" t="inlineStr">
        <is>
          <t>KKS envanteri, ön-MBDF, 30.09.2026 geçici kayıt, tonaj bandına göre tam kayıt, GBF, KDU.</t>
        </is>
      </c>
    </row>
    <row r="5" ht="52" customHeight="1">
      <c r="A5" s="36" t="inlineStr">
        <is>
          <t>İthalatçı</t>
        </is>
      </c>
      <c r="B5" s="37" t="inlineStr">
        <is>
          <t>Kendi adına ithal ≥1 t/yıl ve tek temsilci yoksa evet.</t>
        </is>
      </c>
      <c r="C5" s="37" t="inlineStr">
        <is>
          <t>Gümrük + GBF + CAS listesi. TT yazısı yoksa kayıt sizin. Karışımı bileşen tonajına çevirin.</t>
        </is>
      </c>
    </row>
    <row r="6" ht="52" customHeight="1">
      <c r="A6" s="34" t="inlineStr">
        <is>
          <t>Tek temsilci</t>
        </is>
      </c>
      <c r="B6" s="35" t="inlineStr">
        <is>
          <t>Yabancı üretici sizi atadıysa ithalatçı yükümlülüğü sizde.</t>
        </is>
      </c>
      <c r="C6" s="35" t="inlineStr">
        <is>
          <t>Kapsanan ithalatçıları ve tonajı tutun. Kayıt + GBF. Atama kapsamı dışındaki ithalatçı ayrı kaydeder.</t>
        </is>
      </c>
    </row>
    <row r="7" ht="52" customHeight="1">
      <c r="A7" s="36" t="inlineStr">
        <is>
          <t>Alt kullanıcı</t>
        </is>
      </c>
      <c r="B7" s="37" t="inlineStr">
        <is>
          <t>Kayıt hayır (yurt içi alım). Kullanım ve GBF evet.</t>
        </is>
      </c>
      <c r="C7" s="37" t="inlineStr">
        <is>
          <t>Tedarikçiden kayıt/geçici kayıt no ve Türkçe GBF. Kullanım senaryosuna uyun. İthalata geçerseniz rol değişir.</t>
        </is>
      </c>
    </row>
    <row r="8" ht="52" customHeight="1">
      <c r="A8" s="34" t="inlineStr">
        <is>
          <t>Dağıtıcı</t>
        </is>
      </c>
      <c r="B8" s="35" t="inlineStr">
        <is>
          <t>Kayıt hayır; bilgi aktarma evet.</t>
        </is>
      </c>
      <c r="C8" s="35" t="inlineStr">
        <is>
          <t>GBF ve etiket zincirini koparmayın. Yeniden ambalaj SEA’ya uygun olsun.</t>
        </is>
      </c>
    </row>
    <row r="9" ht="52" customHeight="1">
      <c r="A9" s="36" t="inlineStr">
        <is>
          <t>Eşya üreticisi / ithalatçısı</t>
        </is>
      </c>
      <c r="B9" s="37" t="inlineStr">
        <is>
          <t>Kasıtlı salınım + ≥1 t ise kayıt. SVHC ≥ %0,1 + ≥1 t ise bildirim.</t>
        </is>
      </c>
      <c r="C9" s="37" t="inlineStr">
        <is>
          <t>CTP/plastik eşyada monomer ve katkıları ayrı kontrol edin. Polimer kayıt dışı olsa da stiren kayıtlı olabilir.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08C8E"/>
    <outlinePr summaryBelow="1" summaryRight="1"/>
    <pageSetUpPr/>
  </sheetPr>
  <dimension ref="A1:C1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62" customWidth="1" min="3" max="3"/>
  </cols>
  <sheetData>
    <row r="1" ht="32" customHeight="1">
      <c r="A1" s="32" t="inlineStr">
        <is>
          <t>KKDİK  •  Sistem nasıl ilerler ve son tarihler</t>
        </is>
      </c>
    </row>
    <row r="3">
      <c r="A3" s="33" t="inlineStr">
        <is>
          <t>Adım</t>
        </is>
      </c>
      <c r="B3" s="33" t="inlineStr">
        <is>
          <t>Ne</t>
        </is>
      </c>
      <c r="C3" s="33" t="inlineStr">
        <is>
          <t>Nasıl</t>
        </is>
      </c>
    </row>
    <row r="4" ht="36" customHeight="1">
      <c r="A4" s="34" t="inlineStr">
        <is>
          <t>1. Envanter</t>
        </is>
      </c>
      <c r="B4" s="35" t="inlineStr">
        <is>
          <t>CAS / EC, GBF, yıllık miktar</t>
        </is>
      </c>
      <c r="C4" s="35" t="inlineStr">
        <is>
          <t>Karışımı maddeye çevirin. Aynı CAS’ı toplayın.</t>
        </is>
      </c>
    </row>
    <row r="5" ht="36" customHeight="1">
      <c r="A5" s="36" t="inlineStr">
        <is>
          <t>2. EÇBS / KKS</t>
        </is>
      </c>
      <c r="B5" s="37" t="inlineStr">
        <is>
          <t>Bakanlık sistemi</t>
        </is>
      </c>
      <c r="C5" s="37" t="inlineStr">
        <is>
          <t>Yetkili kişi + KDU. kimyasallar.csb.gov.tr</t>
        </is>
      </c>
    </row>
    <row r="6" ht="36" customHeight="1">
      <c r="A6" s="34" t="inlineStr">
        <is>
          <t>3. Ön-MBDF</t>
        </is>
      </c>
      <c r="B6" s="35" t="inlineStr">
        <is>
          <t>Madde Bilgisi Değişim Forumu</t>
        </is>
      </c>
      <c r="C6" s="35" t="inlineStr">
        <is>
          <t>Aynı maddeyi kaydedeceklerle veri paylaşımı.</t>
        </is>
      </c>
    </row>
    <row r="7" ht="36" customHeight="1">
      <c r="A7" s="36" t="inlineStr">
        <is>
          <t>4. Lider / üye</t>
        </is>
      </c>
      <c r="B7" s="37" t="inlineStr">
        <is>
          <t>Tek madde tek kayıt</t>
        </is>
      </c>
      <c r="C7" s="37" t="inlineStr">
        <is>
          <t>Ortak kayıt esastır. Ayrı dosya için yazılı gerekçe.</t>
        </is>
      </c>
    </row>
    <row r="8" ht="36" customHeight="1">
      <c r="A8" s="34" t="inlineStr">
        <is>
          <t>5. Geçici kayıt</t>
        </is>
      </c>
      <c r="B8" s="35" t="inlineStr">
        <is>
          <t>30.09.2026</t>
        </is>
      </c>
      <c r="C8" s="35" t="inlineStr">
        <is>
          <t>Üye veya gerekçeli bireysel. Harç + KKS ödeme teyidi.</t>
        </is>
      </c>
    </row>
    <row r="9" ht="36" customHeight="1">
      <c r="A9" s="36" t="inlineStr">
        <is>
          <t>6. Tam kayıt</t>
        </is>
      </c>
      <c r="B9" s="37" t="inlineStr">
        <is>
          <t>2026 / 2028 / 2030</t>
        </is>
      </c>
      <c r="C9" s="37" t="inlineStr">
        <is>
          <t>Ek-7…10, ≥10 t ise KGR. Veri yoksa en fazla +2 yıl ek süre.</t>
        </is>
      </c>
    </row>
    <row r="10" ht="36" customHeight="1">
      <c r="A10" s="34" t="inlineStr">
        <is>
          <t>7. GBF ve izleme</t>
        </is>
      </c>
      <c r="B10" s="35" t="inlineStr">
        <is>
          <t>Tedarik zinciri</t>
        </is>
      </c>
      <c r="C10" s="35" t="inlineStr">
        <is>
          <t>16 bölümlü Türkçe GBF, güncelleme, izin (Ek-14) ve kısıtlama (Ek-17).</t>
        </is>
      </c>
    </row>
    <row r="12">
      <c r="A12" s="38" t="inlineStr">
        <is>
          <t>Tam kayıt son tarihleri (RG 23.12.2023/32408)</t>
        </is>
      </c>
    </row>
    <row r="13">
      <c r="A13" s="33" t="inlineStr">
        <is>
          <t>Tarih</t>
        </is>
      </c>
      <c r="B13" s="33" t="inlineStr">
        <is>
          <t>Kimler</t>
        </is>
      </c>
      <c r="C13" s="33" t="n"/>
    </row>
    <row r="14" ht="32" customHeight="1">
      <c r="A14" s="39" t="inlineStr">
        <is>
          <t>31.12.2026</t>
        </is>
      </c>
      <c r="B14" s="35" t="inlineStr">
        <is>
          <t>≥1.000 t/yıl; CMR kat. 1A/1B (≥1 t); Sucul Akut 1 / Kronik 1 ≥100 t (H400, H410)</t>
        </is>
      </c>
      <c r="C14" s="35" t="n"/>
    </row>
    <row r="15" ht="32" customHeight="1">
      <c r="A15" s="40" t="inlineStr">
        <is>
          <t>31.12.2028</t>
        </is>
      </c>
      <c r="B15" s="37" t="inlineStr">
        <is>
          <t>≥100 t/yıl (yukarıdaki özel zararlılık ölçütü olmayan maddeler)</t>
        </is>
      </c>
      <c r="C15" s="37" t="n"/>
    </row>
    <row r="16" ht="32" customHeight="1">
      <c r="A16" s="39" t="inlineStr">
        <is>
          <t>31.12.2030</t>
        </is>
      </c>
      <c r="B16" s="35" t="inlineStr">
        <is>
          <t>≥1 t/yıl (1–100 ton bandındaki standart maddeler)</t>
        </is>
      </c>
      <c r="C16" s="35" t="n"/>
    </row>
    <row r="17" ht="32" customHeight="1">
      <c r="A17" s="41" t="inlineStr">
        <is>
          <t>30.09.2026</t>
        </is>
      </c>
      <c r="B17" s="42" t="inlineStr">
        <is>
          <t>Geçici kayıt — tonajdan bağımsız, kayıt kapsamındaki her madde</t>
        </is>
      </c>
      <c r="C17" s="42" t="n"/>
    </row>
  </sheetData>
  <mergeCells count="7">
    <mergeCell ref="B13:C13"/>
    <mergeCell ref="B16:C16"/>
    <mergeCell ref="B15:C15"/>
    <mergeCell ref="A1:C1"/>
    <mergeCell ref="B14:C14"/>
    <mergeCell ref="B17:C17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8A63"/>
    <outlinePr summaryBelow="1" summaryRight="1"/>
    <pageSetUpPr/>
  </sheetPr>
  <dimension ref="A1:D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80" customWidth="1" min="2" max="2"/>
    <col hidden="1" width="13" customWidth="1" min="4" max="4"/>
  </cols>
  <sheetData>
    <row r="1" ht="32" customHeight="1">
      <c r="A1" s="32" t="inlineStr">
        <is>
          <t>Sık karşılaşılan kapsam dışı / kayıt muaf durumlar</t>
        </is>
      </c>
    </row>
    <row r="3">
      <c r="A3" s="33" t="inlineStr">
        <is>
          <t>Durum</t>
        </is>
      </c>
      <c r="B3" s="33" t="inlineStr">
        <is>
          <t>Not</t>
        </is>
      </c>
    </row>
    <row r="4" ht="36" customHeight="1">
      <c r="A4" s="39" t="inlineStr">
        <is>
          <t>&lt; 1 ton / yıl / kayıt ettiren</t>
        </is>
      </c>
      <c r="B4" s="35" t="inlineStr">
        <is>
          <t>Kayıt doğmaz. GBF, sınıflandırma ve etiket durur. Tonaj yıl içinde eşiği aşabilir.</t>
        </is>
      </c>
      <c r="D4" s="43" t="inlineStr">
        <is>
          <t>Yok</t>
        </is>
      </c>
    </row>
    <row r="5" ht="36" customHeight="1">
      <c r="A5" s="40" t="inlineStr">
        <is>
          <t>Alt kullanıcı (yurt içi alım)</t>
        </is>
      </c>
      <c r="B5" s="37" t="inlineStr">
        <is>
          <t>Kayıt tedarikçide. Siz kullanım ve GBF yükümlüsüsünüz.</t>
        </is>
      </c>
      <c r="D5" s="43" t="inlineStr">
        <is>
          <t>Ek-4 madde</t>
        </is>
      </c>
    </row>
    <row r="6" ht="36" customHeight="1">
      <c r="A6" s="39" t="inlineStr">
        <is>
          <t>Tek temsilci kapsamı</t>
        </is>
      </c>
      <c r="B6" s="35" t="inlineStr">
        <is>
          <t>Atama sizin ithalatınızı kapsıyorsa kayıt TT’de. Yazıyı dosyada saklayın.</t>
        </is>
      </c>
      <c r="D6" s="43" t="inlineStr">
        <is>
          <t>Ek-5 muafiyet</t>
        </is>
      </c>
    </row>
    <row r="7" ht="36" customHeight="1">
      <c r="A7" s="40" t="inlineStr">
        <is>
          <t>Ek-4 maddeler</t>
        </is>
      </c>
      <c r="B7" s="37" t="inlineStr">
        <is>
          <t>Yönetmelik ek listesindeki maddeler kayıttan muaf.</t>
        </is>
      </c>
      <c r="D7" s="43" t="inlineStr">
        <is>
          <t>Polimer (kendisi)</t>
        </is>
      </c>
    </row>
    <row r="8" ht="36" customHeight="1">
      <c r="A8" s="39" t="inlineStr">
        <is>
          <t>Ek-5 muafiyetler</t>
        </is>
      </c>
      <c r="B8" s="35" t="inlineStr">
        <is>
          <t>Belirli doğal maddeler, yan ürünler vb. Koşulları tek tek okuyun.</t>
        </is>
      </c>
      <c r="D8" s="43" t="inlineStr">
        <is>
          <t>Atık</t>
        </is>
      </c>
    </row>
    <row r="9" ht="36" customHeight="1">
      <c r="A9" s="40" t="inlineStr">
        <is>
          <t>Polimerin kendisi</t>
        </is>
      </c>
      <c r="B9" s="37" t="inlineStr">
        <is>
          <t>Polimer kayıt yükümlülüğünden muaftır. %2+ monomer ve diğer bağlı maddeler ≥1 t ise onlar kayıtlıdır.</t>
        </is>
      </c>
      <c r="D9" s="43" t="inlineStr">
        <is>
          <t>Radyoaktif</t>
        </is>
      </c>
    </row>
    <row r="10" ht="36" customHeight="1">
      <c r="A10" s="39" t="inlineStr">
        <is>
          <t>Atık</t>
        </is>
      </c>
      <c r="B10" s="35" t="inlineStr">
        <is>
          <t>Atık mevzuatındaki malzeme KKDİK maddesi değildir.</t>
        </is>
      </c>
      <c r="D10" s="43" t="inlineStr">
        <is>
          <t>Transit / serbest bölge</t>
        </is>
      </c>
    </row>
    <row r="11" ht="36" customHeight="1">
      <c r="A11" s="40" t="inlineStr">
        <is>
          <t>Radyoaktif / transit / savunma</t>
        </is>
      </c>
      <c r="B11" s="37" t="inlineStr">
        <is>
          <t>Yönetmelik kapsamı dışıdır (koşullu).</t>
        </is>
      </c>
      <c r="D11" s="43" t="inlineStr">
        <is>
          <t>İlaç / gıda / yem amacı</t>
        </is>
      </c>
    </row>
    <row r="12" ht="36" customHeight="1">
      <c r="A12" s="39" t="inlineStr">
        <is>
          <t>İlaç, gıda, yem amacı</t>
        </is>
      </c>
      <c r="B12" s="35" t="inlineStr">
        <is>
          <t>Kayıt / alt kullanıcı / değerlendirme / izin kısımlarından kısmi muafiyet. GBF kısmı ayrı.</t>
        </is>
      </c>
      <c r="D12" s="43" t="inlineStr">
        <is>
          <t>PPORD</t>
        </is>
      </c>
    </row>
    <row r="13" ht="36" customHeight="1">
      <c r="A13" s="40" t="inlineStr">
        <is>
          <t>PPORD</t>
        </is>
      </c>
      <c r="B13" s="37" t="inlineStr">
        <is>
          <t>Ürün ve süreç odaklı Ar-Ge için bildirim; tam kayıt yerine geçmez.</t>
        </is>
      </c>
      <c r="D13" s="43" t="inlineStr">
        <is>
          <t>Savunma</t>
        </is>
      </c>
    </row>
    <row r="14" ht="36" customHeight="1">
      <c r="A14" s="39" t="inlineStr">
        <is>
          <t>Eşya, kasıtlı salınım yok</t>
        </is>
      </c>
      <c r="B14" s="35" t="inlineStr">
        <is>
          <t>Madde kaydı yok. SVHC bildirimi ayrıca bakılır.</t>
        </is>
      </c>
      <c r="D14" s="43" t="inlineStr">
        <is>
          <t>İzole edilmemiş ara madde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942A"/>
    <outlinePr summaryBelow="1" summaryRight="1"/>
    <pageSetUpPr/>
  </sheetPr>
  <dimension ref="A1:A16"/>
  <sheetViews>
    <sheetView showGridLines="0" workbookViewId="0">
      <selection activeCell="A1" sqref="A1"/>
    </sheetView>
  </sheetViews>
  <sheetFormatPr baseColWidth="8" defaultRowHeight="15"/>
  <cols>
    <col width="118" customWidth="1" min="1" max="1"/>
  </cols>
  <sheetData>
    <row r="1" ht="36" customHeight="1">
      <c r="A1" s="44" t="inlineStr">
        <is>
          <t>KKDİK Yönetmeliği — Kapsam Kontrol Tablosu Kullanım Kılavuzu</t>
        </is>
      </c>
    </row>
    <row r="3" ht="22" customHeight="1">
      <c r="A3" s="45" t="inlineStr">
        <is>
          <t>Ne işe yarar?</t>
        </is>
      </c>
    </row>
    <row r="4" ht="88" customHeight="1">
      <c r="A4" s="46" t="inlineStr">
        <is>
          <t>Her kimyasal satırı için rolünüzü, tonajı ve muafiyeti yazın. Tablo madde tonajını hesaplar; kayıt kapsamını, 30.09.2026 geçici kayıt ihtiyacını, tam kayıt son tarihini (2026 / 2028 / 2030) ve yapılacak işi otomatik doldurur.</t>
        </is>
      </c>
    </row>
    <row r="6" ht="22" customHeight="1">
      <c r="A6" s="45" t="inlineStr">
        <is>
          <t>Nasıl doldurulur?</t>
        </is>
      </c>
    </row>
    <row r="7" ht="88" customHeight="1">
      <c r="A7" s="46" t="inlineStr">
        <is>
          <t>Yalnızca sarı hücrelere yazın. Açılır listeler: ürün tipi, rol, birim, tek temsilci, muafiyet, CMR, sucul, salınım, SVHC.
Karışımda “Madde %” alanına GBF bölüm 3’teki oranı yazın. Aynı CAS’ı birden fazla tedarikçiden alıyorsanız satırları toplayın veya tek satırda birleştirin.</t>
        </is>
      </c>
    </row>
    <row r="9" ht="22" customHeight="1">
      <c r="A9" s="45" t="inlineStr">
        <is>
          <t>Kayıt kuralı</t>
        </is>
      </c>
    </row>
    <row r="10" ht="88" customHeight="1">
      <c r="A10" s="46" t="inlineStr">
        <is>
          <t>Kayıt ettiren = Türkiye’de yerleşik imalatçı, ithalatçı veya tek temsilci + madde kendi halinde veya karışımda ≥1 t/yıl + muafiyet yok.
Tedarikçinizin kaydı sizin ithalat kaydınızın yerine geçmez. Tek temsilci ataması sizi kapsıyorsa ithalatçı alt kullanıcı konumuna geçer.</t>
        </is>
      </c>
    </row>
    <row r="12" ht="22" customHeight="1">
      <c r="A12" s="45" t="inlineStr">
        <is>
          <t>Renkler</t>
        </is>
      </c>
    </row>
    <row r="13" ht="88" customHeight="1">
      <c r="A13" s="46" t="inlineStr">
        <is>
          <t>Kırmızı = KAYIT KAPSAMINDA (30.09.2026 geçici kayıt).
Yeşil = kayıt yok / muaf / alt kullanıcı.
Lacivert = eşya SVHC bildirimi.</t>
        </is>
      </c>
    </row>
    <row r="15" ht="22" customHeight="1">
      <c r="A15" s="45" t="inlineStr">
        <is>
          <t>Kaynak</t>
        </is>
      </c>
    </row>
    <row r="16" ht="88" customHeight="1">
      <c r="A16" s="46" t="inlineStr">
        <is>
          <t>KKDİK Yönetmeliği RG 23.06.2017/30105 Mükerrer; değişiklik RG 23.12.2023/32408; Usul ve Esaslar 05.08.2025 (13216050). Sistem: KKS / EÇBS. İletişim: kimyasallar@csb.gov.tr
Bu tablo genel tarama aracıdır; resmi karar ve başvuru KKS üzerinden, KDU ile yapılır.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KKDİK Rehberi</dc:creator>
  <dc:title xmlns:dc="http://purl.org/dc/elements/1.1/">KKDİK Kapsam Kontrolü</dc:title>
  <dc:subject xmlns:dc="http://purl.org/dc/elements/1.1/">Kimler kapsama girer, sistem nasıl ilerler, ne yapılmalı</dc:subject>
  <dcterms:created xmlns:dcterms="http://purl.org/dc/terms/" xmlns:xsi="http://www.w3.org/2001/XMLSchema-instance" xsi:type="dcterms:W3CDTF">2026-09-17T08:24:44Z</dcterms:created>
  <dcterms:modified xmlns:dcterms="http://purl.org/dc/terms/" xmlns:xsi="http://www.w3.org/2001/XMLSchema-instance" xsi:type="dcterms:W3CDTF">2026-09-17T08:24:44Z</dcterms:modified>
</cp:coreProperties>
</file>